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uchida引継ぎ資料\OSS DB集計フォルダー\20260307\"/>
    </mc:Choice>
  </mc:AlternateContent>
  <bookViews>
    <workbookView xWindow="0" yWindow="0" windowWidth="28800" windowHeight="11760" activeTab="1"/>
  </bookViews>
  <sheets>
    <sheet name="0307集計" sheetId="2" r:id="rId1"/>
    <sheet name="Sheet7" sheetId="8" r:id="rId2"/>
    <sheet name="日程表" sheetId="1" r:id="rId3"/>
    <sheet name="V8集計" sheetId="4" r:id="rId4"/>
    <sheet name="V8" sheetId="3" r:id="rId5"/>
    <sheet name="V9集計" sheetId="7" r:id="rId6"/>
    <sheet name="V9" sheetId="6" r:id="rId7"/>
  </sheets>
  <externalReferences>
    <externalReference r:id="rId8"/>
  </externalReferences>
  <definedNames>
    <definedName name="_xlnm._FilterDatabase" localSheetId="3" hidden="1">V8集計!$B$3:$Y$58</definedName>
    <definedName name="_xlnm._FilterDatabase" localSheetId="2" hidden="1">日程表!$A$4:$XDJ$518</definedName>
    <definedName name="_xlnm.Print_Titles" localSheetId="2">日程表!$4:$4</definedName>
  </definedNames>
  <calcPr calcId="152511"/>
  <pivotCaches>
    <pivotCache cacheId="17" r:id="rId9"/>
  </pivotCaches>
</workbook>
</file>

<file path=xl/calcChain.xml><?xml version="1.0" encoding="utf-8"?>
<calcChain xmlns="http://schemas.openxmlformats.org/spreadsheetml/2006/main">
  <c r="AG328" i="6" l="1"/>
  <c r="AF328" i="6"/>
  <c r="AG327" i="6"/>
  <c r="AF327" i="6"/>
  <c r="AG326" i="6"/>
  <c r="AF326" i="6"/>
  <c r="AG325" i="6"/>
  <c r="AF325" i="6"/>
  <c r="AG324" i="6"/>
  <c r="AF324" i="6"/>
  <c r="AG323" i="6"/>
  <c r="AF323" i="6"/>
  <c r="AG322" i="6"/>
  <c r="AF322" i="6"/>
  <c r="AG321" i="6"/>
  <c r="AF321" i="6"/>
  <c r="AG320" i="6"/>
  <c r="AF320" i="6"/>
  <c r="AG319" i="6"/>
  <c r="AF319" i="6"/>
  <c r="AG318" i="6"/>
  <c r="AF318" i="6"/>
  <c r="AG317" i="6"/>
  <c r="AF317" i="6"/>
  <c r="AG316" i="6"/>
  <c r="AF316" i="6"/>
  <c r="AG315" i="6"/>
  <c r="AF315" i="6"/>
  <c r="AG314" i="6"/>
  <c r="AF314" i="6"/>
  <c r="AG313" i="6"/>
  <c r="AF313" i="6"/>
  <c r="AG312" i="6"/>
  <c r="AF312" i="6"/>
  <c r="AG311" i="6"/>
  <c r="AF311" i="6"/>
  <c r="AG310" i="6"/>
  <c r="AF310" i="6"/>
  <c r="AG309" i="6"/>
  <c r="AF309" i="6"/>
  <c r="AG308" i="6"/>
  <c r="AF308" i="6"/>
  <c r="AG307" i="6"/>
  <c r="AF307" i="6"/>
  <c r="AG306" i="6"/>
  <c r="AF306" i="6"/>
  <c r="AG305" i="6"/>
  <c r="AF305" i="6"/>
  <c r="AG304" i="6"/>
  <c r="AF304" i="6"/>
  <c r="AG303" i="6"/>
  <c r="AF303" i="6"/>
  <c r="AG302" i="6"/>
  <c r="AF302" i="6"/>
  <c r="AG301" i="6"/>
  <c r="AF301" i="6"/>
  <c r="AG300" i="6"/>
  <c r="AF300" i="6"/>
  <c r="AE300" i="6"/>
  <c r="AG299" i="6"/>
  <c r="AF299" i="6"/>
  <c r="AE299" i="6"/>
  <c r="AG298" i="6"/>
  <c r="AF298" i="6"/>
  <c r="AE298" i="6"/>
  <c r="AG297" i="6"/>
  <c r="AF297" i="6"/>
  <c r="AE297" i="6"/>
  <c r="AG296" i="6"/>
  <c r="AF296" i="6"/>
  <c r="AE296" i="6"/>
  <c r="AG295" i="6"/>
  <c r="AF295" i="6"/>
  <c r="AG294" i="6"/>
  <c r="AF294" i="6"/>
  <c r="AG293" i="6"/>
  <c r="AF293" i="6"/>
  <c r="AG292" i="6"/>
  <c r="AF292" i="6"/>
  <c r="AG291" i="6"/>
  <c r="AF291" i="6"/>
  <c r="AG290" i="6"/>
  <c r="AF290" i="6"/>
  <c r="AE290" i="6"/>
  <c r="AG289" i="6"/>
  <c r="AF289" i="6"/>
  <c r="AE289" i="6"/>
  <c r="AG288" i="6"/>
  <c r="AF288" i="6"/>
  <c r="AE288" i="6"/>
  <c r="AG287" i="6"/>
  <c r="AF287" i="6"/>
  <c r="AE287" i="6"/>
  <c r="AG286" i="6"/>
  <c r="AF286" i="6"/>
  <c r="AE286" i="6"/>
  <c r="AG285" i="6"/>
  <c r="AF285" i="6"/>
  <c r="AG284" i="6"/>
  <c r="AF284" i="6"/>
  <c r="AG283" i="6"/>
  <c r="AF283" i="6"/>
  <c r="AG282" i="6"/>
  <c r="AF282" i="6"/>
  <c r="AG281" i="6"/>
  <c r="AF281" i="6"/>
  <c r="AG280" i="6"/>
  <c r="AF280" i="6"/>
  <c r="AG279" i="6"/>
  <c r="AF279" i="6"/>
  <c r="AG278" i="6"/>
  <c r="AF278" i="6"/>
  <c r="AG277" i="6"/>
  <c r="AF277" i="6"/>
  <c r="AG276" i="6"/>
  <c r="AF276" i="6"/>
  <c r="AG275" i="6"/>
  <c r="AF275" i="6"/>
  <c r="AG274" i="6"/>
  <c r="AF274" i="6"/>
  <c r="AG273" i="6"/>
  <c r="AF273" i="6"/>
  <c r="AG272" i="6"/>
  <c r="AF272" i="6"/>
  <c r="AG271" i="6"/>
  <c r="AF271" i="6"/>
  <c r="AG270" i="6"/>
  <c r="AF270" i="6"/>
  <c r="AG269" i="6"/>
  <c r="AF269" i="6"/>
  <c r="AG268" i="6"/>
  <c r="AF268" i="6"/>
  <c r="AG267" i="6"/>
  <c r="AF267" i="6"/>
  <c r="AG266" i="6"/>
  <c r="AF266" i="6"/>
  <c r="AG265" i="6"/>
  <c r="AF265" i="6"/>
  <c r="AG264" i="6"/>
  <c r="AF264" i="6"/>
  <c r="AG263" i="6"/>
  <c r="AF263" i="6"/>
  <c r="AG262" i="6"/>
  <c r="AF262" i="6"/>
  <c r="AG261" i="6"/>
  <c r="AF261" i="6"/>
  <c r="AG260" i="6"/>
  <c r="AF260" i="6"/>
  <c r="AG259" i="6"/>
  <c r="AF259" i="6"/>
  <c r="AG258" i="6"/>
  <c r="AF258" i="6"/>
  <c r="AG257" i="6"/>
  <c r="AF257" i="6"/>
  <c r="AG256" i="6"/>
  <c r="AF256" i="6"/>
  <c r="AG255" i="6"/>
  <c r="AF255" i="6"/>
  <c r="AG254" i="6"/>
  <c r="AF254" i="6"/>
  <c r="AG253" i="6"/>
  <c r="AF253" i="6"/>
  <c r="AG252" i="6"/>
  <c r="AF252" i="6"/>
  <c r="AG251" i="6"/>
  <c r="AF251" i="6"/>
  <c r="AG250" i="6"/>
  <c r="AF250" i="6"/>
  <c r="AG249" i="6"/>
  <c r="AF249" i="6"/>
  <c r="AG248" i="6"/>
  <c r="AF248" i="6"/>
  <c r="AG247" i="6"/>
  <c r="AF247" i="6"/>
  <c r="AG246" i="6"/>
  <c r="AF246" i="6"/>
  <c r="AG245" i="6"/>
  <c r="AF245" i="6"/>
  <c r="AG244" i="6"/>
  <c r="AF244" i="6"/>
  <c r="AG243" i="6"/>
  <c r="AF243" i="6"/>
  <c r="AG242" i="6"/>
  <c r="AF242" i="6"/>
  <c r="AG241" i="6"/>
  <c r="AF241" i="6"/>
  <c r="AG240" i="6"/>
  <c r="AF240" i="6"/>
  <c r="AG239" i="6"/>
  <c r="AF239" i="6"/>
  <c r="AG238" i="6"/>
  <c r="AF238" i="6"/>
  <c r="AG237" i="6"/>
  <c r="AF237" i="6"/>
  <c r="AG236" i="6"/>
  <c r="AF236" i="6"/>
  <c r="AG235" i="6"/>
  <c r="AF235" i="6"/>
  <c r="AG234" i="6"/>
  <c r="AF234" i="6"/>
  <c r="AG233" i="6"/>
  <c r="AF233" i="6"/>
  <c r="AG232" i="6"/>
  <c r="AF232" i="6"/>
  <c r="AG231" i="6"/>
  <c r="AF231" i="6"/>
  <c r="AG230" i="6"/>
  <c r="AF230" i="6"/>
  <c r="AG229" i="6"/>
  <c r="AF229" i="6"/>
  <c r="AG228" i="6"/>
  <c r="AF228" i="6"/>
  <c r="AG227" i="6"/>
  <c r="AF227" i="6"/>
  <c r="AG226" i="6"/>
  <c r="AF226" i="6"/>
  <c r="AG225" i="6"/>
  <c r="AF225" i="6"/>
  <c r="AG224" i="6"/>
  <c r="AF224" i="6"/>
  <c r="AG223" i="6"/>
  <c r="AF223" i="6"/>
  <c r="AG222" i="6"/>
  <c r="AF222" i="6"/>
  <c r="AG221" i="6"/>
  <c r="AF221" i="6"/>
  <c r="AG220" i="6"/>
  <c r="AF220" i="6"/>
  <c r="AG219" i="6"/>
  <c r="AF219" i="6"/>
  <c r="AG218" i="6"/>
  <c r="AF218" i="6"/>
  <c r="AG217" i="6"/>
  <c r="AF217" i="6"/>
  <c r="AG216" i="6"/>
  <c r="AF216" i="6"/>
  <c r="AG215" i="6"/>
  <c r="AF215" i="6"/>
  <c r="AG214" i="6"/>
  <c r="AF214" i="6"/>
  <c r="AG213" i="6"/>
  <c r="AF213" i="6"/>
  <c r="AG212" i="6"/>
  <c r="AF212" i="6"/>
  <c r="AG211" i="6"/>
  <c r="AF211" i="6"/>
  <c r="AG210" i="6"/>
  <c r="AF210" i="6"/>
  <c r="AG209" i="6"/>
  <c r="AF209" i="6"/>
  <c r="AG208" i="6"/>
  <c r="AF208" i="6"/>
  <c r="AG207" i="6"/>
  <c r="AF207" i="6"/>
  <c r="AG206" i="6"/>
  <c r="AF206" i="6"/>
  <c r="AG205" i="6"/>
  <c r="AF205" i="6"/>
  <c r="AG204" i="6"/>
  <c r="AF204" i="6"/>
  <c r="AG203" i="6"/>
  <c r="AF203" i="6"/>
  <c r="AG202" i="6"/>
  <c r="AF202" i="6"/>
  <c r="AG201" i="6"/>
  <c r="AF201" i="6"/>
  <c r="AG200" i="6"/>
  <c r="AF200" i="6"/>
  <c r="AG199" i="6"/>
  <c r="AF199" i="6"/>
  <c r="AG198" i="6"/>
  <c r="AF198" i="6"/>
  <c r="AG197" i="6"/>
  <c r="AF197" i="6"/>
  <c r="AG196" i="6"/>
  <c r="AF196" i="6"/>
  <c r="AG195" i="6"/>
  <c r="AF195" i="6"/>
  <c r="AG194" i="6"/>
  <c r="AF194" i="6"/>
  <c r="AG193" i="6"/>
  <c r="AF193" i="6"/>
  <c r="AG192" i="6"/>
  <c r="AF192" i="6"/>
  <c r="AG191" i="6"/>
  <c r="AF191" i="6"/>
  <c r="AG190" i="6"/>
  <c r="AF190" i="6"/>
  <c r="AG189" i="6"/>
  <c r="AF189" i="6"/>
  <c r="AG188" i="6"/>
  <c r="AF188" i="6"/>
  <c r="AG187" i="6"/>
  <c r="AF187" i="6"/>
  <c r="AG186" i="6"/>
  <c r="AF186" i="6"/>
  <c r="AG185" i="6"/>
  <c r="AF185" i="6"/>
  <c r="AG184" i="6"/>
  <c r="AF184" i="6"/>
  <c r="AG183" i="6"/>
  <c r="AF183" i="6"/>
  <c r="AG182" i="6"/>
  <c r="AF182" i="6"/>
  <c r="AG181" i="6"/>
  <c r="AF181" i="6"/>
  <c r="AG180" i="6"/>
  <c r="AF180" i="6"/>
  <c r="AG179" i="6"/>
  <c r="AF179" i="6"/>
  <c r="AG178" i="6"/>
  <c r="AF178" i="6"/>
  <c r="AG177" i="6"/>
  <c r="AF177" i="6"/>
  <c r="AG176" i="6"/>
  <c r="AF176" i="6"/>
  <c r="AG175" i="6"/>
  <c r="AF175" i="6"/>
  <c r="AG174" i="6"/>
  <c r="AF174" i="6"/>
  <c r="AG173" i="6"/>
  <c r="AF173" i="6"/>
  <c r="AG172" i="6"/>
  <c r="AF172" i="6"/>
  <c r="AG171" i="6"/>
  <c r="AF171" i="6"/>
  <c r="AG170" i="6"/>
  <c r="AF170" i="6"/>
  <c r="AG169" i="6"/>
  <c r="AF169" i="6"/>
  <c r="AG168" i="6"/>
  <c r="AF168" i="6"/>
  <c r="AG167" i="6"/>
  <c r="AF167" i="6"/>
  <c r="AG166" i="6"/>
  <c r="AF166" i="6"/>
  <c r="AG165" i="6"/>
  <c r="AF165" i="6"/>
  <c r="AG164" i="6"/>
  <c r="AF164" i="6"/>
  <c r="AG163" i="6"/>
  <c r="AF163" i="6"/>
  <c r="AG162" i="6"/>
  <c r="AF162" i="6"/>
  <c r="AG161" i="6"/>
  <c r="AF161" i="6"/>
  <c r="AG160" i="6"/>
  <c r="AF160" i="6"/>
  <c r="AG159" i="6"/>
  <c r="AF159" i="6"/>
  <c r="AG158" i="6"/>
  <c r="AF158" i="6"/>
  <c r="AG157" i="6"/>
  <c r="AF157" i="6"/>
  <c r="AG156" i="6"/>
  <c r="AF156" i="6"/>
  <c r="AG155" i="6"/>
  <c r="AF155" i="6"/>
  <c r="AG154" i="6"/>
  <c r="AF154" i="6"/>
  <c r="AG153" i="6"/>
  <c r="AF153" i="6"/>
  <c r="AE153" i="6"/>
  <c r="AG152" i="6"/>
  <c r="AF152" i="6"/>
  <c r="AE152" i="6"/>
  <c r="AG151" i="6"/>
  <c r="AF151" i="6"/>
  <c r="AE151" i="6"/>
  <c r="AG150" i="6"/>
  <c r="AF150" i="6"/>
  <c r="AE150" i="6"/>
  <c r="AG149" i="6"/>
  <c r="AF149" i="6"/>
  <c r="AE149" i="6"/>
  <c r="AG148" i="6"/>
  <c r="AF148" i="6"/>
  <c r="AG147" i="6"/>
  <c r="AF147" i="6"/>
  <c r="AG146" i="6"/>
  <c r="AF146" i="6"/>
  <c r="AG145" i="6"/>
  <c r="AF145" i="6"/>
  <c r="AG144" i="6"/>
  <c r="AF144" i="6"/>
  <c r="AG143" i="6"/>
  <c r="AF143" i="6"/>
  <c r="AE143" i="6"/>
  <c r="AG142" i="6"/>
  <c r="AF142" i="6"/>
  <c r="AE142" i="6"/>
  <c r="AG141" i="6"/>
  <c r="AF141" i="6"/>
  <c r="AE141" i="6"/>
  <c r="AG140" i="6"/>
  <c r="AF140" i="6"/>
  <c r="AE140" i="6"/>
  <c r="AG139" i="6"/>
  <c r="AF139" i="6"/>
  <c r="AE139" i="6"/>
  <c r="AG138" i="6"/>
  <c r="AF138" i="6"/>
  <c r="AG137" i="6"/>
  <c r="AF137" i="6"/>
  <c r="AG136" i="6"/>
  <c r="AF136" i="6"/>
  <c r="AG135" i="6"/>
  <c r="AF135" i="6"/>
  <c r="AG134" i="6"/>
  <c r="AF134" i="6"/>
  <c r="AG133" i="6"/>
  <c r="AF133" i="6"/>
  <c r="AG132" i="6"/>
  <c r="AF132" i="6"/>
  <c r="AG131" i="6"/>
  <c r="AF131" i="6"/>
  <c r="AG130" i="6"/>
  <c r="AF130" i="6"/>
  <c r="AG129" i="6"/>
  <c r="AF129" i="6"/>
  <c r="AG128" i="6"/>
  <c r="AF128" i="6"/>
  <c r="AG127" i="6"/>
  <c r="AF127" i="6"/>
  <c r="AG126" i="6"/>
  <c r="AF126" i="6"/>
  <c r="AG125" i="6"/>
  <c r="AF125" i="6"/>
  <c r="AG124" i="6"/>
  <c r="AF124" i="6"/>
  <c r="AG123" i="6"/>
  <c r="AF123" i="6"/>
  <c r="AG122" i="6"/>
  <c r="AF122" i="6"/>
  <c r="AG121" i="6"/>
  <c r="AF121" i="6"/>
  <c r="AG120" i="6"/>
  <c r="AF120" i="6"/>
  <c r="AG119" i="6"/>
  <c r="AF119" i="6"/>
  <c r="AG118" i="6"/>
  <c r="AF118" i="6"/>
  <c r="AG117" i="6"/>
  <c r="AF117" i="6"/>
  <c r="AG116" i="6"/>
  <c r="AF116" i="6"/>
  <c r="AG115" i="6"/>
  <c r="AF115" i="6"/>
  <c r="AG114" i="6"/>
  <c r="AF114" i="6"/>
  <c r="AG113" i="6"/>
  <c r="AF113" i="6"/>
  <c r="AG112" i="6"/>
  <c r="AF112" i="6"/>
  <c r="AG111" i="6"/>
  <c r="AF111" i="6"/>
  <c r="AG110" i="6"/>
  <c r="AF110" i="6"/>
  <c r="AG109" i="6"/>
  <c r="AF109" i="6"/>
  <c r="AG108" i="6"/>
  <c r="AF108" i="6"/>
  <c r="AG107" i="6"/>
  <c r="AF107" i="6"/>
  <c r="AG106" i="6"/>
  <c r="AF106" i="6"/>
  <c r="AG105" i="6"/>
  <c r="AF105" i="6"/>
  <c r="AG104" i="6"/>
  <c r="AF104" i="6"/>
  <c r="AG103" i="6"/>
  <c r="AF103" i="6"/>
  <c r="AG102" i="6"/>
  <c r="AF102" i="6"/>
  <c r="AG101" i="6"/>
  <c r="AF101" i="6"/>
  <c r="AG100" i="6"/>
  <c r="AF100" i="6"/>
  <c r="AG99" i="6"/>
  <c r="AF99" i="6"/>
  <c r="AG98" i="6"/>
  <c r="AF98" i="6"/>
  <c r="AG97" i="6"/>
  <c r="AF97" i="6"/>
  <c r="AG96" i="6"/>
  <c r="AF96" i="6"/>
  <c r="AG95" i="6"/>
  <c r="AF95" i="6"/>
  <c r="AG94" i="6"/>
  <c r="AF94" i="6"/>
  <c r="AG93" i="6"/>
  <c r="AF93" i="6"/>
  <c r="AG92" i="6"/>
  <c r="AF92" i="6"/>
  <c r="AG91" i="6"/>
  <c r="AF91" i="6"/>
  <c r="AG90" i="6"/>
  <c r="AF90" i="6"/>
  <c r="AG89" i="6"/>
  <c r="AF89" i="6"/>
  <c r="AG88" i="6"/>
  <c r="AF88" i="6"/>
  <c r="AG87" i="6"/>
  <c r="AF87" i="6"/>
  <c r="AG86" i="6"/>
  <c r="AF86" i="6"/>
  <c r="AG85" i="6"/>
  <c r="AF85" i="6"/>
  <c r="AG84" i="6"/>
  <c r="AF84" i="6"/>
  <c r="AG83" i="6"/>
  <c r="AF83" i="6"/>
  <c r="AG82" i="6"/>
  <c r="AF82" i="6"/>
  <c r="AG81" i="6"/>
  <c r="AF81" i="6"/>
  <c r="AG80" i="6"/>
  <c r="AF80" i="6"/>
  <c r="AG79" i="6"/>
  <c r="AF79" i="6"/>
  <c r="AG78" i="6"/>
  <c r="AF78" i="6"/>
  <c r="AE78" i="6"/>
  <c r="AG77" i="6"/>
  <c r="AF77" i="6"/>
  <c r="AE77" i="6"/>
  <c r="AG76" i="6"/>
  <c r="AF76" i="6"/>
  <c r="AE76" i="6"/>
  <c r="AG75" i="6"/>
  <c r="AF75" i="6"/>
  <c r="AE75" i="6"/>
  <c r="AG74" i="6"/>
  <c r="AF74" i="6"/>
  <c r="AE74" i="6"/>
  <c r="AG73" i="6"/>
  <c r="AF73" i="6"/>
  <c r="AG72" i="6"/>
  <c r="AF72" i="6"/>
  <c r="AG71" i="6"/>
  <c r="AF71" i="6"/>
  <c r="AG70" i="6"/>
  <c r="AF70" i="6"/>
  <c r="AG69" i="6"/>
  <c r="AF69" i="6"/>
  <c r="AG68" i="6"/>
  <c r="AF68" i="6"/>
  <c r="AG67" i="6"/>
  <c r="AF67" i="6"/>
  <c r="AE67" i="6"/>
  <c r="AG66" i="6"/>
  <c r="AF66" i="6"/>
  <c r="AE66" i="6"/>
  <c r="AG65" i="6"/>
  <c r="AF65" i="6"/>
  <c r="AE65" i="6"/>
  <c r="AG64" i="6"/>
  <c r="AF64" i="6"/>
  <c r="AE64" i="6"/>
  <c r="AG63" i="6"/>
  <c r="AF63" i="6"/>
  <c r="AE63" i="6"/>
  <c r="AG62" i="6"/>
  <c r="AF62" i="6"/>
  <c r="AG61" i="6"/>
  <c r="AF61" i="6"/>
  <c r="AG60" i="6"/>
  <c r="AF60" i="6"/>
  <c r="AG59" i="6"/>
  <c r="AF59" i="6"/>
  <c r="AG58" i="6"/>
  <c r="AF58" i="6"/>
  <c r="AG57" i="6"/>
  <c r="AF57" i="6"/>
  <c r="AG56" i="6"/>
  <c r="AF56" i="6"/>
  <c r="AG55" i="6"/>
  <c r="AF55" i="6"/>
  <c r="AG54" i="6"/>
  <c r="AF54" i="6"/>
  <c r="AG53" i="6"/>
  <c r="AF53" i="6"/>
  <c r="AG52" i="6"/>
  <c r="AF52" i="6"/>
  <c r="AG51" i="6"/>
  <c r="AF51" i="6"/>
  <c r="AG50" i="6"/>
  <c r="AF50" i="6"/>
  <c r="AG49" i="6"/>
  <c r="AF49" i="6"/>
  <c r="AG48" i="6"/>
  <c r="AF48" i="6"/>
  <c r="AG47" i="6"/>
  <c r="AF47" i="6"/>
  <c r="AG46" i="6"/>
  <c r="AF46" i="6"/>
  <c r="AG45" i="6"/>
  <c r="AF45" i="6"/>
  <c r="AE45" i="6"/>
  <c r="AG44" i="6"/>
  <c r="AF44" i="6"/>
  <c r="AE44" i="6"/>
  <c r="AG43" i="6"/>
  <c r="AF43" i="6"/>
  <c r="AE43" i="6"/>
  <c r="AG42" i="6"/>
  <c r="AF42" i="6"/>
  <c r="AE42" i="6"/>
  <c r="AG41" i="6"/>
  <c r="AF41" i="6"/>
  <c r="AE41" i="6"/>
  <c r="AG40" i="6"/>
  <c r="AF40" i="6"/>
  <c r="AG39" i="6"/>
  <c r="AF39" i="6"/>
  <c r="AG38" i="6"/>
  <c r="AF38" i="6"/>
  <c r="AG37" i="6"/>
  <c r="AF37" i="6"/>
  <c r="AE37" i="6"/>
  <c r="AG36" i="6"/>
  <c r="AF36" i="6"/>
  <c r="AE36" i="6"/>
  <c r="AG35" i="6"/>
  <c r="AF35" i="6"/>
  <c r="AE35" i="6"/>
  <c r="AG34" i="6"/>
  <c r="AF34" i="6"/>
  <c r="AE34" i="6"/>
  <c r="AG33" i="6"/>
  <c r="AF33" i="6"/>
  <c r="AE33" i="6"/>
  <c r="AG32" i="6"/>
  <c r="AF32" i="6"/>
  <c r="AG31" i="6"/>
  <c r="AF31" i="6"/>
  <c r="AG30" i="6"/>
  <c r="AF30" i="6"/>
  <c r="AG29" i="6"/>
  <c r="AF29" i="6"/>
  <c r="AG28" i="6"/>
  <c r="AF28" i="6"/>
  <c r="AG27" i="6"/>
  <c r="AF27" i="6"/>
  <c r="AG26" i="6"/>
  <c r="AF26" i="6"/>
  <c r="AG25" i="6"/>
  <c r="AF25" i="6"/>
  <c r="AG24" i="6"/>
  <c r="AF24" i="6"/>
  <c r="AG23" i="6"/>
  <c r="AF23" i="6"/>
  <c r="AG22" i="6"/>
  <c r="AF22" i="6"/>
  <c r="AG21" i="6"/>
  <c r="AF21" i="6"/>
  <c r="AG20" i="6"/>
  <c r="AF20" i="6"/>
  <c r="AG19" i="6"/>
  <c r="AF19" i="6"/>
  <c r="AG18" i="6"/>
  <c r="AF18" i="6"/>
  <c r="AG17" i="6"/>
  <c r="AF17" i="6"/>
  <c r="AG16" i="6"/>
  <c r="AF16" i="6"/>
  <c r="AG15" i="6"/>
  <c r="AF15" i="6"/>
  <c r="AG14" i="6"/>
  <c r="AF14" i="6"/>
  <c r="AG13" i="6"/>
  <c r="AF13" i="6"/>
  <c r="AG12" i="6"/>
  <c r="AF12" i="6"/>
  <c r="AG11" i="6"/>
  <c r="AF11" i="6"/>
  <c r="AG10" i="6"/>
  <c r="AF10" i="6"/>
  <c r="AG9" i="6"/>
  <c r="AF9" i="6"/>
  <c r="AE9" i="6"/>
  <c r="AG8" i="6"/>
  <c r="AF8" i="6"/>
  <c r="AE8" i="6"/>
  <c r="AG7" i="6"/>
  <c r="AF7" i="6"/>
  <c r="AE7" i="6"/>
  <c r="AG6" i="6"/>
  <c r="AF6" i="6"/>
  <c r="AE6" i="6"/>
  <c r="AG5" i="6"/>
  <c r="AF5" i="6"/>
  <c r="AE5" i="6"/>
  <c r="AG4" i="6"/>
  <c r="AF4" i="6"/>
  <c r="AG3" i="6"/>
  <c r="AF3" i="6"/>
  <c r="AG2" i="6"/>
  <c r="AF2" i="6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C2" i="4"/>
  <c r="BI74" i="3"/>
  <c r="BH74" i="3"/>
  <c r="BG74" i="3"/>
  <c r="BF74" i="3"/>
  <c r="BE74" i="3"/>
  <c r="BI73" i="3"/>
  <c r="BH73" i="3"/>
  <c r="BG73" i="3"/>
  <c r="BF73" i="3"/>
  <c r="BE73" i="3"/>
  <c r="BI72" i="3"/>
  <c r="BH72" i="3"/>
  <c r="BG72" i="3"/>
  <c r="BF72" i="3"/>
  <c r="BE72" i="3"/>
  <c r="BI71" i="3"/>
  <c r="BH71" i="3"/>
  <c r="BG71" i="3"/>
  <c r="BF71" i="3"/>
  <c r="BE71" i="3"/>
  <c r="BI70" i="3"/>
  <c r="BH70" i="3"/>
  <c r="BG70" i="3"/>
  <c r="BF70" i="3"/>
  <c r="BE70" i="3"/>
  <c r="BI69" i="3"/>
  <c r="BH69" i="3"/>
  <c r="BG69" i="3"/>
  <c r="BF69" i="3"/>
  <c r="BE69" i="3"/>
  <c r="BI68" i="3"/>
  <c r="BH68" i="3"/>
  <c r="BG68" i="3"/>
  <c r="BF68" i="3"/>
  <c r="BE68" i="3"/>
  <c r="BI67" i="3"/>
  <c r="BH67" i="3"/>
  <c r="BG67" i="3"/>
  <c r="BF67" i="3"/>
  <c r="BE67" i="3"/>
  <c r="BI66" i="3"/>
  <c r="BH66" i="3"/>
  <c r="BG66" i="3"/>
  <c r="BF66" i="3"/>
  <c r="BE66" i="3"/>
  <c r="BI65" i="3"/>
  <c r="BH65" i="3"/>
  <c r="BG65" i="3"/>
  <c r="BF65" i="3"/>
  <c r="BE65" i="3"/>
  <c r="BI64" i="3"/>
  <c r="BH64" i="3"/>
  <c r="BG64" i="3"/>
  <c r="BF64" i="3"/>
  <c r="BE64" i="3"/>
  <c r="BI63" i="3"/>
  <c r="BH63" i="3"/>
  <c r="BG63" i="3"/>
  <c r="BF63" i="3"/>
  <c r="BE63" i="3"/>
  <c r="BI62" i="3"/>
  <c r="BH62" i="3"/>
  <c r="BG62" i="3"/>
  <c r="BF62" i="3"/>
  <c r="BE62" i="3"/>
  <c r="BI61" i="3"/>
  <c r="BH61" i="3"/>
  <c r="BG61" i="3"/>
  <c r="BF61" i="3"/>
  <c r="BE61" i="3"/>
  <c r="BI60" i="3"/>
  <c r="BH60" i="3"/>
  <c r="BG60" i="3"/>
  <c r="BF60" i="3"/>
  <c r="BE60" i="3"/>
  <c r="BI59" i="3"/>
  <c r="BH59" i="3"/>
  <c r="BG59" i="3"/>
  <c r="BF59" i="3"/>
  <c r="BE59" i="3"/>
  <c r="BI58" i="3"/>
  <c r="BH58" i="3"/>
  <c r="BG58" i="3"/>
  <c r="BF58" i="3"/>
  <c r="BE58" i="3"/>
  <c r="BI57" i="3"/>
  <c r="BH57" i="3"/>
  <c r="BG57" i="3"/>
  <c r="BF57" i="3"/>
  <c r="BE57" i="3"/>
  <c r="BI56" i="3"/>
  <c r="BH56" i="3"/>
  <c r="BG56" i="3"/>
  <c r="BF56" i="3"/>
  <c r="BE56" i="3"/>
  <c r="BI55" i="3"/>
  <c r="BH55" i="3"/>
  <c r="BG55" i="3"/>
  <c r="BF55" i="3"/>
  <c r="BE55" i="3"/>
  <c r="BI54" i="3"/>
  <c r="BH54" i="3"/>
  <c r="BG54" i="3"/>
  <c r="BF54" i="3"/>
  <c r="BE54" i="3"/>
  <c r="BI53" i="3"/>
  <c r="BH53" i="3"/>
  <c r="BG53" i="3"/>
  <c r="BF53" i="3"/>
  <c r="BE53" i="3"/>
  <c r="BI52" i="3"/>
  <c r="BH52" i="3"/>
  <c r="BG52" i="3"/>
  <c r="BF52" i="3"/>
  <c r="BE52" i="3"/>
  <c r="BI51" i="3"/>
  <c r="BH51" i="3"/>
  <c r="BG51" i="3"/>
  <c r="BF51" i="3"/>
  <c r="BE51" i="3"/>
  <c r="BI50" i="3"/>
  <c r="BH50" i="3"/>
  <c r="BG50" i="3"/>
  <c r="BF50" i="3"/>
  <c r="BE50" i="3"/>
  <c r="BI49" i="3"/>
  <c r="BH49" i="3"/>
  <c r="BG49" i="3"/>
  <c r="BF49" i="3"/>
  <c r="BE49" i="3"/>
  <c r="BI48" i="3"/>
  <c r="BH48" i="3"/>
  <c r="BG48" i="3"/>
  <c r="BF48" i="3"/>
  <c r="BE48" i="3"/>
  <c r="BI47" i="3"/>
  <c r="BH47" i="3"/>
  <c r="BG47" i="3"/>
  <c r="BF47" i="3"/>
  <c r="BE47" i="3"/>
  <c r="BI46" i="3"/>
  <c r="BH46" i="3"/>
  <c r="BG46" i="3"/>
  <c r="BF46" i="3"/>
  <c r="BE46" i="3"/>
  <c r="BI45" i="3"/>
  <c r="BH45" i="3"/>
  <c r="BG45" i="3"/>
  <c r="BF45" i="3"/>
  <c r="BE45" i="3"/>
  <c r="BI44" i="3"/>
  <c r="BH44" i="3"/>
  <c r="BG44" i="3"/>
  <c r="BF44" i="3"/>
  <c r="BE44" i="3"/>
  <c r="BI43" i="3"/>
  <c r="BH43" i="3"/>
  <c r="BG43" i="3"/>
  <c r="BF43" i="3"/>
  <c r="BE43" i="3"/>
  <c r="BI42" i="3"/>
  <c r="BH42" i="3"/>
  <c r="BG42" i="3"/>
  <c r="BF42" i="3"/>
  <c r="BE42" i="3"/>
  <c r="BI41" i="3"/>
  <c r="BH41" i="3"/>
  <c r="BG41" i="3"/>
  <c r="BF41" i="3"/>
  <c r="BE41" i="3"/>
  <c r="BI40" i="3"/>
  <c r="BH40" i="3"/>
  <c r="BG40" i="3"/>
  <c r="BF40" i="3"/>
  <c r="BE40" i="3"/>
  <c r="BI39" i="3"/>
  <c r="BH39" i="3"/>
  <c r="BG39" i="3"/>
  <c r="BF39" i="3"/>
  <c r="BE39" i="3"/>
  <c r="BI38" i="3"/>
  <c r="BH38" i="3"/>
  <c r="BG38" i="3"/>
  <c r="BF38" i="3"/>
  <c r="BE38" i="3"/>
  <c r="BI37" i="3"/>
  <c r="BH37" i="3"/>
  <c r="BG37" i="3"/>
  <c r="BF37" i="3"/>
  <c r="BE37" i="3"/>
  <c r="BI36" i="3"/>
  <c r="BH36" i="3"/>
  <c r="BG36" i="3"/>
  <c r="BF36" i="3"/>
  <c r="BE36" i="3"/>
  <c r="BI35" i="3"/>
  <c r="BH35" i="3"/>
  <c r="BG35" i="3"/>
  <c r="BF35" i="3"/>
  <c r="BE35" i="3"/>
  <c r="BI34" i="3"/>
  <c r="BH34" i="3"/>
  <c r="BG34" i="3"/>
  <c r="BF34" i="3"/>
  <c r="BE34" i="3"/>
  <c r="BI33" i="3"/>
  <c r="BH33" i="3"/>
  <c r="BG33" i="3"/>
  <c r="BF33" i="3"/>
  <c r="BE33" i="3"/>
  <c r="BI32" i="3"/>
  <c r="BH32" i="3"/>
  <c r="BG32" i="3"/>
  <c r="BF32" i="3"/>
  <c r="BE32" i="3"/>
  <c r="BI31" i="3"/>
  <c r="BH31" i="3"/>
  <c r="BG31" i="3"/>
  <c r="BF31" i="3"/>
  <c r="BE31" i="3"/>
  <c r="BI30" i="3"/>
  <c r="BH30" i="3"/>
  <c r="BG30" i="3"/>
  <c r="BF30" i="3"/>
  <c r="BE30" i="3"/>
  <c r="BI29" i="3"/>
  <c r="BH29" i="3"/>
  <c r="BG29" i="3"/>
  <c r="BF29" i="3"/>
  <c r="BE29" i="3"/>
  <c r="BI28" i="3"/>
  <c r="BH28" i="3"/>
  <c r="BG28" i="3"/>
  <c r="BF28" i="3"/>
  <c r="BE28" i="3"/>
  <c r="BI27" i="3"/>
  <c r="BH27" i="3"/>
  <c r="BG27" i="3"/>
  <c r="BF27" i="3"/>
  <c r="BE27" i="3"/>
  <c r="BI26" i="3"/>
  <c r="BH26" i="3"/>
  <c r="BG26" i="3"/>
  <c r="BF26" i="3"/>
  <c r="BE26" i="3"/>
  <c r="BI25" i="3"/>
  <c r="BH25" i="3"/>
  <c r="BG25" i="3"/>
  <c r="BF25" i="3"/>
  <c r="BE25" i="3"/>
  <c r="BI24" i="3"/>
  <c r="BH24" i="3"/>
  <c r="BG24" i="3"/>
  <c r="BF24" i="3"/>
  <c r="BE24" i="3"/>
  <c r="BI23" i="3"/>
  <c r="BH23" i="3"/>
  <c r="BG23" i="3"/>
  <c r="BF23" i="3"/>
  <c r="BE23" i="3"/>
  <c r="BI22" i="3"/>
  <c r="BH22" i="3"/>
  <c r="BG22" i="3"/>
  <c r="BF22" i="3"/>
  <c r="BE22" i="3"/>
  <c r="BI21" i="3"/>
  <c r="BH21" i="3"/>
  <c r="BG21" i="3"/>
  <c r="BF21" i="3"/>
  <c r="BE21" i="3"/>
  <c r="BI20" i="3"/>
  <c r="BH20" i="3"/>
  <c r="BG20" i="3"/>
  <c r="BF20" i="3"/>
  <c r="BE20" i="3"/>
  <c r="BI19" i="3"/>
  <c r="BH19" i="3"/>
  <c r="BG19" i="3"/>
  <c r="BF19" i="3"/>
  <c r="BE19" i="3"/>
  <c r="BI18" i="3"/>
  <c r="BH18" i="3"/>
  <c r="BG18" i="3"/>
  <c r="BF18" i="3"/>
  <c r="BE18" i="3"/>
  <c r="BI17" i="3"/>
  <c r="BH17" i="3"/>
  <c r="BG17" i="3"/>
  <c r="BF17" i="3"/>
  <c r="BE17" i="3"/>
  <c r="BI16" i="3"/>
  <c r="BH16" i="3"/>
  <c r="BG16" i="3"/>
  <c r="BF16" i="3"/>
  <c r="BE16" i="3"/>
  <c r="BI15" i="3"/>
  <c r="BH15" i="3"/>
  <c r="BG15" i="3"/>
  <c r="BF15" i="3"/>
  <c r="BE15" i="3"/>
  <c r="BI14" i="3"/>
  <c r="BH14" i="3"/>
  <c r="BI13" i="3"/>
  <c r="BH13" i="3"/>
  <c r="BI12" i="3"/>
  <c r="BH12" i="3"/>
  <c r="BI11" i="3"/>
  <c r="BH11" i="3"/>
  <c r="BG11" i="3"/>
  <c r="BF11" i="3"/>
  <c r="BE11" i="3"/>
  <c r="BI10" i="3"/>
  <c r="BH10" i="3"/>
  <c r="BG10" i="3"/>
  <c r="BF10" i="3"/>
  <c r="BE10" i="3"/>
  <c r="BI9" i="3"/>
  <c r="BH9" i="3"/>
  <c r="BG9" i="3"/>
  <c r="BF9" i="3"/>
  <c r="BE9" i="3"/>
  <c r="BI8" i="3"/>
  <c r="BH8" i="3"/>
  <c r="BG8" i="3"/>
  <c r="BF8" i="3"/>
  <c r="BE8" i="3"/>
  <c r="BI7" i="3"/>
  <c r="BH7" i="3"/>
  <c r="BI6" i="3"/>
  <c r="BH6" i="3"/>
  <c r="BI5" i="3"/>
  <c r="BH5" i="3"/>
  <c r="BI4" i="3"/>
  <c r="BH4" i="3"/>
  <c r="BI3" i="3"/>
  <c r="BH3" i="3"/>
  <c r="BI2" i="3"/>
  <c r="BH2" i="3"/>
  <c r="R193" i="2" l="1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194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194" i="2"/>
  <c r="D336" i="2"/>
  <c r="C336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212" i="2"/>
  <c r="AE210" i="2"/>
  <c r="AD210" i="2"/>
  <c r="AC210" i="2"/>
  <c r="E311" i="2" s="1"/>
  <c r="AB210" i="2"/>
  <c r="AA210" i="2"/>
  <c r="Z210" i="2"/>
  <c r="Y210" i="2"/>
  <c r="X210" i="2"/>
  <c r="W210" i="2"/>
  <c r="V210" i="2"/>
  <c r="U210" i="2"/>
  <c r="F217" i="2" s="1"/>
  <c r="L193" i="2"/>
  <c r="T192" i="2"/>
  <c r="L192" i="2"/>
  <c r="L191" i="2"/>
  <c r="T191" i="2" s="1"/>
  <c r="L190" i="2"/>
  <c r="T190" i="2" s="1"/>
  <c r="L189" i="2"/>
  <c r="T189" i="2" s="1"/>
  <c r="L188" i="2"/>
  <c r="T188" i="2" s="1"/>
  <c r="L187" i="2"/>
  <c r="T187" i="2" s="1"/>
  <c r="L186" i="2"/>
  <c r="T186" i="2" s="1"/>
  <c r="L185" i="2"/>
  <c r="T185" i="2" s="1"/>
  <c r="L184" i="2"/>
  <c r="T184" i="2" s="1"/>
  <c r="T183" i="2"/>
  <c r="L182" i="2"/>
  <c r="T182" i="2" s="1"/>
  <c r="L181" i="2"/>
  <c r="T181" i="2" s="1"/>
  <c r="T180" i="2"/>
  <c r="L180" i="2"/>
  <c r="T179" i="2"/>
  <c r="A179" i="2"/>
  <c r="A181" i="2" s="1"/>
  <c r="T178" i="2"/>
  <c r="L178" i="2"/>
  <c r="L177" i="2"/>
  <c r="T177" i="2" s="1"/>
  <c r="L176" i="2"/>
  <c r="T176" i="2" s="1"/>
  <c r="L175" i="2"/>
  <c r="T175" i="2" s="1"/>
  <c r="L174" i="2"/>
  <c r="T174" i="2" s="1"/>
  <c r="L173" i="2"/>
  <c r="T173" i="2" s="1"/>
  <c r="L172" i="2"/>
  <c r="T171" i="2"/>
  <c r="L171" i="2"/>
  <c r="L170" i="2"/>
  <c r="T170" i="2" s="1"/>
  <c r="L169" i="2"/>
  <c r="T169" i="2" s="1"/>
  <c r="L168" i="2"/>
  <c r="T168" i="2" s="1"/>
  <c r="L167" i="2"/>
  <c r="T167" i="2" s="1"/>
  <c r="A167" i="2"/>
  <c r="A169" i="2" s="1"/>
  <c r="L166" i="2"/>
  <c r="T166" i="2" s="1"/>
  <c r="T165" i="2"/>
  <c r="L165" i="2"/>
  <c r="L164" i="2"/>
  <c r="T164" i="2" s="1"/>
  <c r="L163" i="2"/>
  <c r="T163" i="2" s="1"/>
  <c r="L162" i="2"/>
  <c r="T162" i="2" s="1"/>
  <c r="L161" i="2"/>
  <c r="T161" i="2" s="1"/>
  <c r="L160" i="2"/>
  <c r="L159" i="2"/>
  <c r="T159" i="2" s="1"/>
  <c r="L158" i="2"/>
  <c r="T158" i="2" s="1"/>
  <c r="O157" i="2"/>
  <c r="N157" i="2"/>
  <c r="L157" i="2"/>
  <c r="T157" i="2" s="1"/>
  <c r="O156" i="2"/>
  <c r="N156" i="2"/>
  <c r="L156" i="2"/>
  <c r="T156" i="2" s="1"/>
  <c r="O155" i="2"/>
  <c r="N155" i="2"/>
  <c r="L155" i="2"/>
  <c r="T155" i="2" s="1"/>
  <c r="A155" i="2"/>
  <c r="A157" i="2" s="1"/>
  <c r="O154" i="2"/>
  <c r="N154" i="2"/>
  <c r="L154" i="2"/>
  <c r="T154" i="2" s="1"/>
  <c r="O153" i="2"/>
  <c r="N153" i="2"/>
  <c r="L153" i="2"/>
  <c r="T153" i="2" s="1"/>
  <c r="T152" i="2"/>
  <c r="O152" i="2"/>
  <c r="N152" i="2"/>
  <c r="L152" i="2"/>
  <c r="O151" i="2"/>
  <c r="N151" i="2"/>
  <c r="L151" i="2"/>
  <c r="T151" i="2" s="1"/>
  <c r="O150" i="2"/>
  <c r="N150" i="2"/>
  <c r="L150" i="2"/>
  <c r="T150" i="2" s="1"/>
  <c r="T149" i="2"/>
  <c r="O149" i="2"/>
  <c r="N149" i="2"/>
  <c r="L149" i="2"/>
  <c r="S148" i="2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O148" i="2"/>
  <c r="N148" i="2"/>
  <c r="L148" i="2"/>
  <c r="T148" i="2" s="1"/>
  <c r="T147" i="2"/>
  <c r="O147" i="2"/>
  <c r="N147" i="2"/>
  <c r="L147" i="2"/>
  <c r="O146" i="2"/>
  <c r="N146" i="2"/>
  <c r="L146" i="2"/>
  <c r="T146" i="2" s="1"/>
  <c r="O145" i="2"/>
  <c r="N145" i="2"/>
  <c r="L145" i="2"/>
  <c r="T145" i="2" s="1"/>
  <c r="O144" i="2"/>
  <c r="N144" i="2"/>
  <c r="L144" i="2"/>
  <c r="T144" i="2" s="1"/>
  <c r="O143" i="2"/>
  <c r="N143" i="2"/>
  <c r="L143" i="2"/>
  <c r="T143" i="2" s="1"/>
  <c r="O142" i="2"/>
  <c r="N142" i="2"/>
  <c r="L142" i="2"/>
  <c r="T142" i="2" s="1"/>
  <c r="O141" i="2"/>
  <c r="N141" i="2"/>
  <c r="L141" i="2"/>
  <c r="T141" i="2" s="1"/>
  <c r="T140" i="2"/>
  <c r="O140" i="2"/>
  <c r="N140" i="2"/>
  <c r="L140" i="2"/>
  <c r="O139" i="2"/>
  <c r="N139" i="2"/>
  <c r="L139" i="2"/>
  <c r="T139" i="2" s="1"/>
  <c r="T138" i="2"/>
  <c r="O138" i="2"/>
  <c r="N138" i="2"/>
  <c r="L138" i="2"/>
  <c r="O137" i="2"/>
  <c r="N137" i="2"/>
  <c r="L137" i="2"/>
  <c r="T137" i="2" s="1"/>
  <c r="T136" i="2"/>
  <c r="O136" i="2"/>
  <c r="N136" i="2"/>
  <c r="L136" i="2"/>
  <c r="O135" i="2"/>
  <c r="N135" i="2"/>
  <c r="L135" i="2"/>
  <c r="T135" i="2" s="1"/>
  <c r="O134" i="2"/>
  <c r="N134" i="2"/>
  <c r="L134" i="2"/>
  <c r="T134" i="2" s="1"/>
  <c r="O133" i="2"/>
  <c r="N133" i="2"/>
  <c r="L133" i="2"/>
  <c r="T133" i="2" s="1"/>
  <c r="O132" i="2"/>
  <c r="N132" i="2"/>
  <c r="L132" i="2"/>
  <c r="T132" i="2" s="1"/>
  <c r="O131" i="2"/>
  <c r="N131" i="2"/>
  <c r="L131" i="2"/>
  <c r="T131" i="2" s="1"/>
  <c r="O130" i="2"/>
  <c r="N130" i="2"/>
  <c r="L130" i="2"/>
  <c r="T130" i="2" s="1"/>
  <c r="T129" i="2"/>
  <c r="O129" i="2"/>
  <c r="N129" i="2"/>
  <c r="L129" i="2"/>
  <c r="O128" i="2"/>
  <c r="N128" i="2"/>
  <c r="L128" i="2"/>
  <c r="T128" i="2" s="1"/>
  <c r="T127" i="2"/>
  <c r="O127" i="2"/>
  <c r="N127" i="2"/>
  <c r="L127" i="2"/>
  <c r="O126" i="2"/>
  <c r="N126" i="2"/>
  <c r="L126" i="2"/>
  <c r="T126" i="2" s="1"/>
  <c r="O125" i="2"/>
  <c r="N125" i="2"/>
  <c r="L125" i="2"/>
  <c r="O124" i="2"/>
  <c r="N124" i="2"/>
  <c r="L124" i="2"/>
  <c r="T124" i="2" s="1"/>
  <c r="O123" i="2"/>
  <c r="N123" i="2"/>
  <c r="L123" i="2"/>
  <c r="T123" i="2" s="1"/>
  <c r="O122" i="2"/>
  <c r="N122" i="2"/>
  <c r="L122" i="2"/>
  <c r="T122" i="2" s="1"/>
  <c r="O121" i="2"/>
  <c r="N121" i="2"/>
  <c r="L121" i="2"/>
  <c r="T121" i="2" s="1"/>
  <c r="O120" i="2"/>
  <c r="N120" i="2"/>
  <c r="L120" i="2"/>
  <c r="T120" i="2" s="1"/>
  <c r="O119" i="2"/>
  <c r="N119" i="2"/>
  <c r="L119" i="2"/>
  <c r="T119" i="2" s="1"/>
  <c r="O118" i="2"/>
  <c r="N118" i="2"/>
  <c r="L118" i="2"/>
  <c r="T118" i="2" s="1"/>
  <c r="O117" i="2"/>
  <c r="N117" i="2"/>
  <c r="L117" i="2"/>
  <c r="T117" i="2" s="1"/>
  <c r="O116" i="2"/>
  <c r="N116" i="2"/>
  <c r="L116" i="2"/>
  <c r="T116" i="2" s="1"/>
  <c r="O115" i="2"/>
  <c r="N115" i="2"/>
  <c r="L115" i="2"/>
  <c r="T115" i="2" s="1"/>
  <c r="O114" i="2"/>
  <c r="N114" i="2"/>
  <c r="L114" i="2"/>
  <c r="O113" i="2"/>
  <c r="N113" i="2"/>
  <c r="L113" i="2"/>
  <c r="T113" i="2" s="1"/>
  <c r="O112" i="2"/>
  <c r="N112" i="2"/>
  <c r="L112" i="2"/>
  <c r="T112" i="2" s="1"/>
  <c r="O111" i="2"/>
  <c r="N111" i="2"/>
  <c r="L111" i="2"/>
  <c r="T111" i="2" s="1"/>
  <c r="O110" i="2"/>
  <c r="N110" i="2"/>
  <c r="L110" i="2"/>
  <c r="T110" i="2" s="1"/>
  <c r="O109" i="2"/>
  <c r="N109" i="2"/>
  <c r="L109" i="2"/>
  <c r="T109" i="2" s="1"/>
  <c r="O108" i="2"/>
  <c r="N108" i="2"/>
  <c r="L108" i="2"/>
  <c r="T108" i="2" s="1"/>
  <c r="T107" i="2"/>
  <c r="O107" i="2"/>
  <c r="N107" i="2"/>
  <c r="L107" i="2"/>
  <c r="O106" i="2"/>
  <c r="N106" i="2"/>
  <c r="L106" i="2"/>
  <c r="T106" i="2" s="1"/>
  <c r="O105" i="2"/>
  <c r="N105" i="2"/>
  <c r="L105" i="2"/>
  <c r="T105" i="2" s="1"/>
  <c r="O104" i="2"/>
  <c r="N104" i="2"/>
  <c r="L104" i="2"/>
  <c r="T104" i="2" s="1"/>
  <c r="O103" i="2"/>
  <c r="N103" i="2"/>
  <c r="L103" i="2"/>
  <c r="T103" i="2" s="1"/>
  <c r="O102" i="2"/>
  <c r="N102" i="2"/>
  <c r="L102" i="2"/>
  <c r="T102" i="2" s="1"/>
  <c r="O101" i="2"/>
  <c r="N101" i="2"/>
  <c r="L101" i="2"/>
  <c r="T101" i="2" s="1"/>
  <c r="O100" i="2"/>
  <c r="N100" i="2"/>
  <c r="L100" i="2"/>
  <c r="O99" i="2"/>
  <c r="N99" i="2"/>
  <c r="L99" i="2"/>
  <c r="T99" i="2" s="1"/>
  <c r="O98" i="2"/>
  <c r="N98" i="2"/>
  <c r="L98" i="2"/>
  <c r="T98" i="2" s="1"/>
  <c r="O97" i="2"/>
  <c r="N97" i="2"/>
  <c r="L97" i="2"/>
  <c r="T97" i="2" s="1"/>
  <c r="O96" i="2"/>
  <c r="N96" i="2"/>
  <c r="L96" i="2"/>
  <c r="T96" i="2" s="1"/>
  <c r="O95" i="2"/>
  <c r="N95" i="2"/>
  <c r="L95" i="2"/>
  <c r="T95" i="2" s="1"/>
  <c r="T94" i="2"/>
  <c r="O94" i="2"/>
  <c r="N94" i="2"/>
  <c r="L94" i="2"/>
  <c r="O93" i="2"/>
  <c r="N93" i="2"/>
  <c r="L93" i="2"/>
  <c r="T93" i="2" s="1"/>
  <c r="T92" i="2"/>
  <c r="O92" i="2"/>
  <c r="N92" i="2"/>
  <c r="L92" i="2"/>
  <c r="O91" i="2"/>
  <c r="N91" i="2"/>
  <c r="L91" i="2"/>
  <c r="T91" i="2" s="1"/>
  <c r="T90" i="2"/>
  <c r="O90" i="2"/>
  <c r="N90" i="2"/>
  <c r="L90" i="2"/>
  <c r="O89" i="2"/>
  <c r="N89" i="2"/>
  <c r="L89" i="2"/>
  <c r="T89" i="2" s="1"/>
  <c r="O88" i="2"/>
  <c r="N88" i="2"/>
  <c r="L88" i="2"/>
  <c r="O87" i="2"/>
  <c r="N87" i="2"/>
  <c r="L87" i="2"/>
  <c r="T87" i="2" s="1"/>
  <c r="O86" i="2"/>
  <c r="N86" i="2"/>
  <c r="L86" i="2"/>
  <c r="T85" i="2"/>
  <c r="O85" i="2"/>
  <c r="N85" i="2"/>
  <c r="L85" i="2"/>
  <c r="M85" i="2" s="1"/>
  <c r="T84" i="2"/>
  <c r="O84" i="2"/>
  <c r="N84" i="2"/>
  <c r="O83" i="2"/>
  <c r="N83" i="2"/>
  <c r="L83" i="2"/>
  <c r="T83" i="2" s="1"/>
  <c r="L82" i="2"/>
  <c r="T82" i="2" s="1"/>
  <c r="L81" i="2"/>
  <c r="T81" i="2" s="1"/>
  <c r="L80" i="2"/>
  <c r="T80" i="2" s="1"/>
  <c r="L79" i="2"/>
  <c r="T79" i="2" s="1"/>
  <c r="L78" i="2"/>
  <c r="T78" i="2" s="1"/>
  <c r="L77" i="2"/>
  <c r="T77" i="2" s="1"/>
  <c r="L76" i="2"/>
  <c r="T75" i="2"/>
  <c r="L74" i="2"/>
  <c r="T74" i="2" s="1"/>
  <c r="L73" i="2"/>
  <c r="T73" i="2" s="1"/>
  <c r="L72" i="2"/>
  <c r="T72" i="2" s="1"/>
  <c r="L71" i="2"/>
  <c r="T71" i="2" s="1"/>
  <c r="L70" i="2"/>
  <c r="T70" i="2" s="1"/>
  <c r="L69" i="2"/>
  <c r="T69" i="2" s="1"/>
  <c r="L68" i="2"/>
  <c r="T68" i="2" s="1"/>
  <c r="L67" i="2"/>
  <c r="T67" i="2" s="1"/>
  <c r="L66" i="2"/>
  <c r="T66" i="2" s="1"/>
  <c r="L65" i="2"/>
  <c r="T65" i="2" s="1"/>
  <c r="L64" i="2"/>
  <c r="L63" i="2"/>
  <c r="T63" i="2" s="1"/>
  <c r="L62" i="2"/>
  <c r="T62" i="2" s="1"/>
  <c r="L61" i="2"/>
  <c r="T61" i="2" s="1"/>
  <c r="L60" i="2"/>
  <c r="T60" i="2" s="1"/>
  <c r="L59" i="2"/>
  <c r="T59" i="2" s="1"/>
  <c r="L58" i="2"/>
  <c r="T58" i="2" s="1"/>
  <c r="L57" i="2"/>
  <c r="T57" i="2" s="1"/>
  <c r="L56" i="2"/>
  <c r="T56" i="2" s="1"/>
  <c r="L55" i="2"/>
  <c r="T54" i="2"/>
  <c r="L54" i="2"/>
  <c r="L53" i="2"/>
  <c r="T53" i="2" s="1"/>
  <c r="M52" i="2"/>
  <c r="M53" i="2" s="1"/>
  <c r="M54" i="2" s="1"/>
  <c r="M55" i="2" s="1"/>
  <c r="M56" i="2" s="1"/>
  <c r="M57" i="2" s="1"/>
  <c r="M58" i="2" s="1"/>
  <c r="M59" i="2" s="1"/>
  <c r="M60" i="2" s="1"/>
  <c r="L52" i="2"/>
  <c r="T52" i="2" s="1"/>
  <c r="T51" i="2"/>
  <c r="T50" i="2"/>
  <c r="T49" i="2"/>
  <c r="T48" i="2"/>
  <c r="T47" i="2"/>
  <c r="T46" i="2"/>
  <c r="T45" i="2"/>
  <c r="A45" i="2"/>
  <c r="A48" i="2" s="1"/>
  <c r="T44" i="2"/>
  <c r="T43" i="2"/>
  <c r="T42" i="2"/>
  <c r="T41" i="2"/>
  <c r="T40" i="2"/>
  <c r="T39" i="2"/>
  <c r="T38" i="2"/>
  <c r="T37" i="2"/>
  <c r="T36" i="2"/>
  <c r="T35" i="2"/>
  <c r="T34" i="2"/>
  <c r="T33" i="2"/>
  <c r="A33" i="2"/>
  <c r="A36" i="2" s="1"/>
  <c r="T32" i="2"/>
  <c r="T31" i="2"/>
  <c r="T30" i="2"/>
  <c r="T29" i="2"/>
  <c r="T28" i="2"/>
  <c r="T27" i="2"/>
  <c r="T26" i="2"/>
  <c r="T25" i="2"/>
  <c r="T24" i="2"/>
  <c r="T23" i="2"/>
  <c r="T22" i="2"/>
  <c r="T21" i="2"/>
  <c r="A21" i="2"/>
  <c r="A24" i="2" s="1"/>
  <c r="T20" i="2"/>
  <c r="T19" i="2"/>
  <c r="T18" i="2"/>
  <c r="T17" i="2"/>
  <c r="T16" i="2"/>
  <c r="T15" i="2"/>
  <c r="T14" i="2"/>
  <c r="T13" i="2"/>
  <c r="T12" i="2"/>
  <c r="T11" i="2"/>
  <c r="T10" i="2"/>
  <c r="T9" i="2"/>
  <c r="A9" i="2"/>
  <c r="A12" i="2" s="1"/>
  <c r="T8" i="2"/>
  <c r="T7" i="2"/>
  <c r="T6" i="2"/>
  <c r="T5" i="2"/>
  <c r="T4" i="2"/>
  <c r="Q212" i="2" l="1"/>
  <c r="F335" i="2"/>
  <c r="Q333" i="2"/>
  <c r="P332" i="2"/>
  <c r="I331" i="2"/>
  <c r="G330" i="2"/>
  <c r="L330" i="2" s="1"/>
  <c r="T330" i="2" s="1"/>
  <c r="K328" i="2"/>
  <c r="E327" i="2"/>
  <c r="F324" i="2"/>
  <c r="P322" i="2"/>
  <c r="G321" i="2"/>
  <c r="K319" i="2"/>
  <c r="I318" i="2"/>
  <c r="I304" i="2"/>
  <c r="H300" i="2"/>
  <c r="J293" i="2"/>
  <c r="J280" i="2"/>
  <c r="Q277" i="2"/>
  <c r="G275" i="2"/>
  <c r="E272" i="2"/>
  <c r="P268" i="2"/>
  <c r="R268" i="2" s="1"/>
  <c r="F265" i="2"/>
  <c r="L265" i="2" s="1"/>
  <c r="J261" i="2"/>
  <c r="G258" i="2"/>
  <c r="P254" i="2"/>
  <c r="I251" i="2"/>
  <c r="J248" i="2"/>
  <c r="G245" i="2"/>
  <c r="P241" i="2"/>
  <c r="P238" i="2"/>
  <c r="R238" i="2" s="1"/>
  <c r="J235" i="2"/>
  <c r="Q231" i="2"/>
  <c r="P228" i="2"/>
  <c r="I225" i="2"/>
  <c r="F222" i="2"/>
  <c r="H218" i="2"/>
  <c r="H214" i="2"/>
  <c r="H251" i="2"/>
  <c r="K228" i="2"/>
  <c r="F225" i="2"/>
  <c r="P221" i="2"/>
  <c r="H217" i="2"/>
  <c r="H312" i="2"/>
  <c r="H302" i="2"/>
  <c r="K241" i="2"/>
  <c r="F315" i="2"/>
  <c r="K290" i="2"/>
  <c r="F268" i="2"/>
  <c r="P264" i="2"/>
  <c r="F261" i="2"/>
  <c r="K257" i="2"/>
  <c r="I254" i="2"/>
  <c r="F251" i="2"/>
  <c r="P247" i="2"/>
  <c r="R247" i="2" s="1"/>
  <c r="Q244" i="2"/>
  <c r="R244" i="2" s="1"/>
  <c r="G241" i="2"/>
  <c r="Q234" i="2"/>
  <c r="I231" i="2"/>
  <c r="Q227" i="2"/>
  <c r="P224" i="2"/>
  <c r="J221" i="2"/>
  <c r="G214" i="2"/>
  <c r="I216" i="2"/>
  <c r="G217" i="2"/>
  <c r="E218" i="2"/>
  <c r="P218" i="2"/>
  <c r="K219" i="2"/>
  <c r="I220" i="2"/>
  <c r="G221" i="2"/>
  <c r="E222" i="2"/>
  <c r="O222" i="2" s="1"/>
  <c r="P222" i="2"/>
  <c r="K223" i="2"/>
  <c r="I224" i="2"/>
  <c r="G225" i="2"/>
  <c r="E226" i="2"/>
  <c r="P226" i="2"/>
  <c r="K227" i="2"/>
  <c r="J228" i="2"/>
  <c r="I229" i="2"/>
  <c r="H230" i="2"/>
  <c r="F231" i="2"/>
  <c r="E232" i="2"/>
  <c r="P232" i="2"/>
  <c r="K233" i="2"/>
  <c r="J234" i="2"/>
  <c r="I235" i="2"/>
  <c r="G236" i="2"/>
  <c r="E237" i="2"/>
  <c r="P237" i="2"/>
  <c r="J238" i="2"/>
  <c r="I239" i="2"/>
  <c r="G240" i="2"/>
  <c r="E241" i="2"/>
  <c r="Q241" i="2"/>
  <c r="R241" i="2" s="1"/>
  <c r="P242" i="2"/>
  <c r="K243" i="2"/>
  <c r="I244" i="2"/>
  <c r="H245" i="2"/>
  <c r="E246" i="2"/>
  <c r="Q246" i="2"/>
  <c r="I248" i="2"/>
  <c r="G249" i="2"/>
  <c r="E250" i="2"/>
  <c r="P250" i="2"/>
  <c r="K251" i="2"/>
  <c r="H252" i="2"/>
  <c r="G253" i="2"/>
  <c r="F254" i="2"/>
  <c r="Q254" i="2"/>
  <c r="J256" i="2"/>
  <c r="I257" i="2"/>
  <c r="H258" i="2"/>
  <c r="F259" i="2"/>
  <c r="E260" i="2"/>
  <c r="Q260" i="2"/>
  <c r="P261" i="2"/>
  <c r="K262" i="2"/>
  <c r="J263" i="2"/>
  <c r="I264" i="2"/>
  <c r="H265" i="2"/>
  <c r="G266" i="2"/>
  <c r="F267" i="2"/>
  <c r="E268" i="2"/>
  <c r="Q268" i="2"/>
  <c r="P269" i="2"/>
  <c r="K270" i="2"/>
  <c r="J271" i="2"/>
  <c r="I272" i="2"/>
  <c r="H273" i="2"/>
  <c r="G274" i="2"/>
  <c r="F275" i="2"/>
  <c r="E276" i="2"/>
  <c r="J214" i="2"/>
  <c r="H215" i="2"/>
  <c r="F216" i="2"/>
  <c r="E217" i="2"/>
  <c r="O217" i="2" s="1"/>
  <c r="Q217" i="2"/>
  <c r="Q218" i="2"/>
  <c r="R218" i="2" s="1"/>
  <c r="P219" i="2"/>
  <c r="K221" i="2"/>
  <c r="J222" i="2"/>
  <c r="I223" i="2"/>
  <c r="H224" i="2"/>
  <c r="H225" i="2"/>
  <c r="G226" i="2"/>
  <c r="F227" i="2"/>
  <c r="F228" i="2"/>
  <c r="F229" i="2"/>
  <c r="F230" i="2"/>
  <c r="E231" i="2"/>
  <c r="L231" i="2" s="1"/>
  <c r="F232" i="2"/>
  <c r="E233" i="2"/>
  <c r="E234" i="2"/>
  <c r="E235" i="2"/>
  <c r="Q235" i="2"/>
  <c r="Q236" i="2"/>
  <c r="K238" i="2"/>
  <c r="K239" i="2"/>
  <c r="J240" i="2"/>
  <c r="I241" i="2"/>
  <c r="I242" i="2"/>
  <c r="I243" i="2"/>
  <c r="H244" i="2"/>
  <c r="I245" i="2"/>
  <c r="G246" i="2"/>
  <c r="G247" i="2"/>
  <c r="L247" i="2" s="1"/>
  <c r="T247" i="2" s="1"/>
  <c r="E248" i="2"/>
  <c r="Q248" i="2"/>
  <c r="P249" i="2"/>
  <c r="J252" i="2"/>
  <c r="J253" i="2"/>
  <c r="J254" i="2"/>
  <c r="I255" i="2"/>
  <c r="H256" i="2"/>
  <c r="H257" i="2"/>
  <c r="I258" i="2"/>
  <c r="H259" i="2"/>
  <c r="H260" i="2"/>
  <c r="H261" i="2"/>
  <c r="H262" i="2"/>
  <c r="H263" i="2"/>
  <c r="H264" i="2"/>
  <c r="I265" i="2"/>
  <c r="I266" i="2"/>
  <c r="I267" i="2"/>
  <c r="I268" i="2"/>
  <c r="I269" i="2"/>
  <c r="I270" i="2"/>
  <c r="I271" i="2"/>
  <c r="J272" i="2"/>
  <c r="J273" i="2"/>
  <c r="J274" i="2"/>
  <c r="J275" i="2"/>
  <c r="J276" i="2"/>
  <c r="I277" i="2"/>
  <c r="H278" i="2"/>
  <c r="G279" i="2"/>
  <c r="F280" i="2"/>
  <c r="E281" i="2"/>
  <c r="Q281" i="2"/>
  <c r="P282" i="2"/>
  <c r="K283" i="2"/>
  <c r="J284" i="2"/>
  <c r="I285" i="2"/>
  <c r="H286" i="2"/>
  <c r="G287" i="2"/>
  <c r="F288" i="2"/>
  <c r="E289" i="2"/>
  <c r="O289" i="2" s="1"/>
  <c r="Q289" i="2"/>
  <c r="P290" i="2"/>
  <c r="P214" i="2"/>
  <c r="P215" i="2"/>
  <c r="Q219" i="2"/>
  <c r="R219" i="2" s="1"/>
  <c r="Q220" i="2"/>
  <c r="R220" i="2" s="1"/>
  <c r="Q221" i="2"/>
  <c r="R221" i="2" s="1"/>
  <c r="E223" i="2"/>
  <c r="E224" i="2"/>
  <c r="E225" i="2"/>
  <c r="O225" i="2" s="1"/>
  <c r="F226" i="2"/>
  <c r="G227" i="2"/>
  <c r="H228" i="2"/>
  <c r="J229" i="2"/>
  <c r="K230" i="2"/>
  <c r="K231" i="2"/>
  <c r="Q233" i="2"/>
  <c r="F235" i="2"/>
  <c r="F236" i="2"/>
  <c r="G237" i="2"/>
  <c r="F238" i="2"/>
  <c r="G239" i="2"/>
  <c r="O239" i="2" s="1"/>
  <c r="H240" i="2"/>
  <c r="H241" i="2"/>
  <c r="J242" i="2"/>
  <c r="P244" i="2"/>
  <c r="P245" i="2"/>
  <c r="P246" i="2"/>
  <c r="R246" i="2" s="1"/>
  <c r="Q247" i="2"/>
  <c r="P248" i="2"/>
  <c r="Q249" i="2"/>
  <c r="E251" i="2"/>
  <c r="E253" i="2"/>
  <c r="G254" i="2"/>
  <c r="G255" i="2"/>
  <c r="G256" i="2"/>
  <c r="J257" i="2"/>
  <c r="K258" i="2"/>
  <c r="K259" i="2"/>
  <c r="P260" i="2"/>
  <c r="R260" i="2" s="1"/>
  <c r="E262" i="2"/>
  <c r="F263" i="2"/>
  <c r="G264" i="2"/>
  <c r="J265" i="2"/>
  <c r="K266" i="2"/>
  <c r="P267" i="2"/>
  <c r="R267" i="2" s="1"/>
  <c r="E269" i="2"/>
  <c r="F270" i="2"/>
  <c r="G271" i="2"/>
  <c r="H272" i="2"/>
  <c r="K273" i="2"/>
  <c r="P274" i="2"/>
  <c r="Q275" i="2"/>
  <c r="E277" i="2"/>
  <c r="O277" i="2" s="1"/>
  <c r="E278" i="2"/>
  <c r="E279" i="2"/>
  <c r="O279" i="2" s="1"/>
  <c r="E280" i="2"/>
  <c r="F281" i="2"/>
  <c r="F282" i="2"/>
  <c r="F283" i="2"/>
  <c r="F284" i="2"/>
  <c r="F285" i="2"/>
  <c r="F286" i="2"/>
  <c r="F287" i="2"/>
  <c r="G288" i="2"/>
  <c r="G289" i="2"/>
  <c r="G290" i="2"/>
  <c r="G291" i="2"/>
  <c r="F292" i="2"/>
  <c r="E293" i="2"/>
  <c r="O293" i="2" s="1"/>
  <c r="Q293" i="2"/>
  <c r="P294" i="2"/>
  <c r="K295" i="2"/>
  <c r="J296" i="2"/>
  <c r="I297" i="2"/>
  <c r="H298" i="2"/>
  <c r="G299" i="2"/>
  <c r="E214" i="2"/>
  <c r="O214" i="2" s="1"/>
  <c r="F215" i="2"/>
  <c r="G216" i="2"/>
  <c r="I217" i="2"/>
  <c r="J218" i="2"/>
  <c r="E221" i="2"/>
  <c r="G222" i="2"/>
  <c r="H223" i="2"/>
  <c r="K224" i="2"/>
  <c r="L224" i="2" s="1"/>
  <c r="T224" i="2" s="1"/>
  <c r="Q226" i="2"/>
  <c r="R226" i="2" s="1"/>
  <c r="G228" i="2"/>
  <c r="K229" i="2"/>
  <c r="P230" i="2"/>
  <c r="G232" i="2"/>
  <c r="H233" i="2"/>
  <c r="K234" i="2"/>
  <c r="P235" i="2"/>
  <c r="R235" i="2" s="1"/>
  <c r="F237" i="2"/>
  <c r="G238" i="2"/>
  <c r="J239" i="2"/>
  <c r="E242" i="2"/>
  <c r="G243" i="2"/>
  <c r="J244" i="2"/>
  <c r="E247" i="2"/>
  <c r="F248" i="2"/>
  <c r="H249" i="2"/>
  <c r="I250" i="2"/>
  <c r="J251" i="2"/>
  <c r="P252" i="2"/>
  <c r="E254" i="2"/>
  <c r="O254" i="2" s="1"/>
  <c r="H255" i="2"/>
  <c r="K256" i="2"/>
  <c r="Q257" i="2"/>
  <c r="R257" i="2" s="1"/>
  <c r="E259" i="2"/>
  <c r="I260" i="2"/>
  <c r="K261" i="2"/>
  <c r="E263" i="2"/>
  <c r="J264" i="2"/>
  <c r="P265" i="2"/>
  <c r="E267" i="2"/>
  <c r="H268" i="2"/>
  <c r="K269" i="2"/>
  <c r="E271" i="2"/>
  <c r="O271" i="2" s="1"/>
  <c r="G272" i="2"/>
  <c r="P273" i="2"/>
  <c r="E275" i="2"/>
  <c r="O275" i="2" s="1"/>
  <c r="H276" i="2"/>
  <c r="J277" i="2"/>
  <c r="K278" i="2"/>
  <c r="P279" i="2"/>
  <c r="Q280" i="2"/>
  <c r="G282" i="2"/>
  <c r="H283" i="2"/>
  <c r="I284" i="2"/>
  <c r="K285" i="2"/>
  <c r="P286" i="2"/>
  <c r="Q287" i="2"/>
  <c r="F289" i="2"/>
  <c r="H290" i="2"/>
  <c r="I291" i="2"/>
  <c r="I292" i="2"/>
  <c r="I293" i="2"/>
  <c r="I294" i="2"/>
  <c r="I295" i="2"/>
  <c r="I296" i="2"/>
  <c r="J297" i="2"/>
  <c r="J298" i="2"/>
  <c r="J299" i="2"/>
  <c r="I300" i="2"/>
  <c r="H301" i="2"/>
  <c r="G302" i="2"/>
  <c r="F303" i="2"/>
  <c r="E304" i="2"/>
  <c r="O304" i="2" s="1"/>
  <c r="Q304" i="2"/>
  <c r="P305" i="2"/>
  <c r="K306" i="2"/>
  <c r="J307" i="2"/>
  <c r="I308" i="2"/>
  <c r="H309" i="2"/>
  <c r="F310" i="2"/>
  <c r="Q310" i="2"/>
  <c r="K311" i="2"/>
  <c r="J312" i="2"/>
  <c r="I313" i="2"/>
  <c r="G314" i="2"/>
  <c r="E315" i="2"/>
  <c r="Q315" i="2"/>
  <c r="I317" i="2"/>
  <c r="F318" i="2"/>
  <c r="F203" i="2" s="1"/>
  <c r="Q318" i="2"/>
  <c r="J320" i="2"/>
  <c r="H321" i="2"/>
  <c r="F322" i="2"/>
  <c r="Q322" i="2"/>
  <c r="J324" i="2"/>
  <c r="H325" i="2"/>
  <c r="F326" i="2"/>
  <c r="L326" i="2" s="1"/>
  <c r="T326" i="2" s="1"/>
  <c r="Q326" i="2"/>
  <c r="J328" i="2"/>
  <c r="H329" i="2"/>
  <c r="F330" i="2"/>
  <c r="Q330" i="2"/>
  <c r="J332" i="2"/>
  <c r="J206" i="2" s="1"/>
  <c r="H333" i="2"/>
  <c r="F334" i="2"/>
  <c r="F207" i="2" s="1"/>
  <c r="Q334" i="2"/>
  <c r="Q213" i="2"/>
  <c r="E213" i="2"/>
  <c r="F212" i="2"/>
  <c r="F214" i="2"/>
  <c r="G215" i="2"/>
  <c r="H216" i="2"/>
  <c r="J217" i="2"/>
  <c r="K218" i="2"/>
  <c r="E220" i="2"/>
  <c r="F221" i="2"/>
  <c r="H222" i="2"/>
  <c r="J223" i="2"/>
  <c r="P225" i="2"/>
  <c r="E227" i="2"/>
  <c r="I228" i="2"/>
  <c r="L228" i="2" s="1"/>
  <c r="T228" i="2" s="1"/>
  <c r="P229" i="2"/>
  <c r="Q230" i="2"/>
  <c r="R230" i="2" s="1"/>
  <c r="H232" i="2"/>
  <c r="I233" i="2"/>
  <c r="P234" i="2"/>
  <c r="E236" i="2"/>
  <c r="H237" i="2"/>
  <c r="H238" i="2"/>
  <c r="N238" i="2" s="1"/>
  <c r="P239" i="2"/>
  <c r="P240" i="2"/>
  <c r="R240" i="2" s="1"/>
  <c r="F242" i="2"/>
  <c r="H243" i="2"/>
  <c r="K244" i="2"/>
  <c r="Q245" i="2"/>
  <c r="F247" i="2"/>
  <c r="G248" i="2"/>
  <c r="I249" i="2"/>
  <c r="J250" i="2"/>
  <c r="P251" i="2"/>
  <c r="Q252" i="2"/>
  <c r="R252" i="2" s="1"/>
  <c r="H254" i="2"/>
  <c r="J255" i="2"/>
  <c r="P256" i="2"/>
  <c r="E258" i="2"/>
  <c r="O258" i="2" s="1"/>
  <c r="G259" i="2"/>
  <c r="J260" i="2"/>
  <c r="Q261" i="2"/>
  <c r="G263" i="2"/>
  <c r="K264" i="2"/>
  <c r="Q265" i="2"/>
  <c r="G267" i="2"/>
  <c r="J268" i="2"/>
  <c r="Q269" i="2"/>
  <c r="K214" i="2"/>
  <c r="K217" i="2"/>
  <c r="G219" i="2"/>
  <c r="K220" i="2"/>
  <c r="E216" i="2"/>
  <c r="O216" i="2" s="1"/>
  <c r="P217" i="2"/>
  <c r="H219" i="2"/>
  <c r="P220" i="2"/>
  <c r="K222" i="2"/>
  <c r="F224" i="2"/>
  <c r="K225" i="2"/>
  <c r="I227" i="2"/>
  <c r="E229" i="2"/>
  <c r="J232" i="2"/>
  <c r="G234" i="2"/>
  <c r="O234" i="2" s="1"/>
  <c r="J237" i="2"/>
  <c r="E239" i="2"/>
  <c r="K240" i="2"/>
  <c r="H242" i="2"/>
  <c r="E244" i="2"/>
  <c r="K245" i="2"/>
  <c r="I247" i="2"/>
  <c r="H250" i="2"/>
  <c r="E252" i="2"/>
  <c r="K253" i="2"/>
  <c r="F255" i="2"/>
  <c r="E257" i="2"/>
  <c r="G260" i="2"/>
  <c r="G262" i="2"/>
  <c r="Q263" i="2"/>
  <c r="K265" i="2"/>
  <c r="J267" i="2"/>
  <c r="G269" i="2"/>
  <c r="Q270" i="2"/>
  <c r="K272" i="2"/>
  <c r="E274" i="2"/>
  <c r="O274" i="2" s="1"/>
  <c r="I275" i="2"/>
  <c r="Q276" i="2"/>
  <c r="G278" i="2"/>
  <c r="J279" i="2"/>
  <c r="P280" i="2"/>
  <c r="R280" i="2" s="1"/>
  <c r="H282" i="2"/>
  <c r="J283" i="2"/>
  <c r="Q284" i="2"/>
  <c r="G286" i="2"/>
  <c r="J287" i="2"/>
  <c r="P288" i="2"/>
  <c r="F290" i="2"/>
  <c r="J291" i="2"/>
  <c r="K292" i="2"/>
  <c r="P293" i="2"/>
  <c r="E295" i="2"/>
  <c r="F296" i="2"/>
  <c r="G297" i="2"/>
  <c r="I298" i="2"/>
  <c r="I199" i="2" s="1"/>
  <c r="K299" i="2"/>
  <c r="K300" i="2"/>
  <c r="K301" i="2"/>
  <c r="K302" i="2"/>
  <c r="K303" i="2"/>
  <c r="K304" i="2"/>
  <c r="K305" i="2"/>
  <c r="P306" i="2"/>
  <c r="R306" i="2" s="1"/>
  <c r="P307" i="2"/>
  <c r="P201" i="2" s="1"/>
  <c r="P308" i="2"/>
  <c r="R308" i="2" s="1"/>
  <c r="P309" i="2"/>
  <c r="K310" i="2"/>
  <c r="I311" i="2"/>
  <c r="I312" i="2"/>
  <c r="J313" i="2"/>
  <c r="I314" i="2"/>
  <c r="H315" i="2"/>
  <c r="H316" i="2"/>
  <c r="F317" i="2"/>
  <c r="Q317" i="2"/>
  <c r="P318" i="2"/>
  <c r="P319" i="2"/>
  <c r="K321" i="2"/>
  <c r="J322" i="2"/>
  <c r="J204" i="2" s="1"/>
  <c r="I323" i="2"/>
  <c r="H324" i="2"/>
  <c r="G325" i="2"/>
  <c r="G326" i="2"/>
  <c r="F327" i="2"/>
  <c r="E328" i="2"/>
  <c r="Q328" i="2"/>
  <c r="P329" i="2"/>
  <c r="K331" i="2"/>
  <c r="K332" i="2"/>
  <c r="K206" i="2" s="1"/>
  <c r="J333" i="2"/>
  <c r="I334" i="2"/>
  <c r="I207" i="2" s="1"/>
  <c r="H335" i="2"/>
  <c r="G213" i="2"/>
  <c r="G212" i="2"/>
  <c r="K324" i="2"/>
  <c r="I326" i="2"/>
  <c r="F329" i="2"/>
  <c r="E331" i="2"/>
  <c r="Q214" i="2"/>
  <c r="J216" i="2"/>
  <c r="F218" i="2"/>
  <c r="I219" i="2"/>
  <c r="H221" i="2"/>
  <c r="N221" i="2" s="1"/>
  <c r="G224" i="2"/>
  <c r="Q225" i="2"/>
  <c r="R225" i="2" s="1"/>
  <c r="J227" i="2"/>
  <c r="G229" i="2"/>
  <c r="G231" i="2"/>
  <c r="K232" i="2"/>
  <c r="H234" i="2"/>
  <c r="H236" i="2"/>
  <c r="K237" i="2"/>
  <c r="F239" i="2"/>
  <c r="Q240" i="2"/>
  <c r="K242" i="2"/>
  <c r="F244" i="2"/>
  <c r="J247" i="2"/>
  <c r="E249" i="2"/>
  <c r="K250" i="2"/>
  <c r="F252" i="2"/>
  <c r="P253" i="2"/>
  <c r="R253" i="2" s="1"/>
  <c r="K255" i="2"/>
  <c r="F257" i="2"/>
  <c r="P258" i="2"/>
  <c r="K260" i="2"/>
  <c r="I262" i="2"/>
  <c r="E264" i="2"/>
  <c r="O264" i="2" s="1"/>
  <c r="E266" i="2"/>
  <c r="K267" i="2"/>
  <c r="H269" i="2"/>
  <c r="F271" i="2"/>
  <c r="P272" i="2"/>
  <c r="F274" i="2"/>
  <c r="K275" i="2"/>
  <c r="F277" i="2"/>
  <c r="I278" i="2"/>
  <c r="K279" i="2"/>
  <c r="G281" i="2"/>
  <c r="I282" i="2"/>
  <c r="P283" i="2"/>
  <c r="E285" i="2"/>
  <c r="I286" i="2"/>
  <c r="K287" i="2"/>
  <c r="Q288" i="2"/>
  <c r="I290" i="2"/>
  <c r="K291" i="2"/>
  <c r="P292" i="2"/>
  <c r="R292" i="2" s="1"/>
  <c r="E294" i="2"/>
  <c r="F295" i="2"/>
  <c r="G296" i="2"/>
  <c r="H297" i="2"/>
  <c r="K298" i="2"/>
  <c r="P299" i="2"/>
  <c r="P300" i="2"/>
  <c r="P301" i="2"/>
  <c r="P302" i="2"/>
  <c r="P303" i="2"/>
  <c r="P304" i="2"/>
  <c r="R304" i="2" s="1"/>
  <c r="Q305" i="2"/>
  <c r="Q306" i="2"/>
  <c r="Q307" i="2"/>
  <c r="Q308" i="2"/>
  <c r="Q309" i="2"/>
  <c r="J311" i="2"/>
  <c r="K312" i="2"/>
  <c r="K313" i="2"/>
  <c r="J314" i="2"/>
  <c r="I315" i="2"/>
  <c r="I316" i="2"/>
  <c r="G317" i="2"/>
  <c r="E318" i="2"/>
  <c r="E319" i="2"/>
  <c r="Q319" i="2"/>
  <c r="P320" i="2"/>
  <c r="K322" i="2"/>
  <c r="K204" i="2" s="1"/>
  <c r="J323" i="2"/>
  <c r="I324" i="2"/>
  <c r="I325" i="2"/>
  <c r="H326" i="2"/>
  <c r="G327" i="2"/>
  <c r="F328" i="2"/>
  <c r="F205" i="2" s="1"/>
  <c r="E329" i="2"/>
  <c r="Q329" i="2"/>
  <c r="P330" i="2"/>
  <c r="R330" i="2" s="1"/>
  <c r="P331" i="2"/>
  <c r="K333" i="2"/>
  <c r="J334" i="2"/>
  <c r="I335" i="2"/>
  <c r="F213" i="2"/>
  <c r="E212" i="2"/>
  <c r="E309" i="2"/>
  <c r="O309" i="2" s="1"/>
  <c r="P313" i="2"/>
  <c r="R313" i="2" s="1"/>
  <c r="G328" i="2"/>
  <c r="E215" i="2"/>
  <c r="K216" i="2"/>
  <c r="L216" i="2" s="1"/>
  <c r="G218" i="2"/>
  <c r="J219" i="2"/>
  <c r="I221" i="2"/>
  <c r="Q222" i="2"/>
  <c r="R222" i="2" s="1"/>
  <c r="J224" i="2"/>
  <c r="H226" i="2"/>
  <c r="N226" i="2" s="1"/>
  <c r="P227" i="2"/>
  <c r="H229" i="2"/>
  <c r="H231" i="2"/>
  <c r="Q232" i="2"/>
  <c r="R232" i="2" s="1"/>
  <c r="I234" i="2"/>
  <c r="I236" i="2"/>
  <c r="Q237" i="2"/>
  <c r="H239" i="2"/>
  <c r="F241" i="2"/>
  <c r="Q242" i="2"/>
  <c r="R242" i="2" s="1"/>
  <c r="G244" i="2"/>
  <c r="O244" i="2" s="1"/>
  <c r="F246" i="2"/>
  <c r="K247" i="2"/>
  <c r="F249" i="2"/>
  <c r="Q250" i="2"/>
  <c r="G252" i="2"/>
  <c r="Q253" i="2"/>
  <c r="P255" i="2"/>
  <c r="G257" i="2"/>
  <c r="Q258" i="2"/>
  <c r="E261" i="2"/>
  <c r="O261" i="2" s="1"/>
  <c r="J262" i="2"/>
  <c r="F264" i="2"/>
  <c r="F266" i="2"/>
  <c r="Q267" i="2"/>
  <c r="J269" i="2"/>
  <c r="H271" i="2"/>
  <c r="Q272" i="2"/>
  <c r="H274" i="2"/>
  <c r="P275" i="2"/>
  <c r="R275" i="2" s="1"/>
  <c r="G277" i="2"/>
  <c r="J278" i="2"/>
  <c r="Q279" i="2"/>
  <c r="H281" i="2"/>
  <c r="J282" i="2"/>
  <c r="Q283" i="2"/>
  <c r="G285" i="2"/>
  <c r="J286" i="2"/>
  <c r="P287" i="2"/>
  <c r="H289" i="2"/>
  <c r="L289" i="2" s="1"/>
  <c r="T289" i="2" s="1"/>
  <c r="J290" i="2"/>
  <c r="P291" i="2"/>
  <c r="Q292" i="2"/>
  <c r="F294" i="2"/>
  <c r="G295" i="2"/>
  <c r="H296" i="2"/>
  <c r="K297" i="2"/>
  <c r="P298" i="2"/>
  <c r="Q299" i="2"/>
  <c r="Q300" i="2"/>
  <c r="Q301" i="2"/>
  <c r="Q302" i="2"/>
  <c r="Q303" i="2"/>
  <c r="E305" i="2"/>
  <c r="O305" i="2" s="1"/>
  <c r="E306" i="2"/>
  <c r="O306" i="2" s="1"/>
  <c r="E307" i="2"/>
  <c r="L307" i="2" s="1"/>
  <c r="T307" i="2" s="1"/>
  <c r="E308" i="2"/>
  <c r="P310" i="2"/>
  <c r="P311" i="2"/>
  <c r="P312" i="2"/>
  <c r="K314" i="2"/>
  <c r="J315" i="2"/>
  <c r="J316" i="2"/>
  <c r="H317" i="2"/>
  <c r="G318" i="2"/>
  <c r="F319" i="2"/>
  <c r="E320" i="2"/>
  <c r="Q320" i="2"/>
  <c r="P321" i="2"/>
  <c r="K323" i="2"/>
  <c r="J325" i="2"/>
  <c r="H327" i="2"/>
  <c r="N327" i="2" s="1"/>
  <c r="E330" i="2"/>
  <c r="J215" i="2"/>
  <c r="Q216" i="2"/>
  <c r="I218" i="2"/>
  <c r="G220" i="2"/>
  <c r="G223" i="2"/>
  <c r="Q224" i="2"/>
  <c r="R224" i="2" s="1"/>
  <c r="J226" i="2"/>
  <c r="E228" i="2"/>
  <c r="E230" i="2"/>
  <c r="J231" i="2"/>
  <c r="G233" i="2"/>
  <c r="O233" i="2" s="1"/>
  <c r="G235" i="2"/>
  <c r="K236" i="2"/>
  <c r="E238" i="2"/>
  <c r="J241" i="2"/>
  <c r="L241" i="2" s="1"/>
  <c r="T241" i="2" s="1"/>
  <c r="F243" i="2"/>
  <c r="E245" i="2"/>
  <c r="O245" i="2" s="1"/>
  <c r="I246" i="2"/>
  <c r="K249" i="2"/>
  <c r="G251" i="2"/>
  <c r="K252" i="2"/>
  <c r="N252" i="2" s="1"/>
  <c r="K254" i="2"/>
  <c r="E256" i="2"/>
  <c r="L256" i="2" s="1"/>
  <c r="T256" i="2" s="1"/>
  <c r="P257" i="2"/>
  <c r="J259" i="2"/>
  <c r="G261" i="2"/>
  <c r="Q262" i="2"/>
  <c r="Q264" i="2"/>
  <c r="J266" i="2"/>
  <c r="J197" i="2" s="1"/>
  <c r="G268" i="2"/>
  <c r="G270" i="2"/>
  <c r="P271" i="2"/>
  <c r="F273" i="2"/>
  <c r="K274" i="2"/>
  <c r="G276" i="2"/>
  <c r="K277" i="2"/>
  <c r="Q278" i="2"/>
  <c r="H280" i="2"/>
  <c r="J281" i="2"/>
  <c r="Q282" i="2"/>
  <c r="G284" i="2"/>
  <c r="J285" i="2"/>
  <c r="Q286" i="2"/>
  <c r="H288" i="2"/>
  <c r="J289" i="2"/>
  <c r="Q290" i="2"/>
  <c r="E292" i="2"/>
  <c r="O292" i="2" s="1"/>
  <c r="G293" i="2"/>
  <c r="H294" i="2"/>
  <c r="J295" i="2"/>
  <c r="P296" i="2"/>
  <c r="R296" i="2" s="1"/>
  <c r="Q297" i="2"/>
  <c r="E299" i="2"/>
  <c r="O299" i="2" s="1"/>
  <c r="F300" i="2"/>
  <c r="F301" i="2"/>
  <c r="L301" i="2" s="1"/>
  <c r="F302" i="2"/>
  <c r="G303" i="2"/>
  <c r="G304" i="2"/>
  <c r="G305" i="2"/>
  <c r="E314" i="2"/>
  <c r="O314" i="2" s="1"/>
  <c r="F298" i="2"/>
  <c r="F199" i="2" s="1"/>
  <c r="G283" i="2"/>
  <c r="L283" i="2" s="1"/>
  <c r="P326" i="2"/>
  <c r="R326" i="2" s="1"/>
  <c r="G312" i="2"/>
  <c r="E298" i="2"/>
  <c r="E283" i="2"/>
  <c r="Q271" i="2"/>
  <c r="R271" i="2" s="1"/>
  <c r="F258" i="2"/>
  <c r="H248" i="2"/>
  <c r="H235" i="2"/>
  <c r="N235" i="2" s="1"/>
  <c r="K329" i="2"/>
  <c r="E321" i="2"/>
  <c r="O321" i="2" s="1"/>
  <c r="Q313" i="2"/>
  <c r="G309" i="2"/>
  <c r="F304" i="2"/>
  <c r="E300" i="2"/>
  <c r="F293" i="2"/>
  <c r="H285" i="2"/>
  <c r="G280" i="2"/>
  <c r="K271" i="2"/>
  <c r="Q335" i="2"/>
  <c r="G332" i="2"/>
  <c r="J329" i="2"/>
  <c r="Q327" i="2"/>
  <c r="K326" i="2"/>
  <c r="E325" i="2"/>
  <c r="O325" i="2" s="1"/>
  <c r="P323" i="2"/>
  <c r="R323" i="2" s="1"/>
  <c r="G322" i="2"/>
  <c r="K320" i="2"/>
  <c r="H319" i="2"/>
  <c r="K316" i="2"/>
  <c r="H313" i="2"/>
  <c r="E312" i="2"/>
  <c r="I310" i="2"/>
  <c r="F309" i="2"/>
  <c r="H307" i="2"/>
  <c r="J305" i="2"/>
  <c r="J303" i="2"/>
  <c r="J301" i="2"/>
  <c r="I299" i="2"/>
  <c r="F297" i="2"/>
  <c r="Q294" i="2"/>
  <c r="J292" i="2"/>
  <c r="E290" i="2"/>
  <c r="O290" i="2" s="1"/>
  <c r="I287" i="2"/>
  <c r="P284" i="2"/>
  <c r="R284" i="2" s="1"/>
  <c r="E282" i="2"/>
  <c r="O282" i="2" s="1"/>
  <c r="I279" i="2"/>
  <c r="P276" i="2"/>
  <c r="R276" i="2" s="1"/>
  <c r="Q273" i="2"/>
  <c r="P270" i="2"/>
  <c r="R270" i="2" s="1"/>
  <c r="H267" i="2"/>
  <c r="P263" i="2"/>
  <c r="F260" i="2"/>
  <c r="Q256" i="2"/>
  <c r="R256" i="2" s="1"/>
  <c r="I253" i="2"/>
  <c r="G250" i="2"/>
  <c r="H247" i="2"/>
  <c r="Q243" i="2"/>
  <c r="I240" i="2"/>
  <c r="I237" i="2"/>
  <c r="F234" i="2"/>
  <c r="J230" i="2"/>
  <c r="H227" i="2"/>
  <c r="Q223" i="2"/>
  <c r="R223" i="2" s="1"/>
  <c r="J220" i="2"/>
  <c r="P216" i="2"/>
  <c r="Q316" i="2"/>
  <c r="F308" i="2"/>
  <c r="J288" i="2"/>
  <c r="E335" i="2"/>
  <c r="K325" i="2"/>
  <c r="J319" i="2"/>
  <c r="H318" i="2"/>
  <c r="I309" i="2"/>
  <c r="H304" i="2"/>
  <c r="I288" i="2"/>
  <c r="E265" i="2"/>
  <c r="I238" i="2"/>
  <c r="H332" i="2"/>
  <c r="H328" i="2"/>
  <c r="H322" i="2"/>
  <c r="P317" i="2"/>
  <c r="R317" i="2" s="1"/>
  <c r="J310" i="2"/>
  <c r="F306" i="2"/>
  <c r="P297" i="2"/>
  <c r="H295" i="2"/>
  <c r="N295" i="2" s="1"/>
  <c r="K282" i="2"/>
  <c r="N282" i="2" s="1"/>
  <c r="H277" i="2"/>
  <c r="J213" i="2"/>
  <c r="I333" i="2"/>
  <c r="F331" i="2"/>
  <c r="I212" i="2"/>
  <c r="K213" i="2"/>
  <c r="P335" i="2"/>
  <c r="R335" i="2" s="1"/>
  <c r="K334" i="2"/>
  <c r="K207" i="2" s="1"/>
  <c r="G333" i="2"/>
  <c r="L333" i="2" s="1"/>
  <c r="F332" i="2"/>
  <c r="F206" i="2" s="1"/>
  <c r="K330" i="2"/>
  <c r="I329" i="2"/>
  <c r="P327" i="2"/>
  <c r="R327" i="2" s="1"/>
  <c r="J326" i="2"/>
  <c r="Q324" i="2"/>
  <c r="H323" i="2"/>
  <c r="E322" i="2"/>
  <c r="I320" i="2"/>
  <c r="G319" i="2"/>
  <c r="L319" i="2" s="1"/>
  <c r="G316" i="2"/>
  <c r="Q314" i="2"/>
  <c r="G313" i="2"/>
  <c r="Q311" i="2"/>
  <c r="H310" i="2"/>
  <c r="K308" i="2"/>
  <c r="G307" i="2"/>
  <c r="G201" i="2" s="1"/>
  <c r="I305" i="2"/>
  <c r="I303" i="2"/>
  <c r="I301" i="2"/>
  <c r="H299" i="2"/>
  <c r="E297" i="2"/>
  <c r="O297" i="2" s="1"/>
  <c r="K294" i="2"/>
  <c r="H292" i="2"/>
  <c r="P289" i="2"/>
  <c r="R289" i="2" s="1"/>
  <c r="H287" i="2"/>
  <c r="K284" i="2"/>
  <c r="P281" i="2"/>
  <c r="H279" i="2"/>
  <c r="K276" i="2"/>
  <c r="N276" i="2" s="1"/>
  <c r="I273" i="2"/>
  <c r="N273" i="2" s="1"/>
  <c r="J270" i="2"/>
  <c r="Q266" i="2"/>
  <c r="Q197" i="2" s="1"/>
  <c r="K263" i="2"/>
  <c r="Q259" i="2"/>
  <c r="I256" i="2"/>
  <c r="H253" i="2"/>
  <c r="F250" i="2"/>
  <c r="N250" i="2" s="1"/>
  <c r="K246" i="2"/>
  <c r="P243" i="2"/>
  <c r="R243" i="2" s="1"/>
  <c r="F240" i="2"/>
  <c r="N240" i="2" s="1"/>
  <c r="P233" i="2"/>
  <c r="I230" i="2"/>
  <c r="P223" i="2"/>
  <c r="H220" i="2"/>
  <c r="Q215" i="2"/>
  <c r="J309" i="2"/>
  <c r="Q295" i="2"/>
  <c r="R295" i="2" s="1"/>
  <c r="I332" i="2"/>
  <c r="I206" i="2" s="1"/>
  <c r="H331" i="2"/>
  <c r="N331" i="2" s="1"/>
  <c r="F321" i="2"/>
  <c r="K307" i="2"/>
  <c r="P295" i="2"/>
  <c r="P285" i="2"/>
  <c r="Q274" i="2"/>
  <c r="F245" i="2"/>
  <c r="N245" i="2" s="1"/>
  <c r="I213" i="2"/>
  <c r="G331" i="2"/>
  <c r="L331" i="2" s="1"/>
  <c r="Q323" i="2"/>
  <c r="I319" i="2"/>
  <c r="F312" i="2"/>
  <c r="I307" i="2"/>
  <c r="I201" i="2" s="1"/>
  <c r="E302" i="2"/>
  <c r="O302" i="2" s="1"/>
  <c r="E288" i="2"/>
  <c r="I274" i="2"/>
  <c r="L274" i="2" s="1"/>
  <c r="H212" i="2"/>
  <c r="J212" i="2"/>
  <c r="P213" i="2"/>
  <c r="R213" i="2" s="1"/>
  <c r="K335" i="2"/>
  <c r="H334" i="2"/>
  <c r="F333" i="2"/>
  <c r="E332" i="2"/>
  <c r="J330" i="2"/>
  <c r="G329" i="2"/>
  <c r="L329" i="2" s="1"/>
  <c r="K327" i="2"/>
  <c r="E326" i="2"/>
  <c r="O326" i="2" s="1"/>
  <c r="P324" i="2"/>
  <c r="G323" i="2"/>
  <c r="Q321" i="2"/>
  <c r="H320" i="2"/>
  <c r="N320" i="2" s="1"/>
  <c r="K317" i="2"/>
  <c r="F316" i="2"/>
  <c r="P314" i="2"/>
  <c r="F313" i="2"/>
  <c r="H311" i="2"/>
  <c r="G310" i="2"/>
  <c r="J308" i="2"/>
  <c r="F307" i="2"/>
  <c r="F201" i="2" s="1"/>
  <c r="H305" i="2"/>
  <c r="N305" i="2" s="1"/>
  <c r="H303" i="2"/>
  <c r="G301" i="2"/>
  <c r="F299" i="2"/>
  <c r="Q296" i="2"/>
  <c r="J294" i="2"/>
  <c r="G292" i="2"/>
  <c r="K289" i="2"/>
  <c r="E287" i="2"/>
  <c r="O287" i="2" s="1"/>
  <c r="H284" i="2"/>
  <c r="K281" i="2"/>
  <c r="F279" i="2"/>
  <c r="I276" i="2"/>
  <c r="G273" i="2"/>
  <c r="H270" i="2"/>
  <c r="P266" i="2"/>
  <c r="I263" i="2"/>
  <c r="N263" i="2" s="1"/>
  <c r="P259" i="2"/>
  <c r="F256" i="2"/>
  <c r="F253" i="2"/>
  <c r="N253" i="2" s="1"/>
  <c r="J246" i="2"/>
  <c r="J243" i="2"/>
  <c r="E240" i="2"/>
  <c r="O240" i="2" s="1"/>
  <c r="P236" i="2"/>
  <c r="R236" i="2" s="1"/>
  <c r="J233" i="2"/>
  <c r="L233" i="2" s="1"/>
  <c r="G230" i="2"/>
  <c r="K226" i="2"/>
  <c r="F220" i="2"/>
  <c r="L220" i="2" s="1"/>
  <c r="T220" i="2" s="1"/>
  <c r="K215" i="2"/>
  <c r="K315" i="2"/>
  <c r="I302" i="2"/>
  <c r="L302" i="2" s="1"/>
  <c r="Q285" i="2"/>
  <c r="R285" i="2" s="1"/>
  <c r="P333" i="2"/>
  <c r="R333" i="2" s="1"/>
  <c r="E324" i="2"/>
  <c r="G315" i="2"/>
  <c r="G306" i="2"/>
  <c r="E291" i="2"/>
  <c r="O291" i="2" s="1"/>
  <c r="P277" i="2"/>
  <c r="I261" i="2"/>
  <c r="N261" i="2" s="1"/>
  <c r="P334" i="2"/>
  <c r="K212" i="2"/>
  <c r="J335" i="2"/>
  <c r="E333" i="2"/>
  <c r="I330" i="2"/>
  <c r="J327" i="2"/>
  <c r="Q325" i="2"/>
  <c r="F323" i="2"/>
  <c r="J321" i="2"/>
  <c r="L321" i="2" s="1"/>
  <c r="G320" i="2"/>
  <c r="L320" i="2" s="1"/>
  <c r="K318" i="2"/>
  <c r="K203" i="2" s="1"/>
  <c r="J317" i="2"/>
  <c r="E316" i="2"/>
  <c r="H314" i="2"/>
  <c r="E313" i="2"/>
  <c r="O313" i="2" s="1"/>
  <c r="G311" i="2"/>
  <c r="O311" i="2" s="1"/>
  <c r="E310" i="2"/>
  <c r="O310" i="2" s="1"/>
  <c r="H308" i="2"/>
  <c r="J306" i="2"/>
  <c r="F305" i="2"/>
  <c r="E303" i="2"/>
  <c r="E301" i="2"/>
  <c r="Q298" i="2"/>
  <c r="Q199" i="2" s="1"/>
  <c r="K296" i="2"/>
  <c r="G294" i="2"/>
  <c r="L294" i="2" s="1"/>
  <c r="Q291" i="2"/>
  <c r="R291" i="2" s="1"/>
  <c r="I289" i="2"/>
  <c r="K286" i="2"/>
  <c r="E284" i="2"/>
  <c r="O284" i="2" s="1"/>
  <c r="I281" i="2"/>
  <c r="P278" i="2"/>
  <c r="F276" i="2"/>
  <c r="E273" i="2"/>
  <c r="O273" i="2" s="1"/>
  <c r="E270" i="2"/>
  <c r="O270" i="2" s="1"/>
  <c r="H266" i="2"/>
  <c r="L266" i="2" s="1"/>
  <c r="P262" i="2"/>
  <c r="I259" i="2"/>
  <c r="N259" i="2" s="1"/>
  <c r="Q255" i="2"/>
  <c r="R255" i="2" s="1"/>
  <c r="I252" i="2"/>
  <c r="J249" i="2"/>
  <c r="H246" i="2"/>
  <c r="N246" i="2" s="1"/>
  <c r="E243" i="2"/>
  <c r="Q239" i="2"/>
  <c r="J236" i="2"/>
  <c r="F233" i="2"/>
  <c r="Q229" i="2"/>
  <c r="I226" i="2"/>
  <c r="F223" i="2"/>
  <c r="L223" i="2" s="1"/>
  <c r="T223" i="2" s="1"/>
  <c r="F219" i="2"/>
  <c r="I215" i="2"/>
  <c r="H306" i="2"/>
  <c r="F291" i="2"/>
  <c r="H213" i="2"/>
  <c r="I328" i="2"/>
  <c r="I205" i="2" s="1"/>
  <c r="I322" i="2"/>
  <c r="I204" i="2" s="1"/>
  <c r="P316" i="2"/>
  <c r="R316" i="2" s="1"/>
  <c r="G300" i="2"/>
  <c r="H293" i="2"/>
  <c r="N293" i="2" s="1"/>
  <c r="I280" i="2"/>
  <c r="K268" i="2"/>
  <c r="P231" i="2"/>
  <c r="F325" i="2"/>
  <c r="G334" i="2"/>
  <c r="Q331" i="2"/>
  <c r="P328" i="2"/>
  <c r="P212" i="2"/>
  <c r="G335" i="2"/>
  <c r="L335" i="2" s="1"/>
  <c r="T335" i="2" s="1"/>
  <c r="E334" i="2"/>
  <c r="Q332" i="2"/>
  <c r="Q206" i="2" s="1"/>
  <c r="J331" i="2"/>
  <c r="H330" i="2"/>
  <c r="I327" i="2"/>
  <c r="P325" i="2"/>
  <c r="R325" i="2" s="1"/>
  <c r="G324" i="2"/>
  <c r="E323" i="2"/>
  <c r="O323" i="2" s="1"/>
  <c r="I321" i="2"/>
  <c r="F320" i="2"/>
  <c r="J318" i="2"/>
  <c r="E317" i="2"/>
  <c r="P315" i="2"/>
  <c r="R315" i="2" s="1"/>
  <c r="F314" i="2"/>
  <c r="Q312" i="2"/>
  <c r="Q202" i="2" s="1"/>
  <c r="F311" i="2"/>
  <c r="L311" i="2" s="1"/>
  <c r="K309" i="2"/>
  <c r="G308" i="2"/>
  <c r="I306" i="2"/>
  <c r="J304" i="2"/>
  <c r="J302" i="2"/>
  <c r="J300" i="2"/>
  <c r="G298" i="2"/>
  <c r="G199" i="2" s="1"/>
  <c r="E296" i="2"/>
  <c r="O296" i="2" s="1"/>
  <c r="K293" i="2"/>
  <c r="H291" i="2"/>
  <c r="N291" i="2" s="1"/>
  <c r="K288" i="2"/>
  <c r="E286" i="2"/>
  <c r="O286" i="2" s="1"/>
  <c r="I283" i="2"/>
  <c r="N283" i="2" s="1"/>
  <c r="K280" i="2"/>
  <c r="N280" i="2" s="1"/>
  <c r="F278" i="2"/>
  <c r="L278" i="2" s="1"/>
  <c r="H275" i="2"/>
  <c r="L275" i="2" s="1"/>
  <c r="T275" i="2" s="1"/>
  <c r="F272" i="2"/>
  <c r="F269" i="2"/>
  <c r="G265" i="2"/>
  <c r="F262" i="2"/>
  <c r="J258" i="2"/>
  <c r="E255" i="2"/>
  <c r="O255" i="2" s="1"/>
  <c r="Q251" i="2"/>
  <c r="K248" i="2"/>
  <c r="J245" i="2"/>
  <c r="G242" i="2"/>
  <c r="O242" i="2" s="1"/>
  <c r="Q238" i="2"/>
  <c r="K235" i="2"/>
  <c r="I232" i="2"/>
  <c r="L232" i="2" s="1"/>
  <c r="T232" i="2" s="1"/>
  <c r="Q228" i="2"/>
  <c r="R228" i="2" s="1"/>
  <c r="J225" i="2"/>
  <c r="N225" i="2" s="1"/>
  <c r="I222" i="2"/>
  <c r="L222" i="2" s="1"/>
  <c r="T222" i="2" s="1"/>
  <c r="E219" i="2"/>
  <c r="O219" i="2" s="1"/>
  <c r="I214" i="2"/>
  <c r="L315" i="2"/>
  <c r="T315" i="2" s="1"/>
  <c r="L308" i="2"/>
  <c r="T308" i="2" s="1"/>
  <c r="L304" i="2"/>
  <c r="T304" i="2" s="1"/>
  <c r="L325" i="2"/>
  <c r="T325" i="2" s="1"/>
  <c r="L324" i="2"/>
  <c r="L323" i="2"/>
  <c r="T323" i="2" s="1"/>
  <c r="L249" i="2"/>
  <c r="O249" i="2"/>
  <c r="L309" i="2"/>
  <c r="L285" i="2"/>
  <c r="L281" i="2"/>
  <c r="T281" i="2" s="1"/>
  <c r="L277" i="2"/>
  <c r="L269" i="2"/>
  <c r="L261" i="2"/>
  <c r="T261" i="2" s="1"/>
  <c r="L257" i="2"/>
  <c r="N312" i="2"/>
  <c r="R307" i="2"/>
  <c r="R303" i="2"/>
  <c r="R299" i="2"/>
  <c r="R287" i="2"/>
  <c r="R283" i="2"/>
  <c r="R279" i="2"/>
  <c r="R263" i="2"/>
  <c r="R259" i="2"/>
  <c r="L253" i="2"/>
  <c r="T253" i="2" s="1"/>
  <c r="O246" i="2"/>
  <c r="L290" i="2"/>
  <c r="L286" i="2"/>
  <c r="L282" i="2"/>
  <c r="O248" i="2"/>
  <c r="N247" i="2"/>
  <c r="N254" i="2"/>
  <c r="L313" i="2"/>
  <c r="T313" i="2" s="1"/>
  <c r="L303" i="2"/>
  <c r="T303" i="2" s="1"/>
  <c r="L299" i="2"/>
  <c r="T299" i="2" s="1"/>
  <c r="L295" i="2"/>
  <c r="L279" i="2"/>
  <c r="L271" i="2"/>
  <c r="L267" i="2"/>
  <c r="L263" i="2"/>
  <c r="T263" i="2" s="1"/>
  <c r="O238" i="2"/>
  <c r="L314" i="2"/>
  <c r="R305" i="2"/>
  <c r="R301" i="2"/>
  <c r="R297" i="2"/>
  <c r="R293" i="2"/>
  <c r="R281" i="2"/>
  <c r="R277" i="2"/>
  <c r="R273" i="2"/>
  <c r="R269" i="2"/>
  <c r="R265" i="2"/>
  <c r="R261" i="2"/>
  <c r="O252" i="2"/>
  <c r="L254" i="2"/>
  <c r="L250" i="2"/>
  <c r="N242" i="2"/>
  <c r="N234" i="2"/>
  <c r="L244" i="2"/>
  <c r="T244" i="2" s="1"/>
  <c r="N237" i="2"/>
  <c r="N232" i="2"/>
  <c r="L219" i="2"/>
  <c r="T219" i="2" s="1"/>
  <c r="L255" i="2"/>
  <c r="T255" i="2" s="1"/>
  <c r="L251" i="2"/>
  <c r="N227" i="2"/>
  <c r="N219" i="2"/>
  <c r="N214" i="2"/>
  <c r="N243" i="2"/>
  <c r="O228" i="2"/>
  <c r="L227" i="2"/>
  <c r="N224" i="2"/>
  <c r="L221" i="2"/>
  <c r="T221" i="2" s="1"/>
  <c r="N216" i="2"/>
  <c r="L237" i="2"/>
  <c r="L218" i="2"/>
  <c r="T218" i="2" s="1"/>
  <c r="N233" i="2"/>
  <c r="N231" i="2"/>
  <c r="N218" i="2"/>
  <c r="O227" i="2"/>
  <c r="L226" i="2"/>
  <c r="T226" i="2" s="1"/>
  <c r="N223" i="2"/>
  <c r="O212" i="2"/>
  <c r="O213" i="2"/>
  <c r="A126" i="2"/>
  <c r="A57" i="2"/>
  <c r="A60" i="2" s="1"/>
  <c r="T125" i="2"/>
  <c r="A150" i="2"/>
  <c r="A152" i="2" s="1"/>
  <c r="A174" i="2"/>
  <c r="A176" i="2" s="1"/>
  <c r="M86" i="2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A70" i="2"/>
  <c r="A74" i="2" s="1"/>
  <c r="A82" i="2"/>
  <c r="A85" i="2" s="1"/>
  <c r="A105" i="2"/>
  <c r="A109" i="2" s="1"/>
  <c r="T172" i="2"/>
  <c r="M61" i="2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A162" i="2"/>
  <c r="A164" i="2" s="1"/>
  <c r="A117" i="2"/>
  <c r="A121" i="2" s="1"/>
  <c r="A93" i="2"/>
  <c r="A97" i="2" s="1"/>
  <c r="A138" i="2"/>
  <c r="T160" i="2"/>
  <c r="S193" i="2"/>
  <c r="T193" i="2"/>
  <c r="T55" i="2"/>
  <c r="T86" i="2"/>
  <c r="T100" i="2"/>
  <c r="T114" i="2"/>
  <c r="T76" i="2"/>
  <c r="T88" i="2"/>
  <c r="T64" i="2"/>
  <c r="T329" i="2" l="1"/>
  <c r="R212" i="2"/>
  <c r="P194" i="2"/>
  <c r="P336" i="2"/>
  <c r="L243" i="2"/>
  <c r="T243" i="2" s="1"/>
  <c r="O243" i="2"/>
  <c r="K194" i="2"/>
  <c r="K336" i="2"/>
  <c r="N322" i="2"/>
  <c r="H204" i="2"/>
  <c r="N318" i="2"/>
  <c r="H203" i="2"/>
  <c r="L300" i="2"/>
  <c r="L238" i="2"/>
  <c r="T238" i="2" s="1"/>
  <c r="L264" i="2"/>
  <c r="N298" i="2"/>
  <c r="K199" i="2"/>
  <c r="Q198" i="2"/>
  <c r="O266" i="2"/>
  <c r="E197" i="2"/>
  <c r="I196" i="2"/>
  <c r="R239" i="2"/>
  <c r="P195" i="2"/>
  <c r="Q207" i="2"/>
  <c r="Q203" i="2"/>
  <c r="N311" i="2"/>
  <c r="O259" i="2"/>
  <c r="H196" i="2"/>
  <c r="O278" i="2"/>
  <c r="O269" i="2"/>
  <c r="Q196" i="2"/>
  <c r="L288" i="2"/>
  <c r="F198" i="2"/>
  <c r="O281" i="2"/>
  <c r="N265" i="2"/>
  <c r="N257" i="2"/>
  <c r="O250" i="2"/>
  <c r="O236" i="2"/>
  <c r="I195" i="2"/>
  <c r="N290" i="2"/>
  <c r="K205" i="2"/>
  <c r="E206" i="2"/>
  <c r="O332" i="2"/>
  <c r="T333" i="2"/>
  <c r="N328" i="2"/>
  <c r="H205" i="2"/>
  <c r="O312" i="2"/>
  <c r="E202" i="2"/>
  <c r="N278" i="2"/>
  <c r="N248" i="2"/>
  <c r="J195" i="2"/>
  <c r="L280" i="2"/>
  <c r="T280" i="2" s="1"/>
  <c r="N215" i="2"/>
  <c r="N270" i="2"/>
  <c r="J196" i="2"/>
  <c r="L276" i="2"/>
  <c r="T276" i="2" s="1"/>
  <c r="N296" i="2"/>
  <c r="N294" i="2"/>
  <c r="N323" i="2"/>
  <c r="N332" i="2"/>
  <c r="N206" i="2" s="1"/>
  <c r="H206" i="2"/>
  <c r="N279" i="2"/>
  <c r="N313" i="2"/>
  <c r="O300" i="2"/>
  <c r="L258" i="2"/>
  <c r="T258" i="2" s="1"/>
  <c r="N258" i="2"/>
  <c r="H198" i="2"/>
  <c r="R321" i="2"/>
  <c r="T321" i="2" s="1"/>
  <c r="Q200" i="2"/>
  <c r="L212" i="2"/>
  <c r="E194" i="2"/>
  <c r="E336" i="2"/>
  <c r="O329" i="2"/>
  <c r="R320" i="2"/>
  <c r="T320" i="2" s="1"/>
  <c r="E196" i="2"/>
  <c r="G194" i="2"/>
  <c r="G336" i="2"/>
  <c r="Q205" i="2"/>
  <c r="N333" i="2"/>
  <c r="N325" i="2"/>
  <c r="N310" i="2"/>
  <c r="F200" i="2"/>
  <c r="R286" i="2"/>
  <c r="O267" i="2"/>
  <c r="N256" i="2"/>
  <c r="O247" i="2"/>
  <c r="L292" i="2"/>
  <c r="T292" i="2" s="1"/>
  <c r="L284" i="2"/>
  <c r="T284" i="2" s="1"/>
  <c r="N266" i="2"/>
  <c r="K197" i="2"/>
  <c r="N228" i="2"/>
  <c r="N271" i="2"/>
  <c r="N262" i="2"/>
  <c r="N251" i="2"/>
  <c r="I203" i="2"/>
  <c r="L240" i="2"/>
  <c r="T240" i="2" s="1"/>
  <c r="T271" i="2"/>
  <c r="T285" i="2"/>
  <c r="N314" i="2"/>
  <c r="N202" i="2" s="1"/>
  <c r="N297" i="2"/>
  <c r="N236" i="2"/>
  <c r="R329" i="2"/>
  <c r="N334" i="2"/>
  <c r="H207" i="2"/>
  <c r="K196" i="2"/>
  <c r="R312" i="2"/>
  <c r="P202" i="2"/>
  <c r="R202" i="2" s="1"/>
  <c r="N213" i="2"/>
  <c r="K202" i="2"/>
  <c r="P200" i="2"/>
  <c r="R200" i="2" s="1"/>
  <c r="O285" i="2"/>
  <c r="N260" i="2"/>
  <c r="E205" i="2"/>
  <c r="O328" i="2"/>
  <c r="R319" i="2"/>
  <c r="T319" i="2" s="1"/>
  <c r="I202" i="2"/>
  <c r="N304" i="2"/>
  <c r="L296" i="2"/>
  <c r="T296" i="2" s="1"/>
  <c r="N275" i="2"/>
  <c r="E195" i="2"/>
  <c r="N309" i="2"/>
  <c r="H199" i="2"/>
  <c r="R274" i="2"/>
  <c r="T274" i="2" s="1"/>
  <c r="R215" i="2"/>
  <c r="N285" i="2"/>
  <c r="F195" i="2"/>
  <c r="O276" i="2"/>
  <c r="O272" i="2"/>
  <c r="R332" i="2"/>
  <c r="P206" i="2"/>
  <c r="R206" i="2" s="1"/>
  <c r="T314" i="2"/>
  <c r="R328" i="2"/>
  <c r="P205" i="2"/>
  <c r="R205" i="2" s="1"/>
  <c r="R334" i="2"/>
  <c r="P207" i="2"/>
  <c r="R207" i="2" s="1"/>
  <c r="R266" i="2"/>
  <c r="T266" i="2" s="1"/>
  <c r="P197" i="2"/>
  <c r="R197" i="2" s="1"/>
  <c r="O288" i="2"/>
  <c r="E198" i="2"/>
  <c r="N308" i="2"/>
  <c r="E204" i="2"/>
  <c r="O322" i="2"/>
  <c r="R278" i="2"/>
  <c r="T278" i="2" s="1"/>
  <c r="N315" i="2"/>
  <c r="J203" i="2"/>
  <c r="R229" i="2"/>
  <c r="Q195" i="2"/>
  <c r="N281" i="2"/>
  <c r="O301" i="2"/>
  <c r="L215" i="2"/>
  <c r="T215" i="2" s="1"/>
  <c r="R324" i="2"/>
  <c r="F202" i="2"/>
  <c r="N220" i="2"/>
  <c r="N299" i="2"/>
  <c r="O265" i="2"/>
  <c r="J198" i="2"/>
  <c r="L260" i="2"/>
  <c r="T260" i="2" s="1"/>
  <c r="J200" i="2"/>
  <c r="N319" i="2"/>
  <c r="L332" i="2"/>
  <c r="T332" i="2" s="1"/>
  <c r="G206" i="2"/>
  <c r="L206" i="2" s="1"/>
  <c r="O283" i="2"/>
  <c r="N274" i="2"/>
  <c r="R216" i="2"/>
  <c r="T216" i="2" s="1"/>
  <c r="O320" i="2"/>
  <c r="R311" i="2"/>
  <c r="T311" i="2" s="1"/>
  <c r="O319" i="2"/>
  <c r="R302" i="2"/>
  <c r="T302" i="2" s="1"/>
  <c r="O294" i="2"/>
  <c r="R272" i="2"/>
  <c r="R258" i="2"/>
  <c r="O231" i="2"/>
  <c r="N335" i="2"/>
  <c r="R318" i="2"/>
  <c r="P203" i="2"/>
  <c r="R203" i="2" s="1"/>
  <c r="K200" i="2"/>
  <c r="O295" i="2"/>
  <c r="N264" i="2"/>
  <c r="Q204" i="2"/>
  <c r="O315" i="2"/>
  <c r="N301" i="2"/>
  <c r="O221" i="2"/>
  <c r="R245" i="2"/>
  <c r="R214" i="2"/>
  <c r="N277" i="2"/>
  <c r="N269" i="2"/>
  <c r="N244" i="2"/>
  <c r="O268" i="2"/>
  <c r="O253" i="2"/>
  <c r="L246" i="2"/>
  <c r="T246" i="2" s="1"/>
  <c r="O226" i="2"/>
  <c r="R227" i="2"/>
  <c r="T227" i="2" s="1"/>
  <c r="L312" i="2"/>
  <c r="T312" i="2" s="1"/>
  <c r="H202" i="2"/>
  <c r="R288" i="2"/>
  <c r="P198" i="2"/>
  <c r="R198" i="2" s="1"/>
  <c r="O335" i="2"/>
  <c r="L234" i="2"/>
  <c r="L239" i="2"/>
  <c r="T239" i="2" s="1"/>
  <c r="O256" i="2"/>
  <c r="L270" i="2"/>
  <c r="T270" i="2" s="1"/>
  <c r="L297" i="2"/>
  <c r="L328" i="2"/>
  <c r="N288" i="2"/>
  <c r="K198" i="2"/>
  <c r="L287" i="2"/>
  <c r="L306" i="2"/>
  <c r="T306" i="2" s="1"/>
  <c r="K201" i="2"/>
  <c r="I194" i="2"/>
  <c r="I336" i="2"/>
  <c r="I198" i="2"/>
  <c r="N287" i="2"/>
  <c r="O298" i="2"/>
  <c r="O199" i="2" s="1"/>
  <c r="E199" i="2"/>
  <c r="G200" i="2"/>
  <c r="L230" i="2"/>
  <c r="T230" i="2" s="1"/>
  <c r="O230" i="2"/>
  <c r="R310" i="2"/>
  <c r="N229" i="2"/>
  <c r="H195" i="2"/>
  <c r="J207" i="2"/>
  <c r="N326" i="2"/>
  <c r="E203" i="2"/>
  <c r="L203" i="2" s="1"/>
  <c r="T203" i="2" s="1"/>
  <c r="O318" i="2"/>
  <c r="O229" i="2"/>
  <c r="G195" i="2"/>
  <c r="N302" i="2"/>
  <c r="N272" i="2"/>
  <c r="O257" i="2"/>
  <c r="N222" i="2"/>
  <c r="N212" i="2"/>
  <c r="F336" i="2"/>
  <c r="F194" i="2"/>
  <c r="F204" i="2"/>
  <c r="J201" i="2"/>
  <c r="O263" i="2"/>
  <c r="R290" i="2"/>
  <c r="T290" i="2" s="1"/>
  <c r="L235" i="2"/>
  <c r="T235" i="2" s="1"/>
  <c r="O235" i="2"/>
  <c r="O260" i="2"/>
  <c r="O232" i="2"/>
  <c r="N217" i="2"/>
  <c r="L225" i="2"/>
  <c r="T225" i="2" s="1"/>
  <c r="R322" i="2"/>
  <c r="P204" i="2"/>
  <c r="R204" i="2" s="1"/>
  <c r="T324" i="2"/>
  <c r="F196" i="2"/>
  <c r="N249" i="2"/>
  <c r="G196" i="2"/>
  <c r="N241" i="2"/>
  <c r="L248" i="2"/>
  <c r="T257" i="2"/>
  <c r="L318" i="2"/>
  <c r="T318" i="2" s="1"/>
  <c r="L236" i="2"/>
  <c r="T236" i="2" s="1"/>
  <c r="L252" i="2"/>
  <c r="T252" i="2" s="1"/>
  <c r="L298" i="2"/>
  <c r="L293" i="2"/>
  <c r="T293" i="2" s="1"/>
  <c r="L327" i="2"/>
  <c r="T327" i="2" s="1"/>
  <c r="L262" i="2"/>
  <c r="T262" i="2" s="1"/>
  <c r="L317" i="2"/>
  <c r="T317" i="2" s="1"/>
  <c r="O317" i="2"/>
  <c r="N330" i="2"/>
  <c r="L334" i="2"/>
  <c r="T334" i="2" s="1"/>
  <c r="G207" i="2"/>
  <c r="O303" i="2"/>
  <c r="O200" i="2" s="1"/>
  <c r="E200" i="2"/>
  <c r="L316" i="2"/>
  <c r="T316" i="2" s="1"/>
  <c r="O316" i="2"/>
  <c r="L229" i="2"/>
  <c r="T229" i="2" s="1"/>
  <c r="L245" i="2"/>
  <c r="L242" i="2"/>
  <c r="T242" i="2" s="1"/>
  <c r="L259" i="2"/>
  <c r="T259" i="2" s="1"/>
  <c r="L291" i="2"/>
  <c r="T291" i="2" s="1"/>
  <c r="L310" i="2"/>
  <c r="T310" i="2" s="1"/>
  <c r="L273" i="2"/>
  <c r="T273" i="2" s="1"/>
  <c r="L305" i="2"/>
  <c r="T305" i="2" s="1"/>
  <c r="L322" i="2"/>
  <c r="L272" i="2"/>
  <c r="T272" i="2" s="1"/>
  <c r="E207" i="2"/>
  <c r="L207" i="2" s="1"/>
  <c r="O334" i="2"/>
  <c r="O207" i="2" s="1"/>
  <c r="N268" i="2"/>
  <c r="R262" i="2"/>
  <c r="N286" i="2"/>
  <c r="O333" i="2"/>
  <c r="R314" i="2"/>
  <c r="J194" i="2"/>
  <c r="J336" i="2"/>
  <c r="N284" i="2"/>
  <c r="I200" i="2"/>
  <c r="N307" i="2"/>
  <c r="N201" i="2" s="1"/>
  <c r="H201" i="2"/>
  <c r="G204" i="2"/>
  <c r="G202" i="2"/>
  <c r="O330" i="2"/>
  <c r="G203" i="2"/>
  <c r="O308" i="2"/>
  <c r="O215" i="2"/>
  <c r="O336" i="2" s="1"/>
  <c r="R300" i="2"/>
  <c r="O331" i="2"/>
  <c r="R309" i="2"/>
  <c r="T309" i="2" s="1"/>
  <c r="N292" i="2"/>
  <c r="N255" i="2"/>
  <c r="L217" i="2"/>
  <c r="R251" i="2"/>
  <c r="L213" i="2"/>
  <c r="T213" i="2" s="1"/>
  <c r="N329" i="2"/>
  <c r="N321" i="2"/>
  <c r="N306" i="2"/>
  <c r="K195" i="2"/>
  <c r="G198" i="2"/>
  <c r="O280" i="2"/>
  <c r="O262" i="2"/>
  <c r="R233" i="2"/>
  <c r="T233" i="2" s="1"/>
  <c r="O224" i="2"/>
  <c r="R282" i="2"/>
  <c r="T282" i="2" s="1"/>
  <c r="N267" i="2"/>
  <c r="R249" i="2"/>
  <c r="T249" i="2" s="1"/>
  <c r="P196" i="2"/>
  <c r="R196" i="2" s="1"/>
  <c r="R217" i="2"/>
  <c r="G197" i="2"/>
  <c r="R237" i="2"/>
  <c r="T237" i="2" s="1"/>
  <c r="O218" i="2"/>
  <c r="R234" i="2"/>
  <c r="R264" i="2"/>
  <c r="R254" i="2"/>
  <c r="T254" i="2" s="1"/>
  <c r="Q336" i="2"/>
  <c r="Q194" i="2"/>
  <c r="T267" i="2"/>
  <c r="T286" i="2"/>
  <c r="S212" i="2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O194" i="2"/>
  <c r="T251" i="2"/>
  <c r="T295" i="2"/>
  <c r="T277" i="2"/>
  <c r="H197" i="2"/>
  <c r="O324" i="2"/>
  <c r="N303" i="2"/>
  <c r="H200" i="2"/>
  <c r="H194" i="2"/>
  <c r="H336" i="2"/>
  <c r="N317" i="2"/>
  <c r="O307" i="2"/>
  <c r="O201" i="2" s="1"/>
  <c r="E201" i="2"/>
  <c r="R298" i="2"/>
  <c r="P199" i="2"/>
  <c r="R199" i="2" s="1"/>
  <c r="N289" i="2"/>
  <c r="F197" i="2"/>
  <c r="N239" i="2"/>
  <c r="G205" i="2"/>
  <c r="R331" i="2"/>
  <c r="T331" i="2" s="1"/>
  <c r="Q201" i="2"/>
  <c r="R201" i="2" s="1"/>
  <c r="N324" i="2"/>
  <c r="N316" i="2"/>
  <c r="N300" i="2"/>
  <c r="L214" i="2"/>
  <c r="O220" i="2"/>
  <c r="J205" i="2"/>
  <c r="J202" i="2"/>
  <c r="J199" i="2"/>
  <c r="R294" i="2"/>
  <c r="T294" i="2" s="1"/>
  <c r="O251" i="2"/>
  <c r="O196" i="2" s="1"/>
  <c r="O223" i="2"/>
  <c r="I197" i="2"/>
  <c r="R248" i="2"/>
  <c r="R250" i="2"/>
  <c r="T250" i="2" s="1"/>
  <c r="O237" i="2"/>
  <c r="N230" i="2"/>
  <c r="O241" i="2"/>
  <c r="L268" i="2"/>
  <c r="T268" i="2" s="1"/>
  <c r="R231" i="2"/>
  <c r="T231" i="2" s="1"/>
  <c r="O327" i="2"/>
  <c r="T279" i="2"/>
  <c r="T283" i="2"/>
  <c r="T265" i="2"/>
  <c r="T297" i="2"/>
  <c r="T287" i="2"/>
  <c r="T269" i="2"/>
  <c r="T301" i="2"/>
  <c r="T207" i="2"/>
  <c r="O205" i="2" l="1"/>
  <c r="L196" i="2"/>
  <c r="O206" i="2"/>
  <c r="O197" i="2"/>
  <c r="N203" i="2"/>
  <c r="R194" i="2"/>
  <c r="L200" i="2"/>
  <c r="T200" i="2" s="1"/>
  <c r="T248" i="2"/>
  <c r="L199" i="2"/>
  <c r="T199" i="2" s="1"/>
  <c r="L205" i="2"/>
  <c r="T205" i="2" s="1"/>
  <c r="R336" i="2"/>
  <c r="N194" i="2"/>
  <c r="N336" i="2"/>
  <c r="T214" i="2"/>
  <c r="T234" i="2"/>
  <c r="O204" i="2"/>
  <c r="L195" i="2"/>
  <c r="T195" i="2" s="1"/>
  <c r="N197" i="2"/>
  <c r="N204" i="2"/>
  <c r="T298" i="2"/>
  <c r="L204" i="2"/>
  <c r="T204" i="2" s="1"/>
  <c r="N207" i="2"/>
  <c r="L202" i="2"/>
  <c r="T202" i="2" s="1"/>
  <c r="T288" i="2"/>
  <c r="N199" i="2"/>
  <c r="L197" i="2"/>
  <c r="T197" i="2" s="1"/>
  <c r="L194" i="2"/>
  <c r="O202" i="2"/>
  <c r="R195" i="2"/>
  <c r="T264" i="2"/>
  <c r="N195" i="2"/>
  <c r="N198" i="2"/>
  <c r="N200" i="2"/>
  <c r="A203" i="2"/>
  <c r="A205" i="2" s="1"/>
  <c r="T245" i="2"/>
  <c r="N196" i="2"/>
  <c r="O195" i="2"/>
  <c r="T328" i="2"/>
  <c r="L198" i="2"/>
  <c r="T198" i="2" s="1"/>
  <c r="L336" i="2"/>
  <c r="M212" i="2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T212" i="2"/>
  <c r="T217" i="2"/>
  <c r="L201" i="2"/>
  <c r="T201" i="2" s="1"/>
  <c r="T322" i="2"/>
  <c r="O203" i="2"/>
  <c r="O198" i="2"/>
  <c r="N205" i="2"/>
  <c r="T300" i="2"/>
  <c r="T206" i="2"/>
  <c r="A191" i="2" l="1"/>
  <c r="A193" i="2" s="1"/>
  <c r="S194" i="2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A186" i="2"/>
  <c r="A188" i="2" s="1"/>
  <c r="M194" i="2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T194" i="2"/>
  <c r="T336" i="2"/>
  <c r="A198" i="2"/>
  <c r="A200" i="2" s="1"/>
  <c r="T196" i="2"/>
  <c r="Q511" i="1"/>
  <c r="Q513" i="1"/>
  <c r="Q514" i="1"/>
  <c r="Q515" i="1"/>
  <c r="Q516" i="1"/>
  <c r="Q517" i="1"/>
  <c r="Q518" i="1"/>
  <c r="Q508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9" i="1"/>
  <c r="Q510" i="1"/>
  <c r="Q512" i="1"/>
  <c r="Q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494" i="1"/>
  <c r="CV451" i="1" l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V451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V450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V449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V448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V447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V446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V445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V444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V443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V442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V441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V440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V439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V438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V437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V436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V435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V434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V433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V432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V431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V430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V429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V428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V427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V426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V425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V423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V422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V421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V420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V419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V418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V417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V416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V415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V414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V413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V412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V411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CV192" i="1" l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518" i="1" l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V518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V517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V516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V515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V514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V513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V512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V511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V510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V509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V508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V507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V506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V505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V504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V503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V502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V501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V500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V499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V498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V497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V496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V495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V494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V493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V492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V491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V490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V489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V486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V485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V484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V482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V481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V480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V479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V478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V476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V475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V474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V472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V473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V471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V469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V468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V467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V466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V465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V464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V463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V462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V461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V460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V459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V458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V457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V456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V455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V454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V453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V452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V424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V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V6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V5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V488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V487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V483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V477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V470" i="1"/>
  <c r="CK1" i="1" l="1"/>
  <c r="CL1" i="1"/>
  <c r="BU1" i="1"/>
  <c r="BV1" i="1"/>
  <c r="CD1" i="1"/>
  <c r="CS1" i="1"/>
  <c r="BW1" i="1"/>
  <c r="CE1" i="1"/>
  <c r="CU1" i="1"/>
  <c r="CC1" i="1"/>
  <c r="BS1" i="1"/>
  <c r="CA1" i="1"/>
  <c r="CI1" i="1"/>
  <c r="CQ1" i="1"/>
  <c r="BQ1" i="1"/>
  <c r="BY1" i="1"/>
  <c r="CG1" i="1"/>
  <c r="CO1" i="1"/>
  <c r="CM1" i="1"/>
  <c r="BT1" i="1"/>
  <c r="CB1" i="1"/>
  <c r="CJ1" i="1"/>
  <c r="CR1" i="1"/>
  <c r="BR1" i="1"/>
  <c r="BZ1" i="1"/>
  <c r="CH1" i="1"/>
  <c r="CP1" i="1"/>
  <c r="BP1" i="1"/>
  <c r="BX1" i="1"/>
  <c r="CF1" i="1"/>
  <c r="CN1" i="1"/>
  <c r="CV1" i="1"/>
  <c r="CT1" i="1"/>
</calcChain>
</file>

<file path=xl/comments1.xml><?xml version="1.0" encoding="utf-8"?>
<comments xmlns="http://schemas.openxmlformats.org/spreadsheetml/2006/main">
  <authors>
    <author>uchida</author>
    <author>大槻 隆雄</author>
  </authors>
  <commentList>
    <comment ref="E33" authorId="0" shapeId="0">
      <text>
        <r>
          <rPr>
            <sz val="16"/>
            <color indexed="81"/>
            <rFont val="ＭＳ Ｐゴシック"/>
            <family val="3"/>
            <charset val="128"/>
          </rPr>
          <t>内２台は１１月分を前倒し出荷</t>
        </r>
      </text>
    </comment>
    <comment ref="D36" authorId="0" shapeId="0">
      <text>
        <r>
          <rPr>
            <sz val="9"/>
            <rFont val="ＭＳ Ｐゴシック"/>
            <family val="3"/>
            <charset val="128"/>
          </rPr>
          <t>開発手配　LAY001*2台含む</t>
        </r>
      </text>
    </comment>
    <comment ref="L111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大槻 隆雄:</t>
        </r>
        <r>
          <rPr>
            <sz val="9"/>
            <color indexed="81"/>
            <rFont val="ＭＳ Ｐゴシック"/>
            <family val="3"/>
            <charset val="128"/>
          </rPr>
          <t xml:space="preserve">
+破損13</t>
        </r>
      </text>
    </comment>
  </commentList>
</comments>
</file>

<file path=xl/comments2.xml><?xml version="1.0" encoding="utf-8"?>
<comments xmlns="http://schemas.openxmlformats.org/spreadsheetml/2006/main">
  <authors>
    <author>UCHIDA</author>
    <author>uchida</author>
  </authors>
  <commentList>
    <comment ref="O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3FﾕﾆｯﾄはLAZ：5/7完了および5/7単体出荷から4日前に必要として計画する(2/8)
</t>
        </r>
      </text>
    </comment>
    <comment ref="U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X1" authorId="1" shapeId="0">
      <text>
        <r>
          <rPr>
            <sz val="9"/>
            <rFont val="ＭＳ Ｐゴシック"/>
            <family val="3"/>
            <charset val="134"/>
          </rPr>
          <t xml:space="preserve">10/18新規型式追加
部品：
1298298-9   ｶﾞｲﾄﾞ,ｲﾝﾚﾂﾄ </t>
        </r>
      </text>
    </comment>
    <comment ref="Y1" authorId="0" shapeId="0">
      <text>
        <r>
          <rPr>
            <sz val="9"/>
            <rFont val="ＭＳ Ｐゴシック"/>
            <family val="3"/>
            <charset val="134"/>
          </rPr>
          <t>’’13/10新規登録
部品：
2275400-3 ｶﾞｲﾄﾞｲﾝﾚｯﾄ</t>
        </r>
      </text>
    </comment>
    <comment ref="Z1" authorId="0" shapeId="0">
      <text>
        <r>
          <rPr>
            <sz val="9"/>
            <rFont val="ＭＳ Ｐゴシック"/>
            <family val="3"/>
            <charset val="134"/>
          </rPr>
          <t>’’14/10新規登録
部品：
2275687-1 ｶﾞｲﾄﾞｲﾝﾚｯﾄ</t>
        </r>
      </text>
    </comment>
    <comment ref="AF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M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P1" authorId="1" shapeId="0">
      <text>
        <r>
          <rPr>
            <sz val="9"/>
            <rFont val="ＭＳ Ｐゴシック"/>
            <family val="3"/>
            <charset val="134"/>
          </rPr>
          <t>フレーム部
ＬＡＹ００２を使用
BH：LB002に使用</t>
        </r>
      </text>
    </comment>
    <comment ref="AQ1" authorId="1" shapeId="0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S1" authorId="1" shapeId="0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T1" authorId="0" shapeId="0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U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V1" authorId="0" shapeId="0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W1" authorId="1" shapeId="0">
      <text>
        <r>
          <rPr>
            <sz val="9"/>
            <rFont val="ＭＳ Ｐゴシック"/>
            <family val="3"/>
            <charset val="134"/>
          </rPr>
          <t>1859122-1
VUP-P01使用</t>
        </r>
      </text>
    </comment>
  </commentList>
</comments>
</file>

<file path=xl/sharedStrings.xml><?xml version="1.0" encoding="utf-8"?>
<sst xmlns="http://schemas.openxmlformats.org/spreadsheetml/2006/main" count="11451" uniqueCount="1421">
  <si>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</si>
  <si>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</si>
  <si>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</si>
  <si>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</si>
  <si>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</si>
  <si>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</si>
  <si>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</si>
  <si>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</si>
  <si>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</si>
  <si>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</si>
  <si>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</si>
  <si>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</si>
  <si>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</si>
  <si>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</si>
  <si>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</si>
  <si>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</si>
  <si>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</si>
  <si>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</si>
  <si>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</si>
  <si>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</si>
  <si>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</si>
  <si>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</si>
  <si>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</si>
  <si>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</si>
  <si>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</si>
  <si>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</si>
  <si>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</si>
  <si>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</si>
  <si>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</si>
  <si>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</si>
  <si>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</si>
  <si>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</si>
  <si>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</si>
  <si>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</si>
  <si>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</si>
  <si>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</si>
  <si>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</si>
  <si>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</si>
  <si>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</si>
  <si>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</si>
  <si>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</si>
  <si>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</si>
  <si>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</si>
  <si>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</si>
  <si>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</si>
  <si>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</si>
  <si>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</si>
  <si>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</si>
  <si>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</si>
  <si>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</si>
  <si>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</si>
  <si>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</si>
  <si>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</si>
  <si>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</si>
  <si>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</si>
  <si>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</si>
  <si>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</si>
  <si>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</si>
  <si>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</si>
  <si>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</si>
  <si>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</si>
  <si>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</si>
  <si>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</si>
  <si>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</si>
  <si>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</si>
  <si>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</si>
  <si>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</si>
  <si>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</si>
  <si>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</si>
  <si>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</si>
  <si>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</si>
  <si>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</si>
  <si>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</si>
  <si>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</si>
  <si>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</si>
  <si>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</si>
  <si>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</si>
  <si>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</si>
  <si>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</si>
  <si>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</si>
  <si>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</si>
  <si>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</si>
  <si>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</si>
  <si>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</si>
  <si>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</si>
  <si>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</si>
  <si>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</si>
  <si>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</si>
  <si>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</si>
  <si>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</si>
  <si>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</si>
  <si>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</si>
  <si>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</si>
  <si>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</si>
  <si>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</si>
  <si>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</si>
  <si>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</si>
  <si>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</si>
  <si>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</si>
  <si>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</si>
  <si>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</si>
  <si>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</si>
  <si>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</si>
  <si>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</si>
  <si>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</si>
  <si>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</si>
  <si>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</si>
  <si>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</si>
  <si>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</si>
  <si>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</si>
  <si>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</si>
  <si>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</si>
  <si>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</si>
  <si>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</si>
  <si>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</si>
  <si>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</si>
  <si>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</si>
  <si>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</si>
  <si>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</si>
  <si>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</si>
  <si>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</si>
  <si>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</si>
  <si>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</si>
  <si>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</si>
  <si>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</si>
  <si>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</si>
  <si>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</si>
  <si>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</si>
  <si>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</si>
  <si>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メンテ組立（検査有）</t>
  </si>
  <si>
    <t>機器</t>
  </si>
  <si>
    <t>000397610</t>
  </si>
  <si>
    <t>JRS</t>
  </si>
  <si>
    <t>YB-LA002</t>
  </si>
  <si>
    <t>V9-BH</t>
  </si>
  <si>
    <t>3655124-5</t>
  </si>
  <si>
    <t>単体</t>
  </si>
  <si>
    <t>000403015</t>
  </si>
  <si>
    <t>M社（Ｎ）</t>
  </si>
  <si>
    <t>仮品番</t>
  </si>
  <si>
    <t>YB-LA001</t>
  </si>
  <si>
    <t>5685000-1</t>
  </si>
  <si>
    <t>*計画生産対象外</t>
  </si>
  <si>
    <t>000403017</t>
  </si>
  <si>
    <t>000397624</t>
  </si>
  <si>
    <t>000403016</t>
  </si>
  <si>
    <t>南海</t>
  </si>
  <si>
    <t>南海V8EXV</t>
  </si>
  <si>
    <t>回転台</t>
  </si>
  <si>
    <t>VU-LB106</t>
  </si>
  <si>
    <t>V8</t>
  </si>
  <si>
    <t>LAZ101</t>
  </si>
  <si>
    <t>LAY001</t>
  </si>
  <si>
    <t>N社（Ｎ）</t>
  </si>
  <si>
    <t>VU-LA007</t>
  </si>
  <si>
    <t>V8-4BH</t>
  </si>
  <si>
    <t>3251849-9</t>
  </si>
  <si>
    <t>LAZ002</t>
  </si>
  <si>
    <t>LAY002</t>
  </si>
  <si>
    <t>JR東EX20総（V）</t>
  </si>
  <si>
    <t>3S2EU-RBP-0001</t>
  </si>
  <si>
    <t>5647075-6</t>
  </si>
  <si>
    <t>VU-LD091</t>
  </si>
  <si>
    <t>LAZ201</t>
  </si>
  <si>
    <t>000398704</t>
  </si>
  <si>
    <t>MC-52081</t>
  </si>
  <si>
    <t>000398707</t>
  </si>
  <si>
    <t>MC-52088</t>
  </si>
  <si>
    <t>000398709</t>
  </si>
  <si>
    <t>MC-52095</t>
  </si>
  <si>
    <t>000398706</t>
  </si>
  <si>
    <t>MC-52102</t>
  </si>
  <si>
    <t>000389162</t>
  </si>
  <si>
    <t>MC-52154</t>
  </si>
  <si>
    <t>000398705</t>
  </si>
  <si>
    <t>MC-52157</t>
  </si>
  <si>
    <t>000397524</t>
  </si>
  <si>
    <t>JREM</t>
  </si>
  <si>
    <t>昭和島駅</t>
  </si>
  <si>
    <t>待合室</t>
  </si>
  <si>
    <t>東モノEX20総（V）</t>
  </si>
  <si>
    <t>3S2EU-KRP-1002</t>
  </si>
  <si>
    <t>5833406-0</t>
  </si>
  <si>
    <t>スカート</t>
  </si>
  <si>
    <t>VV-26841</t>
  </si>
  <si>
    <t>000398708</t>
  </si>
  <si>
    <t>MC-52164</t>
  </si>
  <si>
    <t>000397525</t>
  </si>
  <si>
    <t>整備場</t>
  </si>
  <si>
    <t>本屋</t>
  </si>
  <si>
    <t>3S2EU-KRP-1001</t>
  </si>
  <si>
    <t>5833401-9</t>
  </si>
  <si>
    <t>VV-26843</t>
  </si>
  <si>
    <t>000397523</t>
  </si>
  <si>
    <t>大井競馬場前</t>
  </si>
  <si>
    <t>VV-26846</t>
  </si>
  <si>
    <t>000390898</t>
  </si>
  <si>
    <t>JR西</t>
  </si>
  <si>
    <t>南田辺</t>
  </si>
  <si>
    <t>VU-LB112</t>
  </si>
  <si>
    <t>5613530-2</t>
  </si>
  <si>
    <t>M社クロス用BH</t>
  </si>
  <si>
    <t>MC-52188</t>
  </si>
  <si>
    <t>LAZ102</t>
  </si>
  <si>
    <t>000389155</t>
  </si>
  <si>
    <t>流通センター</t>
  </si>
  <si>
    <t>3S2EU-KRP-0001</t>
  </si>
  <si>
    <t>5821604-0</t>
  </si>
  <si>
    <t>はめこみ</t>
  </si>
  <si>
    <t>VV-26849</t>
  </si>
  <si>
    <t>000390886</t>
  </si>
  <si>
    <t>富木</t>
  </si>
  <si>
    <t>西口</t>
  </si>
  <si>
    <t>000390892</t>
  </si>
  <si>
    <t>東口</t>
  </si>
  <si>
    <t>000390904</t>
  </si>
  <si>
    <t>浅香</t>
  </si>
  <si>
    <t>000394157</t>
  </si>
  <si>
    <t>紀三井寺</t>
  </si>
  <si>
    <t>000393688</t>
  </si>
  <si>
    <t>羽田空港第３ターミナル</t>
  </si>
  <si>
    <t>３Ｆ改札</t>
  </si>
  <si>
    <t>000397526</t>
  </si>
  <si>
    <t>羽田空港第1ターミナル</t>
  </si>
  <si>
    <t>南</t>
  </si>
  <si>
    <t>000397527</t>
  </si>
  <si>
    <t>北</t>
  </si>
  <si>
    <t>000397529</t>
  </si>
  <si>
    <t>羽田空港第2ターミナル</t>
  </si>
  <si>
    <t>000394163</t>
  </si>
  <si>
    <t>新家</t>
  </si>
  <si>
    <t>000397528</t>
  </si>
  <si>
    <t>000394169</t>
  </si>
  <si>
    <t>000395227</t>
  </si>
  <si>
    <t>新大阪</t>
  </si>
  <si>
    <t>（1/2)</t>
  </si>
  <si>
    <t>JR西FA70(EXV)</t>
  </si>
  <si>
    <t>3S2EU-RDP-0003</t>
  </si>
  <si>
    <t>2899914-8</t>
  </si>
  <si>
    <t>000390814</t>
  </si>
  <si>
    <t>（2/2）</t>
  </si>
  <si>
    <t>000394181</t>
  </si>
  <si>
    <t>大正</t>
  </si>
  <si>
    <t>000394175</t>
  </si>
  <si>
    <t>長居</t>
  </si>
  <si>
    <t>000391333</t>
  </si>
  <si>
    <t>美章園</t>
  </si>
  <si>
    <t>3S2EU-RDP-0001</t>
  </si>
  <si>
    <t>2874359-3</t>
  </si>
  <si>
    <t>000397209</t>
  </si>
  <si>
    <t>我孫子</t>
  </si>
  <si>
    <t>000399243</t>
  </si>
  <si>
    <t>和泉砂川</t>
  </si>
  <si>
    <t>000399242</t>
  </si>
  <si>
    <t>和泉鳥取</t>
  </si>
  <si>
    <t>000402032</t>
  </si>
  <si>
    <t>VU-LA004</t>
  </si>
  <si>
    <t>1892581-2</t>
  </si>
  <si>
    <t>名鉄</t>
  </si>
  <si>
    <t>000402031</t>
  </si>
  <si>
    <t>000402033</t>
  </si>
  <si>
    <t>000394288</t>
  </si>
  <si>
    <t>000402035</t>
  </si>
  <si>
    <t>000402030</t>
  </si>
  <si>
    <t>000402034</t>
  </si>
  <si>
    <t>000402040</t>
  </si>
  <si>
    <t>000402042</t>
  </si>
  <si>
    <t>000402038</t>
  </si>
  <si>
    <t>000402043</t>
  </si>
  <si>
    <t>000402036</t>
  </si>
  <si>
    <t>000395158</t>
  </si>
  <si>
    <t>000402041</t>
  </si>
  <si>
    <t>000402037</t>
  </si>
  <si>
    <t>000402039</t>
  </si>
  <si>
    <t>000395159</t>
  </si>
  <si>
    <t>VU-LB006</t>
  </si>
  <si>
    <t>2206082-6</t>
  </si>
  <si>
    <t>000402045</t>
  </si>
  <si>
    <t>000402049</t>
  </si>
  <si>
    <t>000402046</t>
  </si>
  <si>
    <t>000402044</t>
  </si>
  <si>
    <t>000395284</t>
  </si>
  <si>
    <t>000402050</t>
  </si>
  <si>
    <t>000402048</t>
  </si>
  <si>
    <t>000402047</t>
  </si>
  <si>
    <t>000402054</t>
  </si>
  <si>
    <t>VU-LC002</t>
  </si>
  <si>
    <t>9709179-4</t>
  </si>
  <si>
    <t>000402052</t>
  </si>
  <si>
    <t>000402053</t>
  </si>
  <si>
    <t>000395161</t>
  </si>
  <si>
    <t>000402051</t>
  </si>
  <si>
    <t>000397210</t>
  </si>
  <si>
    <t>中百舌鳥</t>
  </si>
  <si>
    <t>000401865</t>
  </si>
  <si>
    <t>000403496</t>
  </si>
  <si>
    <t>000403495</t>
  </si>
  <si>
    <t>000403497</t>
  </si>
  <si>
    <t>000403494</t>
  </si>
  <si>
    <t>000397377</t>
  </si>
  <si>
    <t>000401248</t>
  </si>
  <si>
    <t>000403498</t>
  </si>
  <si>
    <t>000403493</t>
  </si>
  <si>
    <t>000403502</t>
  </si>
  <si>
    <t>000403500</t>
  </si>
  <si>
    <t>000403499</t>
  </si>
  <si>
    <t>000403504</t>
  </si>
  <si>
    <t>000403503</t>
  </si>
  <si>
    <t>000403501</t>
  </si>
  <si>
    <t>000397376</t>
  </si>
  <si>
    <t>000398792</t>
  </si>
  <si>
    <t>000397069</t>
  </si>
  <si>
    <t>東淀川</t>
  </si>
  <si>
    <t>000397211</t>
  </si>
  <si>
    <t>今宮</t>
  </si>
  <si>
    <t>000401867</t>
  </si>
  <si>
    <t>東部市場前</t>
  </si>
  <si>
    <t>000401866</t>
  </si>
  <si>
    <t>六十谷</t>
  </si>
  <si>
    <t>000403505</t>
  </si>
  <si>
    <t>000399411</t>
  </si>
  <si>
    <t>000403507</t>
  </si>
  <si>
    <t>あいの風とやま（西）</t>
  </si>
  <si>
    <t>VU-LB102</t>
  </si>
  <si>
    <t>9909170-8</t>
  </si>
  <si>
    <t>000403506</t>
  </si>
  <si>
    <t>000401534</t>
  </si>
  <si>
    <t>000397070</t>
  </si>
  <si>
    <t>000403483</t>
  </si>
  <si>
    <t>JR東EV20総(多機能)</t>
  </si>
  <si>
    <t>3S2VU-RBP-5003</t>
  </si>
  <si>
    <t>3140524-0</t>
  </si>
  <si>
    <t>000397591</t>
  </si>
  <si>
    <t>JR東EV20総(IC専用)</t>
  </si>
  <si>
    <t>3S2VU-RBS-0001</t>
  </si>
  <si>
    <t>5346501-8</t>
  </si>
  <si>
    <t>000397593</t>
  </si>
  <si>
    <t>000403485</t>
  </si>
  <si>
    <t>000403484</t>
  </si>
  <si>
    <t>000403476</t>
  </si>
  <si>
    <t>000399600</t>
  </si>
  <si>
    <t>000397594</t>
  </si>
  <si>
    <t>000397071</t>
  </si>
  <si>
    <t>大和小泉</t>
  </si>
  <si>
    <t>000403511</t>
  </si>
  <si>
    <t>000397212</t>
  </si>
  <si>
    <t>000403508</t>
  </si>
  <si>
    <t>000403510</t>
  </si>
  <si>
    <t>000403509</t>
  </si>
  <si>
    <t>000403512</t>
  </si>
  <si>
    <t>VU-LB002</t>
  </si>
  <si>
    <t>1889259-0</t>
  </si>
  <si>
    <t>000401356</t>
  </si>
  <si>
    <t>000403514</t>
  </si>
  <si>
    <t>000403513</t>
  </si>
  <si>
    <t>000403515</t>
  </si>
  <si>
    <t>000397312</t>
  </si>
  <si>
    <t>000385304</t>
  </si>
  <si>
    <t>浜寺公園</t>
  </si>
  <si>
    <t>東</t>
  </si>
  <si>
    <t>3S2EU-FBP-0001</t>
  </si>
  <si>
    <t>2800663-7</t>
  </si>
  <si>
    <t>000397072</t>
  </si>
  <si>
    <t>000397758</t>
  </si>
  <si>
    <t>小田急</t>
  </si>
  <si>
    <t>小田急V8EXV</t>
  </si>
  <si>
    <t>3S2EU-FFP-0001</t>
  </si>
  <si>
    <t>2840946-4</t>
  </si>
  <si>
    <t>VU-LA012</t>
  </si>
  <si>
    <t>000397759</t>
  </si>
  <si>
    <t>3S2EU-FFP-1001</t>
  </si>
  <si>
    <t>2841859-5</t>
  </si>
  <si>
    <t>ｽﾀﾝﾄﾞ</t>
  </si>
  <si>
    <t>000397384</t>
  </si>
  <si>
    <t>000397213</t>
  </si>
  <si>
    <t>000403516</t>
  </si>
  <si>
    <t>000397368</t>
  </si>
  <si>
    <t>000403518</t>
  </si>
  <si>
    <t>000403523</t>
  </si>
  <si>
    <t>000403519</t>
  </si>
  <si>
    <t>000403522</t>
  </si>
  <si>
    <t>000403520</t>
  </si>
  <si>
    <t>000403521</t>
  </si>
  <si>
    <t>000403517</t>
  </si>
  <si>
    <t>000397379</t>
  </si>
  <si>
    <t>000397380</t>
  </si>
  <si>
    <t>000397369</t>
  </si>
  <si>
    <t>000401357</t>
  </si>
  <si>
    <t>000401361</t>
  </si>
  <si>
    <t>000397365</t>
  </si>
  <si>
    <t>000397381</t>
  </si>
  <si>
    <t>000397370</t>
  </si>
  <si>
    <t>000397216</t>
  </si>
  <si>
    <t>000397366</t>
  </si>
  <si>
    <t>000397363</t>
  </si>
  <si>
    <t>VU-LB101</t>
  </si>
  <si>
    <t>0184425-8</t>
  </si>
  <si>
    <t>000397371</t>
  </si>
  <si>
    <t>000397364</t>
  </si>
  <si>
    <t>000397367</t>
  </si>
  <si>
    <t>000397382</t>
  </si>
  <si>
    <t>000397372</t>
  </si>
  <si>
    <t>000397385</t>
  </si>
  <si>
    <t>000397076</t>
  </si>
  <si>
    <t>000397383</t>
  </si>
  <si>
    <t>000397373</t>
  </si>
  <si>
    <t>000397386</t>
  </si>
  <si>
    <t>000401358</t>
  </si>
  <si>
    <t>000397374</t>
  </si>
  <si>
    <t>000401364</t>
  </si>
  <si>
    <t>000401359</t>
  </si>
  <si>
    <t>000401365</t>
  </si>
  <si>
    <t>000397375</t>
  </si>
  <si>
    <t>V9</t>
  </si>
  <si>
    <t>先行生産</t>
  </si>
  <si>
    <t>V9-BH　計画生産</t>
  </si>
  <si>
    <t>MC-52048</t>
  </si>
  <si>
    <t>本屋口</t>
  </si>
  <si>
    <t>MC-52160</t>
  </si>
  <si>
    <t>MC-52162</t>
  </si>
  <si>
    <t>中央口</t>
  </si>
  <si>
    <t>南口</t>
  </si>
  <si>
    <t>000391147</t>
  </si>
  <si>
    <t>000391146</t>
  </si>
  <si>
    <t>000391148</t>
  </si>
  <si>
    <t>000389421</t>
  </si>
  <si>
    <t>000403215</t>
  </si>
  <si>
    <t>東京メトロ向け</t>
  </si>
  <si>
    <t>000391149</t>
  </si>
  <si>
    <t>000391150</t>
  </si>
  <si>
    <t>000389424</t>
  </si>
  <si>
    <t>000401025</t>
  </si>
  <si>
    <t>000397592</t>
  </si>
  <si>
    <t>000403216</t>
  </si>
  <si>
    <t>000401026</t>
  </si>
  <si>
    <t>000389426</t>
  </si>
  <si>
    <t>000403217</t>
  </si>
  <si>
    <t>000401027</t>
  </si>
  <si>
    <t>000401028</t>
  </si>
  <si>
    <t>000401029</t>
  </si>
  <si>
    <t>000389422</t>
  </si>
  <si>
    <t>000403218</t>
  </si>
  <si>
    <t>000401030</t>
  </si>
  <si>
    <t>000403018</t>
  </si>
  <si>
    <t>愛知高速</t>
  </si>
  <si>
    <t>000401031</t>
  </si>
  <si>
    <t>000401032</t>
  </si>
  <si>
    <t>000389420</t>
  </si>
  <si>
    <t>000401033</t>
  </si>
  <si>
    <t>000401034</t>
  </si>
  <si>
    <t>000401035</t>
  </si>
  <si>
    <t>000389429</t>
  </si>
  <si>
    <t>000401036</t>
  </si>
  <si>
    <t>000401037</t>
  </si>
  <si>
    <t>000401038</t>
  </si>
  <si>
    <t>000389431</t>
  </si>
  <si>
    <t>000401039</t>
  </si>
  <si>
    <t>000401040</t>
  </si>
  <si>
    <t>000401041</t>
  </si>
  <si>
    <t>000397487</t>
  </si>
  <si>
    <t>000401042</t>
  </si>
  <si>
    <t>000398422</t>
  </si>
  <si>
    <t>JRMS</t>
  </si>
  <si>
    <t>ﾊﾝｿｳﾌﾞ</t>
  </si>
  <si>
    <t>VUS-LAA101</t>
  </si>
  <si>
    <t>メンテ部材（検査有）</t>
  </si>
  <si>
    <t>0184429-0</t>
  </si>
  <si>
    <t>ﾒﾝﾃ</t>
  </si>
  <si>
    <t>MB-08266</t>
  </si>
  <si>
    <t>ﾒﾝﾃV8</t>
  </si>
  <si>
    <t>000402722</t>
  </si>
  <si>
    <t>N社（Ｔ）</t>
  </si>
  <si>
    <t>日本信号　BH鍵取付部材</t>
  </si>
  <si>
    <t>VUS-LCC001</t>
  </si>
  <si>
    <t>1868739-3</t>
  </si>
  <si>
    <t>000402721</t>
  </si>
  <si>
    <t>VUS-LCD001</t>
  </si>
  <si>
    <t>1868740-7</t>
  </si>
  <si>
    <t>000394042</t>
  </si>
  <si>
    <t>京市交</t>
  </si>
  <si>
    <t>10000ｴﾝﾌﾞ</t>
  </si>
  <si>
    <t>VUS-LAC001</t>
  </si>
  <si>
    <t>1868741-5</t>
  </si>
  <si>
    <t>000396346</t>
  </si>
  <si>
    <t>天王洲アイル駅</t>
  </si>
  <si>
    <t>VUS-LCN001</t>
  </si>
  <si>
    <t>1876244-1</t>
  </si>
  <si>
    <t>MB-08319</t>
  </si>
  <si>
    <t>000396349</t>
  </si>
  <si>
    <t>天空橋駅</t>
  </si>
  <si>
    <t>MB-08320</t>
  </si>
  <si>
    <t>000396352</t>
  </si>
  <si>
    <t>羽田空港第１ターミナル駅</t>
  </si>
  <si>
    <t>ﾂﾘｼﾍｲ ﾎﾘﾕｳﾌﾞ</t>
  </si>
  <si>
    <t>VUS-LAG001</t>
  </si>
  <si>
    <t>1876278-6</t>
  </si>
  <si>
    <t>000397016</t>
  </si>
  <si>
    <t>MB-08254</t>
  </si>
  <si>
    <t>000396344</t>
  </si>
  <si>
    <t>VUS-LCD002</t>
  </si>
  <si>
    <t>5343349-3</t>
  </si>
  <si>
    <t>MB-08317</t>
  </si>
  <si>
    <t>000396347</t>
  </si>
  <si>
    <t>MB-08321</t>
  </si>
  <si>
    <t>000396350</t>
  </si>
  <si>
    <t>000396345</t>
  </si>
  <si>
    <t>VUS-LCC002</t>
  </si>
  <si>
    <t>5343350-7</t>
  </si>
  <si>
    <t>MB-08318</t>
  </si>
  <si>
    <t>000396348</t>
  </si>
  <si>
    <t>MB-08322</t>
  </si>
  <si>
    <t>000396351</t>
  </si>
  <si>
    <t>000402775</t>
  </si>
  <si>
    <t>沖電気工業株式会社</t>
  </si>
  <si>
    <t>万円部</t>
  </si>
  <si>
    <t>YBS-LAC001</t>
  </si>
  <si>
    <t>5685600-0</t>
  </si>
  <si>
    <t>MB-08333</t>
  </si>
  <si>
    <t>ﾒﾝﾃV9</t>
  </si>
  <si>
    <t>000403049</t>
  </si>
  <si>
    <t>MB-08334</t>
  </si>
  <si>
    <t>000403524</t>
  </si>
  <si>
    <t>MB-08335</t>
  </si>
  <si>
    <t>000403050</t>
  </si>
  <si>
    <t>MB-08336</t>
  </si>
  <si>
    <t>000403525</t>
  </si>
  <si>
    <t>MB-08337</t>
  </si>
  <si>
    <t>000403047</t>
  </si>
  <si>
    <t>MB-08338</t>
  </si>
  <si>
    <t>000403526</t>
  </si>
  <si>
    <t>MB-08339</t>
  </si>
  <si>
    <t>000403048</t>
  </si>
  <si>
    <t>MB-08340</t>
  </si>
  <si>
    <t>000403527</t>
  </si>
  <si>
    <t>MB-08341</t>
  </si>
  <si>
    <t>000402962</t>
  </si>
  <si>
    <t>MB-08342</t>
  </si>
  <si>
    <t>000403528</t>
  </si>
  <si>
    <t>MB-08343</t>
  </si>
  <si>
    <t>000389428-05</t>
  </si>
  <si>
    <t>000389428-06</t>
  </si>
  <si>
    <r>
      <t>000389430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</si>
  <si>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000389430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</si>
  <si>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</si>
  <si>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</si>
  <si>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</si>
  <si>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</si>
  <si>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</si>
  <si>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</si>
  <si>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</si>
  <si>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</si>
  <si>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</si>
  <si>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000389430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</si>
  <si>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</si>
  <si>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000391137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</si>
  <si>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</si>
  <si>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</si>
  <si>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</si>
  <si>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</si>
  <si>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</si>
  <si>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</si>
  <si>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</si>
  <si>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</si>
  <si>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</si>
  <si>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</si>
  <si>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</si>
  <si>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000391138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</si>
  <si>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</si>
  <si>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</si>
  <si>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</si>
  <si>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</si>
  <si>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</si>
  <si>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</si>
  <si>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</si>
  <si>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</si>
  <si>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</si>
  <si>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</si>
  <si>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000391139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</si>
  <si>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</si>
  <si>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</si>
  <si>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</si>
  <si>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</si>
  <si>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</si>
  <si>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</si>
  <si>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</si>
  <si>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</si>
  <si>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000391139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</si>
  <si>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</si>
  <si>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000389419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</si>
  <si>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</si>
  <si>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</si>
  <si>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</si>
  <si>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</si>
  <si>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</si>
  <si>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</si>
  <si>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</si>
  <si>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</si>
  <si>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</si>
  <si>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</si>
  <si>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</si>
  <si>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</si>
  <si>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</si>
  <si>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</si>
  <si>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</si>
  <si>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</si>
  <si>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</si>
  <si>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</si>
  <si>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</si>
  <si>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</si>
  <si>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</si>
  <si>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</si>
  <si>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</si>
  <si>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</si>
  <si>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</si>
  <si>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000389419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</si>
  <si>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</si>
  <si>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000391140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</si>
  <si>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</si>
  <si>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</si>
  <si>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</si>
  <si>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</si>
  <si>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</si>
  <si>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</si>
  <si>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</si>
  <si>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</si>
  <si>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</si>
  <si>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</si>
  <si>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</si>
  <si>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</si>
  <si>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</si>
  <si>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</si>
  <si>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</si>
  <si>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</si>
  <si>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</si>
  <si>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</si>
  <si>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</si>
  <si>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</si>
  <si>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</si>
  <si>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</si>
  <si>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</si>
  <si>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</si>
  <si>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</si>
  <si>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000391140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</si>
  <si>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</si>
  <si>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000391141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</si>
  <si>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</si>
  <si>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</si>
  <si>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</si>
  <si>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</si>
  <si>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</si>
  <si>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</si>
  <si>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</si>
  <si>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</si>
  <si>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</si>
  <si>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</si>
  <si>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</si>
  <si>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</si>
  <si>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</si>
  <si>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</si>
  <si>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</si>
  <si>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</si>
  <si>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</si>
  <si>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</si>
  <si>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</si>
  <si>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</si>
  <si>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</si>
  <si>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</si>
  <si>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</si>
  <si>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</si>
  <si>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000391141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</si>
  <si>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</si>
  <si>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000391142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</si>
  <si>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</si>
  <si>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</si>
  <si>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</si>
  <si>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</si>
  <si>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</si>
  <si>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</si>
  <si>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</si>
  <si>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</si>
  <si>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</si>
  <si>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</si>
  <si>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</si>
  <si>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</si>
  <si>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</si>
  <si>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</si>
  <si>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</si>
  <si>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</si>
  <si>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</si>
  <si>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</si>
  <si>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</si>
  <si>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</si>
  <si>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</si>
  <si>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</si>
  <si>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</si>
  <si>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</si>
  <si>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000391142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</si>
  <si>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</si>
  <si>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000389427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</si>
  <si>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</si>
  <si>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</si>
  <si>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</si>
  <si>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</si>
  <si>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</si>
  <si>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</si>
  <si>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</si>
  <si>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</si>
  <si>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</si>
  <si>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</si>
  <si>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</si>
  <si>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</si>
  <si>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</si>
  <si>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</si>
  <si>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</si>
  <si>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</si>
  <si>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</si>
  <si>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</si>
  <si>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</si>
  <si>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</si>
  <si>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</si>
  <si>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</si>
  <si>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</si>
  <si>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</si>
  <si>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</si>
  <si>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000389427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</si>
  <si>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</si>
  <si>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000391143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</si>
  <si>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</si>
  <si>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</si>
  <si>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</si>
  <si>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</si>
  <si>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</si>
  <si>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</si>
  <si>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</si>
  <si>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</si>
  <si>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</si>
  <si>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</si>
  <si>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</si>
  <si>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</si>
  <si>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</si>
  <si>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</si>
  <si>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</si>
  <si>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</si>
  <si>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</si>
  <si>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</si>
  <si>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</si>
  <si>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</si>
  <si>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</si>
  <si>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</si>
  <si>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</si>
  <si>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</si>
  <si>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</si>
  <si>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000391143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</si>
  <si>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</si>
  <si>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000391144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</si>
  <si>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</si>
  <si>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</si>
  <si>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</si>
  <si>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</si>
  <si>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</si>
  <si>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</si>
  <si>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</si>
  <si>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</si>
  <si>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</si>
  <si>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</si>
  <si>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</si>
  <si>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</si>
  <si>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</si>
  <si>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</si>
  <si>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</si>
  <si>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</si>
  <si>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</si>
  <si>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</si>
  <si>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</si>
  <si>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</si>
  <si>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</si>
  <si>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</si>
  <si>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</si>
  <si>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</si>
  <si>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000391144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</si>
  <si>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</si>
  <si>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000391145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</si>
  <si>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</si>
  <si>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</si>
  <si>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</si>
  <si>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</si>
  <si>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</si>
  <si>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</si>
  <si>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</si>
  <si>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</si>
  <si>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</si>
  <si>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</si>
  <si>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</si>
  <si>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</si>
  <si>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</si>
  <si>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</si>
  <si>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</si>
  <si>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</si>
  <si>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</si>
  <si>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</si>
  <si>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</si>
  <si>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</si>
  <si>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</si>
  <si>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</si>
  <si>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</si>
  <si>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</si>
  <si>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000391145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</si>
  <si>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-01</t>
    </r>
    <phoneticPr fontId="7"/>
  </si>
  <si>
    <r>
      <t>000389425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</si>
  <si>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</si>
  <si>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</si>
  <si>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</si>
  <si>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</si>
  <si>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</si>
  <si>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</si>
  <si>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</si>
  <si>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</si>
  <si>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</si>
  <si>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</si>
  <si>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</si>
  <si>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</si>
  <si>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</si>
  <si>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</si>
  <si>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</si>
  <si>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</si>
  <si>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</si>
  <si>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</si>
  <si>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</si>
  <si>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</si>
  <si>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</si>
  <si>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</si>
  <si>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</si>
  <si>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</si>
  <si>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</si>
  <si>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000389425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</si>
  <si>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t>行ラベル</t>
  </si>
  <si>
    <t>総計</t>
  </si>
  <si>
    <t>注：T-No＝V8累計台数+ 13台（破損機）</t>
    <rPh sb="0" eb="1">
      <t>チュウ</t>
    </rPh>
    <rPh sb="17" eb="18">
      <t>ダイ</t>
    </rPh>
    <rPh sb="19" eb="21">
      <t>ハソン</t>
    </rPh>
    <rPh sb="21" eb="22">
      <t>キ</t>
    </rPh>
    <phoneticPr fontId="7"/>
  </si>
  <si>
    <t>Ｖ８(VUS-)</t>
    <phoneticPr fontId="7"/>
  </si>
  <si>
    <t>V９（</t>
    <phoneticPr fontId="7"/>
  </si>
  <si>
    <t>YBS-）</t>
    <phoneticPr fontId="7"/>
  </si>
  <si>
    <t>光真ss
出荷月</t>
    <rPh sb="7" eb="8">
      <t>ツキ</t>
    </rPh>
    <phoneticPr fontId="7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</si>
  <si>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7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</si>
  <si>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7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</si>
  <si>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7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</si>
  <si>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7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</si>
  <si>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</si>
  <si>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7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</si>
  <si>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7"/>
  </si>
  <si>
    <t>LAZ103
ＬＢ110
ＬＢ111</t>
    <phoneticPr fontId="7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</si>
  <si>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7"/>
  </si>
  <si>
    <t>Ｖ８
合計</t>
    <phoneticPr fontId="7"/>
  </si>
  <si>
    <t>Ｖ８
累計</t>
    <phoneticPr fontId="7"/>
  </si>
  <si>
    <t>LAY
001</t>
    <phoneticPr fontId="7"/>
  </si>
  <si>
    <t>LAY
002</t>
    <phoneticPr fontId="7"/>
  </si>
  <si>
    <t>Ｖ９
合計</t>
    <rPh sb="3" eb="5">
      <t>ゴウケイ</t>
    </rPh>
    <phoneticPr fontId="7"/>
  </si>
  <si>
    <t>Ｖ９
累計</t>
    <rPh sb="3" eb="5">
      <t>ルイケイ</t>
    </rPh>
    <phoneticPr fontId="7"/>
  </si>
  <si>
    <t>ＢＨ合計</t>
    <rPh sb="2" eb="4">
      <t>ゴウケイ</t>
    </rPh>
    <phoneticPr fontId="7"/>
  </si>
  <si>
    <t>10年度</t>
  </si>
  <si>
    <t>５月</t>
  </si>
  <si>
    <t>６月</t>
  </si>
  <si>
    <t>７月</t>
  </si>
  <si>
    <t>８月</t>
  </si>
  <si>
    <t>【Ｖ８】</t>
  </si>
  <si>
    <t>９月</t>
  </si>
  <si>
    <t>１０月</t>
  </si>
  <si>
    <t>１１月</t>
  </si>
  <si>
    <t>【合計】</t>
  </si>
  <si>
    <t>１２月</t>
  </si>
  <si>
    <t>11/１月</t>
  </si>
  <si>
    <t>２月</t>
  </si>
  <si>
    <t>３月</t>
  </si>
  <si>
    <t>４月</t>
  </si>
  <si>
    <t>11年度</t>
  </si>
  <si>
    <t>12/１月</t>
  </si>
  <si>
    <t>１２年度</t>
  </si>
  <si>
    <t>13/1月</t>
  </si>
  <si>
    <t>１３年度</t>
  </si>
  <si>
    <t>14/１月</t>
  </si>
  <si>
    <t>１4年度</t>
    <phoneticPr fontId="7"/>
  </si>
  <si>
    <t>15/１月</t>
  </si>
  <si>
    <t>15年度</t>
    <phoneticPr fontId="7"/>
  </si>
  <si>
    <t>16/１月</t>
  </si>
  <si>
    <t>16年度</t>
    <phoneticPr fontId="7"/>
  </si>
  <si>
    <t>17/１月</t>
  </si>
  <si>
    <t>17年度</t>
    <phoneticPr fontId="7"/>
  </si>
  <si>
    <t>18/１月</t>
  </si>
  <si>
    <t>18年度</t>
    <phoneticPr fontId="7"/>
  </si>
  <si>
    <t>【合計】</t>
    <phoneticPr fontId="7"/>
  </si>
  <si>
    <t>19/１月</t>
    <phoneticPr fontId="7"/>
  </si>
  <si>
    <t>19年度</t>
    <phoneticPr fontId="7"/>
  </si>
  <si>
    <t>９月</t>
    <phoneticPr fontId="7"/>
  </si>
  <si>
    <t>20/１月</t>
    <phoneticPr fontId="7"/>
  </si>
  <si>
    <t>20年度</t>
    <phoneticPr fontId="7"/>
  </si>
  <si>
    <t>【Ｖ８】</t>
    <phoneticPr fontId="7"/>
  </si>
  <si>
    <t>９月</t>
    <phoneticPr fontId="7"/>
  </si>
  <si>
    <t>21/１月</t>
    <phoneticPr fontId="7"/>
  </si>
  <si>
    <t>21年度</t>
    <phoneticPr fontId="7"/>
  </si>
  <si>
    <t>【Ｖ８】</t>
    <phoneticPr fontId="7"/>
  </si>
  <si>
    <t>22/１月</t>
    <phoneticPr fontId="7"/>
  </si>
  <si>
    <t>４月</t>
    <phoneticPr fontId="7"/>
  </si>
  <si>
    <t>22年度</t>
    <phoneticPr fontId="7"/>
  </si>
  <si>
    <t>９月</t>
    <phoneticPr fontId="7"/>
  </si>
  <si>
    <t>【Ｖ９】</t>
    <phoneticPr fontId="7"/>
  </si>
  <si>
    <t>23/１月</t>
    <phoneticPr fontId="7"/>
  </si>
  <si>
    <t>23年度</t>
    <phoneticPr fontId="7"/>
  </si>
  <si>
    <t>【Ｖ８】</t>
    <phoneticPr fontId="7"/>
  </si>
  <si>
    <t>【Ｖ９】</t>
    <phoneticPr fontId="7"/>
  </si>
  <si>
    <t>24/１月</t>
    <phoneticPr fontId="7"/>
  </si>
  <si>
    <t>24年度</t>
    <phoneticPr fontId="7"/>
  </si>
  <si>
    <t>２５/１月</t>
    <phoneticPr fontId="7"/>
  </si>
  <si>
    <t>４月</t>
    <phoneticPr fontId="7"/>
  </si>
  <si>
    <t>25年度</t>
    <phoneticPr fontId="7"/>
  </si>
  <si>
    <t>５月</t>
    <phoneticPr fontId="7"/>
  </si>
  <si>
    <t>25/05</t>
  </si>
  <si>
    <t>６月</t>
    <phoneticPr fontId="7"/>
  </si>
  <si>
    <t>25/06</t>
  </si>
  <si>
    <t>７月</t>
    <phoneticPr fontId="7"/>
  </si>
  <si>
    <t>25/07</t>
  </si>
  <si>
    <t>25/08</t>
  </si>
  <si>
    <t>25/09</t>
  </si>
  <si>
    <t>25/10</t>
  </si>
  <si>
    <t>25/11</t>
  </si>
  <si>
    <t>25/12</t>
  </si>
  <si>
    <t>２６/１月</t>
    <phoneticPr fontId="7"/>
  </si>
  <si>
    <t>26/1</t>
    <phoneticPr fontId="7"/>
  </si>
  <si>
    <t>26/2</t>
    <phoneticPr fontId="7"/>
  </si>
  <si>
    <t>26/3</t>
    <phoneticPr fontId="7"/>
  </si>
  <si>
    <t>26/4</t>
    <phoneticPr fontId="7"/>
  </si>
  <si>
    <t>26年度</t>
    <phoneticPr fontId="7"/>
  </si>
  <si>
    <t>５月</t>
    <phoneticPr fontId="7"/>
  </si>
  <si>
    <t>26/5</t>
  </si>
  <si>
    <t>【Ｖ８】</t>
    <phoneticPr fontId="7"/>
  </si>
  <si>
    <t>６月</t>
    <phoneticPr fontId="7"/>
  </si>
  <si>
    <t>26/6</t>
  </si>
  <si>
    <t>７月</t>
    <phoneticPr fontId="7"/>
  </si>
  <si>
    <t>26/7</t>
  </si>
  <si>
    <t>26/8</t>
  </si>
  <si>
    <t>26/9</t>
  </si>
  <si>
    <t>26/10</t>
  </si>
  <si>
    <t>【Ｖ９】</t>
    <phoneticPr fontId="7"/>
  </si>
  <si>
    <t>26/11</t>
  </si>
  <si>
    <t>26/12</t>
  </si>
  <si>
    <t>２７/１月</t>
    <phoneticPr fontId="7"/>
  </si>
  <si>
    <t>27/1</t>
    <phoneticPr fontId="7"/>
  </si>
  <si>
    <t>27/2</t>
    <phoneticPr fontId="7"/>
  </si>
  <si>
    <t>27/3</t>
    <phoneticPr fontId="7"/>
  </si>
  <si>
    <t>27/4</t>
    <phoneticPr fontId="7"/>
  </si>
  <si>
    <t>青</t>
  </si>
  <si>
    <t>緑</t>
  </si>
  <si>
    <t>ピンク</t>
  </si>
  <si>
    <t>オレンジ</t>
  </si>
  <si>
    <t>黄</t>
  </si>
  <si>
    <t>紺（白字）</t>
  </si>
  <si>
    <t>紫</t>
  </si>
  <si>
    <t>赤</t>
    <rPh sb="0" eb="1">
      <t>アカ</t>
    </rPh>
    <phoneticPr fontId="7"/>
  </si>
  <si>
    <t>薄ピンク</t>
    <rPh sb="0" eb="1">
      <t>ウス</t>
    </rPh>
    <phoneticPr fontId="7"/>
  </si>
  <si>
    <t>Ｖ８(VUS-)</t>
    <phoneticPr fontId="7"/>
  </si>
  <si>
    <t>V９（YBS-)</t>
    <phoneticPr fontId="7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</si>
  <si>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7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</si>
  <si>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7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</si>
  <si>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7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</si>
  <si>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7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</si>
  <si>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</si>
  <si>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7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</si>
  <si>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7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</si>
  <si>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7"/>
  </si>
  <si>
    <t>Ｖ８
合計</t>
    <phoneticPr fontId="7"/>
  </si>
  <si>
    <t>Ｖ８
累計</t>
    <phoneticPr fontId="7"/>
  </si>
  <si>
    <t>LAY
001</t>
    <phoneticPr fontId="7"/>
  </si>
  <si>
    <t>LAY
002</t>
    <phoneticPr fontId="7"/>
  </si>
  <si>
    <t>26/02</t>
  </si>
  <si>
    <t>3/7集計　ＯＳＳ様　ＢＨ出荷計画情報（26年度ボギー集計）</t>
    <rPh sb="22" eb="24">
      <t>ネンド</t>
    </rPh>
    <rPh sb="27" eb="29">
      <t>シュウケイ</t>
    </rPh>
    <phoneticPr fontId="7"/>
  </si>
  <si>
    <t>T-No
（LAY）</t>
  </si>
  <si>
    <t>ＢＨ型式</t>
  </si>
  <si>
    <t>順序
確定日</t>
  </si>
  <si>
    <t>光真
順序
出荷日</t>
  </si>
  <si>
    <t>LAZ
完了
計画</t>
  </si>
  <si>
    <t>KMP
ユニット
日本着日</t>
  </si>
  <si>
    <t>LAZ/ｶｾｯﾄ
LAL/LBL
J-光真
出荷計画</t>
  </si>
  <si>
    <t>メンテ</t>
  </si>
  <si>
    <r>
      <t>LAD00</t>
    </r>
    <r>
      <rPr>
        <sz val="9"/>
        <rFont val="ＭＳ Ｐゴシック"/>
        <family val="3"/>
        <charset val="128"/>
      </rPr>
      <t>2</t>
    </r>
    <phoneticPr fontId="7"/>
  </si>
  <si>
    <t>LAZ003</t>
  </si>
  <si>
    <t>生産
計画
No</t>
    <rPh sb="0" eb="2">
      <t>セイサン</t>
    </rPh>
    <rPh sb="3" eb="5">
      <t>ケイカク</t>
    </rPh>
    <phoneticPr fontId="7"/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</si>
  <si>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7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</si>
  <si>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7"/>
  </si>
  <si>
    <t>ﾕﾆｯﾄ
種類数</t>
  </si>
  <si>
    <t>BH型式</t>
    <rPh sb="2" eb="4">
      <t>カタシキ</t>
    </rPh>
    <phoneticPr fontId="7"/>
  </si>
  <si>
    <t>出荷日</t>
    <rPh sb="0" eb="3">
      <t>シュッカビ</t>
    </rPh>
    <phoneticPr fontId="7"/>
  </si>
  <si>
    <t>T-No
（LAY）</t>
    <phoneticPr fontId="7"/>
  </si>
  <si>
    <t>1F
出荷</t>
    <rPh sb="3" eb="5">
      <t>シュッカ</t>
    </rPh>
    <phoneticPr fontId="7"/>
  </si>
  <si>
    <t>ﾒﾝﾃﾕﾆｯﾄ
型式</t>
    <rPh sb="8" eb="10">
      <t>カタシキ</t>
    </rPh>
    <phoneticPr fontId="7"/>
  </si>
  <si>
    <t>Z004
号機</t>
    <phoneticPr fontId="7"/>
  </si>
  <si>
    <t>LAA101</t>
    <phoneticPr fontId="7"/>
  </si>
  <si>
    <t>LAE101</t>
    <phoneticPr fontId="7"/>
  </si>
  <si>
    <t>LBL002</t>
    <phoneticPr fontId="7"/>
  </si>
  <si>
    <r>
      <t>LAN00</t>
    </r>
    <r>
      <rPr>
        <sz val="9"/>
        <rFont val="ＭＳ Ｐゴシック"/>
        <family val="3"/>
        <charset val="128"/>
      </rPr>
      <t>2</t>
    </r>
    <phoneticPr fontId="7"/>
  </si>
  <si>
    <t>LCN001</t>
    <phoneticPr fontId="7"/>
  </si>
  <si>
    <r>
      <t>LAC00</t>
    </r>
    <r>
      <rPr>
        <sz val="9"/>
        <rFont val="ＭＳ Ｐゴシック"/>
        <family val="3"/>
        <charset val="128"/>
      </rPr>
      <t>2</t>
    </r>
    <phoneticPr fontId="7"/>
  </si>
  <si>
    <t>LCD002</t>
    <phoneticPr fontId="7"/>
  </si>
  <si>
    <t>LAZ004</t>
    <phoneticPr fontId="7"/>
  </si>
  <si>
    <r>
      <t>LAZ10</t>
    </r>
    <r>
      <rPr>
        <sz val="9"/>
        <rFont val="ＭＳ Ｐゴシック"/>
        <family val="3"/>
        <charset val="128"/>
      </rPr>
      <t>3</t>
    </r>
    <phoneticPr fontId="7"/>
  </si>
  <si>
    <t>LAZ
ﾕﾆｯﾄ</t>
    <phoneticPr fontId="7"/>
  </si>
  <si>
    <t>5311189-5</t>
    <phoneticPr fontId="12"/>
  </si>
  <si>
    <t>5311167-4</t>
    <phoneticPr fontId="12"/>
  </si>
  <si>
    <t>MB-08319</t>
    <phoneticPr fontId="12"/>
  </si>
  <si>
    <t>M</t>
  </si>
  <si>
    <t>・</t>
    <phoneticPr fontId="12"/>
  </si>
  <si>
    <t>JR東</t>
    <rPh sb="2" eb="3">
      <t>ヒガシ</t>
    </rPh>
    <phoneticPr fontId="12"/>
  </si>
  <si>
    <t>LCN001(1/2)</t>
    <phoneticPr fontId="12"/>
  </si>
  <si>
    <t>（2/6平嶌様情報）</t>
    <rPh sb="4" eb="5">
      <t>ヒラ</t>
    </rPh>
    <rPh sb="5" eb="6">
      <t>シマ</t>
    </rPh>
    <rPh sb="6" eb="7">
      <t>サマ</t>
    </rPh>
    <rPh sb="7" eb="9">
      <t>ジョウホウ</t>
    </rPh>
    <phoneticPr fontId="29"/>
  </si>
  <si>
    <t>LCN001</t>
    <phoneticPr fontId="12"/>
  </si>
  <si>
    <t>・</t>
    <phoneticPr fontId="12"/>
  </si>
  <si>
    <t>LCN001(2/2)</t>
    <phoneticPr fontId="12"/>
  </si>
  <si>
    <t>LCN001</t>
    <phoneticPr fontId="12"/>
  </si>
  <si>
    <t>MB-08318</t>
    <phoneticPr fontId="12"/>
  </si>
  <si>
    <t>LCC002(1/2)</t>
    <phoneticPr fontId="12"/>
  </si>
  <si>
    <t>LCC002</t>
    <phoneticPr fontId="12"/>
  </si>
  <si>
    <t>MB-08322</t>
    <phoneticPr fontId="12"/>
  </si>
  <si>
    <t>LCC002(2/2)</t>
    <phoneticPr fontId="12"/>
  </si>
  <si>
    <t>LCC002</t>
    <phoneticPr fontId="12"/>
  </si>
  <si>
    <t>MB-08317</t>
    <phoneticPr fontId="12"/>
  </si>
  <si>
    <t>・</t>
    <phoneticPr fontId="12"/>
  </si>
  <si>
    <t>LCD002(1/2)</t>
    <phoneticPr fontId="12"/>
  </si>
  <si>
    <t>LCD002</t>
    <phoneticPr fontId="12"/>
  </si>
  <si>
    <t>MB-08321</t>
    <phoneticPr fontId="12"/>
  </si>
  <si>
    <t>LCD002(2/2)</t>
    <phoneticPr fontId="12"/>
  </si>
  <si>
    <t>LCD002</t>
    <phoneticPr fontId="12"/>
  </si>
  <si>
    <t>・</t>
  </si>
  <si>
    <t>LCN001(1/1)</t>
    <phoneticPr fontId="12"/>
  </si>
  <si>
    <t>LCN001</t>
    <phoneticPr fontId="12"/>
  </si>
  <si>
    <t>・</t>
    <phoneticPr fontId="12"/>
  </si>
  <si>
    <t>LCC002(1/1)</t>
    <phoneticPr fontId="12"/>
  </si>
  <si>
    <t>LCC002</t>
    <phoneticPr fontId="12"/>
  </si>
  <si>
    <t>・</t>
    <phoneticPr fontId="12"/>
  </si>
  <si>
    <t>LCD002(1/1)</t>
    <phoneticPr fontId="12"/>
  </si>
  <si>
    <t>(空白)</t>
  </si>
  <si>
    <t>T-No</t>
    <phoneticPr fontId="7"/>
  </si>
  <si>
    <t>Z001
号機</t>
    <rPh sb="5" eb="7">
      <t>ゴウキ</t>
    </rPh>
    <phoneticPr fontId="36"/>
  </si>
  <si>
    <t>Z002
号機</t>
    <rPh sb="5" eb="7">
      <t>ゴウキ</t>
    </rPh>
    <phoneticPr fontId="36"/>
  </si>
  <si>
    <t>Y001
号機</t>
    <rPh sb="5" eb="7">
      <t>ゴウキ</t>
    </rPh>
    <phoneticPr fontId="36"/>
  </si>
  <si>
    <t>Y002
号機</t>
    <rPh sb="5" eb="7">
      <t>ゴウキ</t>
    </rPh>
    <phoneticPr fontId="36"/>
  </si>
  <si>
    <t>光真
出荷計画</t>
    <rPh sb="0" eb="2">
      <t>コウシン</t>
    </rPh>
    <phoneticPr fontId="36"/>
  </si>
  <si>
    <t>YBS-LAA001</t>
  </si>
  <si>
    <t>YBS-LAF001</t>
  </si>
  <si>
    <t>YBS-LAG001</t>
  </si>
  <si>
    <t>YBS-LAE001</t>
  </si>
  <si>
    <t>YBS-LAL001</t>
  </si>
  <si>
    <t>YBS-LAN001</t>
  </si>
  <si>
    <t>YBS-LAD001</t>
  </si>
  <si>
    <t>YBS-LAH001</t>
  </si>
  <si>
    <t>YBS-LAY001</t>
  </si>
  <si>
    <t>YBS-LAY002</t>
    <phoneticPr fontId="36"/>
  </si>
  <si>
    <t>YBS-LAZ001</t>
  </si>
  <si>
    <t>生産計画
No</t>
    <rPh sb="0" eb="2">
      <t>セイサン</t>
    </rPh>
    <rPh sb="2" eb="4">
      <t>ケイカク</t>
    </rPh>
    <phoneticPr fontId="7"/>
  </si>
  <si>
    <t>T-No</t>
    <phoneticPr fontId="7"/>
  </si>
  <si>
    <t>000391137-01</t>
  </si>
  <si>
    <t>000391137-02</t>
  </si>
  <si>
    <t>000391137-03</t>
  </si>
  <si>
    <t>MB-08333</t>
    <phoneticPr fontId="36"/>
  </si>
  <si>
    <t>M</t>
    <phoneticPr fontId="36"/>
  </si>
  <si>
    <t>000402775</t>
    <phoneticPr fontId="36"/>
  </si>
  <si>
    <t>LAC001(1/5)</t>
  </si>
  <si>
    <t>（2/20平嶌様情報）</t>
    <rPh sb="5" eb="7">
      <t>ヒラシマ</t>
    </rPh>
    <rPh sb="7" eb="8">
      <t>サマ</t>
    </rPh>
    <rPh sb="8" eb="10">
      <t>ジョウホウ</t>
    </rPh>
    <phoneticPr fontId="24"/>
  </si>
  <si>
    <t>LAC001</t>
    <phoneticPr fontId="36"/>
  </si>
  <si>
    <t>MB-08333</t>
    <phoneticPr fontId="36"/>
  </si>
  <si>
    <t>M</t>
    <phoneticPr fontId="36"/>
  </si>
  <si>
    <t>000402775</t>
    <phoneticPr fontId="36"/>
  </si>
  <si>
    <t>LAC001(2/5)</t>
  </si>
  <si>
    <t>LAC001(3/5)</t>
  </si>
  <si>
    <t>LAC001(4/5)</t>
  </si>
  <si>
    <t>LAC001(5/5)</t>
  </si>
  <si>
    <t>000391137-04</t>
  </si>
  <si>
    <t>000391137-05</t>
  </si>
  <si>
    <t>000391137-06</t>
  </si>
  <si>
    <t>000391137-07</t>
  </si>
  <si>
    <t>000391137-08</t>
  </si>
  <si>
    <t>000391137-09</t>
  </si>
  <si>
    <t>000391137-10</t>
  </si>
  <si>
    <t>000391137-11</t>
  </si>
  <si>
    <t>000391137-12</t>
  </si>
  <si>
    <t>000391138-01</t>
  </si>
  <si>
    <t>000391138-02</t>
  </si>
  <si>
    <t>000391138-03</t>
  </si>
  <si>
    <t>000391138-04</t>
  </si>
  <si>
    <t>000391138-05</t>
  </si>
  <si>
    <t>000391138-06</t>
  </si>
  <si>
    <t>000391138-07</t>
  </si>
  <si>
    <t>000391138-08</t>
  </si>
  <si>
    <t>000391138-09</t>
  </si>
  <si>
    <t>000391138-10</t>
  </si>
  <si>
    <t>000391138-11</t>
  </si>
  <si>
    <t>000391139-01</t>
  </si>
  <si>
    <t>000391139-02</t>
  </si>
  <si>
    <t>000391139-03</t>
  </si>
  <si>
    <t>MB-08334</t>
    <phoneticPr fontId="36"/>
  </si>
  <si>
    <t>000403049</t>
    <phoneticPr fontId="36"/>
  </si>
  <si>
    <t>000403049</t>
    <phoneticPr fontId="36"/>
  </si>
  <si>
    <t>000391139-04</t>
  </si>
  <si>
    <t>000391139-05</t>
  </si>
  <si>
    <t>000391139-06</t>
  </si>
  <si>
    <t>MB-08335</t>
    <phoneticPr fontId="36"/>
  </si>
  <si>
    <t>000403524</t>
    <phoneticPr fontId="36"/>
  </si>
  <si>
    <t>M</t>
    <phoneticPr fontId="36"/>
  </si>
  <si>
    <t>000403524</t>
    <phoneticPr fontId="36"/>
  </si>
  <si>
    <t>LAC001</t>
    <phoneticPr fontId="36"/>
  </si>
  <si>
    <t>MB-08335</t>
    <phoneticPr fontId="36"/>
  </si>
  <si>
    <t>000391139-07</t>
  </si>
  <si>
    <t>000391139-08</t>
  </si>
  <si>
    <t>000391139-09</t>
  </si>
  <si>
    <t>000391139-10</t>
  </si>
  <si>
    <t>000391139-11</t>
  </si>
  <si>
    <t>000389419-01</t>
  </si>
  <si>
    <t>000389419-02</t>
  </si>
  <si>
    <t>000389419-03</t>
  </si>
  <si>
    <t>000389419-04</t>
  </si>
  <si>
    <t>000389419-05</t>
  </si>
  <si>
    <t>000389419-06</t>
  </si>
  <si>
    <t>000389419-07</t>
  </si>
  <si>
    <t>000389419-08</t>
  </si>
  <si>
    <t>000389419-09</t>
  </si>
  <si>
    <t>000389419-10</t>
  </si>
  <si>
    <t>000389419-11</t>
  </si>
  <si>
    <t>000389419-12</t>
  </si>
  <si>
    <t>MB-08336</t>
    <phoneticPr fontId="36"/>
  </si>
  <si>
    <t>000403050</t>
    <phoneticPr fontId="36"/>
  </si>
  <si>
    <t>000389419-13</t>
  </si>
  <si>
    <t>000389419-14</t>
  </si>
  <si>
    <t>000389419-15</t>
  </si>
  <si>
    <t>000389419-16</t>
  </si>
  <si>
    <t>000389419-17</t>
  </si>
  <si>
    <t>000389419-18</t>
  </si>
  <si>
    <t>MB-08337</t>
    <phoneticPr fontId="36"/>
  </si>
  <si>
    <t>000403525</t>
    <phoneticPr fontId="36"/>
  </si>
  <si>
    <t>000389419-19</t>
  </si>
  <si>
    <t>000389419-20</t>
  </si>
  <si>
    <t>000389419-21</t>
  </si>
  <si>
    <t>000389419-22</t>
  </si>
  <si>
    <t>000389419-23</t>
  </si>
  <si>
    <t>000389419-24</t>
  </si>
  <si>
    <t>000389419-25</t>
  </si>
  <si>
    <t>000389419-26</t>
  </si>
  <si>
    <t>000389419-27</t>
  </si>
  <si>
    <t>000389419-28</t>
  </si>
  <si>
    <t>000391140-01</t>
  </si>
  <si>
    <t>000391140-02</t>
  </si>
  <si>
    <t>000391140-03</t>
  </si>
  <si>
    <t>000391140-04</t>
  </si>
  <si>
    <t>000391140-05</t>
  </si>
  <si>
    <t>000391140-06</t>
  </si>
  <si>
    <t>000391140-07</t>
  </si>
  <si>
    <t>000391140-08</t>
  </si>
  <si>
    <t>000391140-09</t>
  </si>
  <si>
    <t>000391140-10</t>
  </si>
  <si>
    <t>000391140-11</t>
  </si>
  <si>
    <t>000391140-12</t>
  </si>
  <si>
    <t>000391140-13</t>
  </si>
  <si>
    <t>000391140-14</t>
  </si>
  <si>
    <t>000391140-15</t>
  </si>
  <si>
    <t>000391140-16</t>
  </si>
  <si>
    <t>000391140-17</t>
  </si>
  <si>
    <t>000391140-18</t>
  </si>
  <si>
    <t>000391140-19</t>
  </si>
  <si>
    <t>000391140-20</t>
  </si>
  <si>
    <t>000391140-21</t>
  </si>
  <si>
    <t>000391140-22</t>
  </si>
  <si>
    <t>000391140-23</t>
  </si>
  <si>
    <t>000391140-24</t>
  </si>
  <si>
    <t>000391140-25</t>
  </si>
  <si>
    <t>000391140-26</t>
  </si>
  <si>
    <t>000391140-27</t>
  </si>
  <si>
    <t>000391140-28</t>
  </si>
  <si>
    <t>000391141-01</t>
  </si>
  <si>
    <t>000391141-02</t>
  </si>
  <si>
    <t>000391141-03</t>
  </si>
  <si>
    <t>000391141-04</t>
  </si>
  <si>
    <t>000391141-05</t>
  </si>
  <si>
    <t>000391141-06</t>
  </si>
  <si>
    <t>000391141-07</t>
  </si>
  <si>
    <t>000391141-08</t>
  </si>
  <si>
    <t>000391141-09</t>
  </si>
  <si>
    <t>000391141-10</t>
  </si>
  <si>
    <t>000391141-11</t>
  </si>
  <si>
    <t>000391141-12</t>
  </si>
  <si>
    <t>000391141-13</t>
  </si>
  <si>
    <t>000391141-14</t>
  </si>
  <si>
    <t>000391141-15</t>
  </si>
  <si>
    <t>000391141-16</t>
  </si>
  <si>
    <t>000391141-17</t>
  </si>
  <si>
    <t>000391141-18</t>
  </si>
  <si>
    <t>000391141-19</t>
  </si>
  <si>
    <t>000391141-20</t>
  </si>
  <si>
    <t>000391141-21</t>
  </si>
  <si>
    <t>000391141-22</t>
  </si>
  <si>
    <t>MB-08338</t>
    <phoneticPr fontId="36"/>
  </si>
  <si>
    <t>000403047</t>
    <phoneticPr fontId="36"/>
  </si>
  <si>
    <t>000403047</t>
    <phoneticPr fontId="36"/>
  </si>
  <si>
    <t>000391141-23</t>
  </si>
  <si>
    <t>000391141-24</t>
  </si>
  <si>
    <t>000391141-25</t>
  </si>
  <si>
    <t>000391141-26</t>
  </si>
  <si>
    <t>000391141-27</t>
  </si>
  <si>
    <t>MB-08339</t>
    <phoneticPr fontId="36"/>
  </si>
  <si>
    <t>000403526</t>
    <phoneticPr fontId="36"/>
  </si>
  <si>
    <t>MB-08339</t>
    <phoneticPr fontId="36"/>
  </si>
  <si>
    <t>000391142-01</t>
  </si>
  <si>
    <t>000391142-02</t>
  </si>
  <si>
    <t>000391142-03</t>
  </si>
  <si>
    <t>000391142-04</t>
  </si>
  <si>
    <t>000391142-05</t>
  </si>
  <si>
    <t>000391142-06</t>
  </si>
  <si>
    <t>000391142-07</t>
  </si>
  <si>
    <t>000391142-08</t>
  </si>
  <si>
    <t>000391142-09</t>
  </si>
  <si>
    <t>000391142-10</t>
  </si>
  <si>
    <t>000391142-11</t>
  </si>
  <si>
    <t>000391142-12</t>
  </si>
  <si>
    <t>000391142-13</t>
  </si>
  <si>
    <t>000391142-14</t>
  </si>
  <si>
    <t>000391142-15</t>
  </si>
  <si>
    <t>000391142-16</t>
  </si>
  <si>
    <t>000391142-17</t>
  </si>
  <si>
    <t>000391142-18</t>
  </si>
  <si>
    <t>000391142-19</t>
  </si>
  <si>
    <t>000391142-20</t>
  </si>
  <si>
    <t>000391142-21</t>
  </si>
  <si>
    <t>000391142-22</t>
  </si>
  <si>
    <t>000391142-23</t>
  </si>
  <si>
    <t>000391142-24</t>
  </si>
  <si>
    <t>000391142-25</t>
  </si>
  <si>
    <t>000391142-26</t>
  </si>
  <si>
    <t>000391142-27</t>
  </si>
  <si>
    <t>000389427-01</t>
  </si>
  <si>
    <t>000389427-02</t>
  </si>
  <si>
    <t>000389427-03</t>
  </si>
  <si>
    <t>000389427-04</t>
  </si>
  <si>
    <t>000389427-05</t>
  </si>
  <si>
    <t>000389427-06</t>
  </si>
  <si>
    <t>000389427-07</t>
  </si>
  <si>
    <t>000389427-08</t>
  </si>
  <si>
    <t>000389427-09</t>
  </si>
  <si>
    <t>000389427-10</t>
  </si>
  <si>
    <t>000389427-11</t>
  </si>
  <si>
    <t>000389427-12</t>
  </si>
  <si>
    <t>000389427-13</t>
  </si>
  <si>
    <t>000389427-14</t>
  </si>
  <si>
    <t>000389427-15</t>
  </si>
  <si>
    <t>000389427-16</t>
  </si>
  <si>
    <t>000389427-17</t>
  </si>
  <si>
    <t>000389427-18</t>
  </si>
  <si>
    <t>000389427-19</t>
  </si>
  <si>
    <t>000389427-20</t>
  </si>
  <si>
    <t>000389427-21</t>
  </si>
  <si>
    <t>000389427-22</t>
  </si>
  <si>
    <t>000389427-23</t>
  </si>
  <si>
    <t>000389427-24</t>
  </si>
  <si>
    <t>000389427-25</t>
  </si>
  <si>
    <t>000389427-26</t>
  </si>
  <si>
    <t>000389427-27</t>
  </si>
  <si>
    <t>000389427-28</t>
  </si>
  <si>
    <t>000391143-01</t>
  </si>
  <si>
    <t>000391143-02</t>
  </si>
  <si>
    <t>000391143-03</t>
  </si>
  <si>
    <t>000391143-04</t>
  </si>
  <si>
    <t>000391143-05</t>
  </si>
  <si>
    <t>000391143-06</t>
  </si>
  <si>
    <t>000391143-07</t>
  </si>
  <si>
    <t>000391143-08</t>
  </si>
  <si>
    <t>000391143-09</t>
  </si>
  <si>
    <t>000391143-10</t>
  </si>
  <si>
    <t>000391143-11</t>
  </si>
  <si>
    <t>000391143-12</t>
  </si>
  <si>
    <t>000391143-13</t>
  </si>
  <si>
    <t>000391143-14</t>
  </si>
  <si>
    <t>000391143-15</t>
  </si>
  <si>
    <t>000391143-16</t>
  </si>
  <si>
    <t>000391143-17</t>
  </si>
  <si>
    <t>000391143-18</t>
  </si>
  <si>
    <t>000391143-19</t>
  </si>
  <si>
    <t>000391143-20</t>
  </si>
  <si>
    <t>000391143-21</t>
  </si>
  <si>
    <t>000391143-22</t>
  </si>
  <si>
    <t>000391143-23</t>
  </si>
  <si>
    <t>000391143-24</t>
  </si>
  <si>
    <t>000391143-25</t>
  </si>
  <si>
    <t>000391143-26</t>
  </si>
  <si>
    <t>000391143-27</t>
  </si>
  <si>
    <t>000391143-28</t>
  </si>
  <si>
    <t>000391144-01</t>
  </si>
  <si>
    <t>000391144-02</t>
  </si>
  <si>
    <t>000391144-03</t>
  </si>
  <si>
    <t>000391144-04</t>
  </si>
  <si>
    <t>000391144-05</t>
  </si>
  <si>
    <t>000391144-06</t>
  </si>
  <si>
    <t>000391144-07</t>
  </si>
  <si>
    <t>000391144-08</t>
  </si>
  <si>
    <t>000391144-09</t>
  </si>
  <si>
    <t>000391144-10</t>
  </si>
  <si>
    <t>000391144-11</t>
  </si>
  <si>
    <t>000391144-12</t>
  </si>
  <si>
    <t>000391144-13</t>
  </si>
  <si>
    <t>000391144-14</t>
  </si>
  <si>
    <t>000391144-15</t>
  </si>
  <si>
    <t>000391144-16</t>
  </si>
  <si>
    <t>000391144-17</t>
  </si>
  <si>
    <t>000391144-18</t>
  </si>
  <si>
    <t>000391144-19</t>
  </si>
  <si>
    <t>000391144-20</t>
  </si>
  <si>
    <t>000391144-21</t>
  </si>
  <si>
    <t>000391144-22</t>
  </si>
  <si>
    <t>000391144-23</t>
  </si>
  <si>
    <t>000391144-24</t>
  </si>
  <si>
    <t>000391144-25</t>
  </si>
  <si>
    <t>000391144-26</t>
  </si>
  <si>
    <t>000391144-27</t>
  </si>
  <si>
    <t>000391145-01</t>
  </si>
  <si>
    <t>000391145-02</t>
  </si>
  <si>
    <t>000391145-03</t>
  </si>
  <si>
    <t>000391145-04</t>
  </si>
  <si>
    <t>000391145-05</t>
  </si>
  <si>
    <t>000391145-06</t>
  </si>
  <si>
    <t>000391145-07</t>
  </si>
  <si>
    <t>000391145-08</t>
  </si>
  <si>
    <t>000391145-09</t>
  </si>
  <si>
    <t>000391145-10</t>
  </si>
  <si>
    <t>000391145-11</t>
  </si>
  <si>
    <t>000391145-12</t>
  </si>
  <si>
    <t>000391145-13</t>
  </si>
  <si>
    <t>000391145-14</t>
  </si>
  <si>
    <t>000391145-15</t>
  </si>
  <si>
    <t>000391145-16</t>
  </si>
  <si>
    <t>000391145-17</t>
  </si>
  <si>
    <t>000391145-18</t>
  </si>
  <si>
    <t>000391145-19</t>
  </si>
  <si>
    <t>000391145-20</t>
  </si>
  <si>
    <t>000391145-21</t>
  </si>
  <si>
    <t>000391145-22</t>
  </si>
  <si>
    <t>MB-08340</t>
    <phoneticPr fontId="36"/>
  </si>
  <si>
    <t>000403048</t>
    <phoneticPr fontId="36"/>
  </si>
  <si>
    <t>000403048</t>
    <phoneticPr fontId="36"/>
  </si>
  <si>
    <t>000391145-23</t>
  </si>
  <si>
    <t>000391145-24</t>
  </si>
  <si>
    <t>000391145-25</t>
  </si>
  <si>
    <t>000391145-26</t>
  </si>
  <si>
    <t>000391145-27</t>
  </si>
  <si>
    <t>MB-08341</t>
    <phoneticPr fontId="36"/>
  </si>
  <si>
    <t>000403527</t>
    <phoneticPr fontId="36"/>
  </si>
  <si>
    <t>MB-08341</t>
    <phoneticPr fontId="36"/>
  </si>
  <si>
    <t>000403527</t>
    <phoneticPr fontId="36"/>
  </si>
  <si>
    <t>000389425-01</t>
  </si>
  <si>
    <t>000389425-02</t>
  </si>
  <si>
    <t>000389425-03</t>
  </si>
  <si>
    <t>000389425-04</t>
  </si>
  <si>
    <t>000389425-05</t>
  </si>
  <si>
    <t>000389425-06</t>
  </si>
  <si>
    <t>000389425-07</t>
  </si>
  <si>
    <t>000389425-08</t>
  </si>
  <si>
    <t>000389425-09</t>
  </si>
  <si>
    <t>000389425-10</t>
  </si>
  <si>
    <t>000389425-11</t>
  </si>
  <si>
    <t>000389425-12</t>
  </si>
  <si>
    <t>000389425-13</t>
  </si>
  <si>
    <t>000389425-14</t>
  </si>
  <si>
    <t>000389425-15</t>
  </si>
  <si>
    <t>000389425-16</t>
  </si>
  <si>
    <t>000389425-17</t>
  </si>
  <si>
    <t>000389425-18</t>
  </si>
  <si>
    <t>000389425-19</t>
  </si>
  <si>
    <t>000389425-20</t>
  </si>
  <si>
    <t>000389425-21</t>
  </si>
  <si>
    <t>000389425-22</t>
  </si>
  <si>
    <t>000389425-23</t>
  </si>
  <si>
    <t>000389425-24</t>
  </si>
  <si>
    <t>000389425-25</t>
  </si>
  <si>
    <t>000389425-26</t>
  </si>
  <si>
    <t>000389425-27</t>
  </si>
  <si>
    <t>000389425-28</t>
  </si>
  <si>
    <t>26/03</t>
  </si>
  <si>
    <t>26/04</t>
  </si>
  <si>
    <t>26/05</t>
  </si>
  <si>
    <t>26/06</t>
  </si>
  <si>
    <t>26/07</t>
  </si>
  <si>
    <t>26/08</t>
  </si>
  <si>
    <t>26/09</t>
  </si>
  <si>
    <t>27/01</t>
  </si>
  <si>
    <t>27/02</t>
  </si>
  <si>
    <t>27/03</t>
  </si>
  <si>
    <t>27/04</t>
  </si>
  <si>
    <t>合計 / LAA101Q</t>
  </si>
  <si>
    <t>合計 / LAF001Q</t>
  </si>
  <si>
    <t>合計 / LAF002Q</t>
  </si>
  <si>
    <t>合計 / LAF003Q</t>
  </si>
  <si>
    <t>合計 / LAG001Q</t>
  </si>
  <si>
    <t>合計 / LAG002Q</t>
  </si>
  <si>
    <t>合計 / LAE101Q</t>
  </si>
  <si>
    <t>合計 / LAE102Q</t>
  </si>
  <si>
    <t>合計 / LAE201Q</t>
  </si>
  <si>
    <t>合計 / LBL001Q</t>
  </si>
  <si>
    <t>合計 / LBL002Q</t>
  </si>
  <si>
    <t>合計 / LAL001Q</t>
  </si>
  <si>
    <t>合計 / LAN001Q</t>
  </si>
  <si>
    <t>合計 / LAN002Q</t>
  </si>
  <si>
    <t>合計 / LCN001Q</t>
  </si>
  <si>
    <t>合計 / LAC001Q</t>
  </si>
  <si>
    <t>合計 / LAC002Q</t>
  </si>
  <si>
    <t>合計 / LCC001Q</t>
  </si>
  <si>
    <t>合計 / LCC002Q</t>
  </si>
  <si>
    <t>合計 / LAD001Q</t>
  </si>
  <si>
    <t>合計 / LAD002Q</t>
  </si>
  <si>
    <t>合計 / LCD001Q</t>
  </si>
  <si>
    <t>合計 / LCD002Q</t>
  </si>
  <si>
    <t>合計 / LAH001Q</t>
  </si>
  <si>
    <t>合計 / 新LAA001Q</t>
  </si>
  <si>
    <t>合計 / 新LAＦ001Q</t>
  </si>
  <si>
    <t>合計 / 新LAＧ001Q</t>
  </si>
  <si>
    <t>合計 / 新LAＥ001Q</t>
  </si>
  <si>
    <t>合計 / 新LAL001Q</t>
  </si>
  <si>
    <t>合計 / 新LAN001Q</t>
  </si>
  <si>
    <t>合計 / 新LAC001Q</t>
  </si>
  <si>
    <t>合計 / 新LAH001Q</t>
  </si>
  <si>
    <t>合計 / 新LAD001Q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</si>
</sst>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yy/mm/dd"/>
    <numFmt numFmtId="177" formatCode="#,##0_);[Red]\(#,##0\)"/>
    <numFmt numFmtId="178" formatCode="m/d;@"/>
    <numFmt numFmtId="179" formatCode="0_);[Red]\(0\)"/>
    <numFmt numFmtId="180" formatCode="#,###"/>
    <numFmt numFmtId="181" formatCode="m/d"/>
    <numFmt numFmtId="182" formatCode="#,##0_ ;[Red]\-#,##0\ "/>
    <numFmt numFmtId="183" formatCode="#,##0_ "/>
    <numFmt numFmtId="184" formatCode="&quot;前月&quot;#,##0_ ;[Red]\-#,##0\ "/>
    <numFmt numFmtId="185" formatCode="&quot;差異&quot;#,##0_ ;[Red]\-#,##0\ "/>
    <numFmt numFmtId="186" formatCode="#,##0;&quot;▲ &quot;#,##0"/>
    <numFmt numFmtId="187" formatCode="&quot;差異&quot;#,##0_ ;[Red]&quot;差異&quot;\-#,##0\ "/>
    <numFmt numFmtId="189" formatCode="0;[Red]0"/>
    <numFmt numFmtId="191" formatCode="0000"/>
  </numFmts>
  <fonts count="40" x14ac:knownFonts="1">
    <font>
      <sz val="11"/>
      <color rgb="FF000000"/>
      <name val="ＭＳ Ｐゴシック"/>
    </font>
    <font>
      <sz val="10"/>
      <color theme="1"/>
      <name val="ＭＳ Ｐゴシック"/>
      <family val="2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color indexed="10"/>
      <name val="ＭＳ Ｐゴシック"/>
      <family val="3"/>
      <charset val="128"/>
    </font>
    <font>
      <b/>
      <u/>
      <sz val="8"/>
      <color indexed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b/>
      <sz val="8"/>
      <color theme="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name val="ＭＳ ゴシック"/>
      <family val="3"/>
      <charset val="128"/>
    </font>
    <font>
      <sz val="8"/>
      <color theme="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color indexed="8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name val="ＭＳ Ｐゴシック"/>
      <family val="3"/>
      <charset val="134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</fills>
  <borders count="1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 style="thin">
        <color indexed="64"/>
      </diagonal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</borders>
  <cellStyleXfs count="8">
    <xf numFmtId="0" fontId="0" fillId="0" borderId="0"/>
    <xf numFmtId="9" fontId="6" fillId="0" borderId="0" applyFont="0" applyFill="0" applyBorder="0" applyAlignment="0" applyProtection="0">
      <alignment vertical="center"/>
    </xf>
    <xf numFmtId="0" fontId="9" fillId="2" borderId="0">
      <alignment vertical="center"/>
    </xf>
    <xf numFmtId="0" fontId="12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6" fillId="2" borderId="0"/>
    <xf numFmtId="0" fontId="9" fillId="2" borderId="0">
      <alignment vertical="center"/>
    </xf>
  </cellStyleXfs>
  <cellXfs count="592"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2" fillId="2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4" fillId="4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top"/>
    </xf>
    <xf numFmtId="180" fontId="3" fillId="4" borderId="0" xfId="0" applyNumberFormat="1" applyFont="1" applyFill="1" applyAlignment="1">
      <alignment horizontal="center" vertical="top"/>
    </xf>
    <xf numFmtId="180" fontId="5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178" fontId="8" fillId="5" borderId="0" xfId="0" applyNumberFormat="1" applyFont="1" applyFill="1" applyAlignment="1">
      <alignment horizontal="center" vertical="center"/>
    </xf>
    <xf numFmtId="17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79" fontId="0" fillId="2" borderId="2" xfId="0" applyNumberFormat="1" applyFill="1" applyBorder="1" applyAlignment="1">
      <alignment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178" fontId="0" fillId="2" borderId="2" xfId="0" applyNumberFormat="1" applyFill="1" applyBorder="1" applyAlignment="1">
      <alignment horizontal="center" vertical="center"/>
    </xf>
    <xf numFmtId="178" fontId="8" fillId="5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79" fontId="0" fillId="2" borderId="0" xfId="0" applyNumberFormat="1" applyFill="1" applyBorder="1" applyAlignment="1">
      <alignment vertical="center"/>
    </xf>
    <xf numFmtId="4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3" xfId="0" pivotButton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3" xfId="0" applyNumberFormat="1" applyFill="1" applyBorder="1" applyAlignment="1">
      <alignment vertical="center"/>
    </xf>
    <xf numFmtId="0" fontId="0" fillId="2" borderId="5" xfId="0" applyNumberFormat="1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0" fontId="0" fillId="2" borderId="7" xfId="0" applyNumberFormat="1" applyFill="1" applyBorder="1" applyAlignment="1">
      <alignment vertical="center"/>
    </xf>
    <xf numFmtId="0" fontId="0" fillId="2" borderId="6" xfId="0" applyNumberFormat="1" applyFill="1" applyBorder="1" applyAlignment="1">
      <alignment vertical="center"/>
    </xf>
    <xf numFmtId="0" fontId="0" fillId="2" borderId="8" xfId="0" applyNumberFormat="1" applyFill="1" applyBorder="1" applyAlignment="1">
      <alignment vertical="center"/>
    </xf>
    <xf numFmtId="181" fontId="10" fillId="2" borderId="0" xfId="2" applyNumberFormat="1" applyFont="1">
      <alignment vertical="center"/>
    </xf>
    <xf numFmtId="181" fontId="11" fillId="2" borderId="0" xfId="2" applyNumberFormat="1" applyFont="1">
      <alignment vertical="center"/>
    </xf>
    <xf numFmtId="177" fontId="11" fillId="2" borderId="0" xfId="2" applyNumberFormat="1" applyFont="1">
      <alignment vertical="center"/>
    </xf>
    <xf numFmtId="0" fontId="13" fillId="2" borderId="0" xfId="3" applyFont="1">
      <alignment vertical="center"/>
    </xf>
    <xf numFmtId="0" fontId="13" fillId="2" borderId="0" xfId="3" applyFont="1" applyAlignment="1">
      <alignment horizontal="right" vertical="center"/>
    </xf>
    <xf numFmtId="177" fontId="14" fillId="6" borderId="9" xfId="2" applyNumberFormat="1" applyFont="1" applyFill="1" applyBorder="1">
      <alignment vertical="center"/>
    </xf>
    <xf numFmtId="177" fontId="14" fillId="6" borderId="10" xfId="2" applyNumberFormat="1" applyFont="1" applyFill="1" applyBorder="1">
      <alignment vertical="center"/>
    </xf>
    <xf numFmtId="177" fontId="14" fillId="6" borderId="11" xfId="2" applyNumberFormat="1" applyFont="1" applyFill="1" applyBorder="1">
      <alignment vertical="center"/>
    </xf>
    <xf numFmtId="177" fontId="14" fillId="6" borderId="9" xfId="2" applyNumberFormat="1" applyFont="1" applyFill="1" applyBorder="1" applyAlignment="1">
      <alignment horizontal="right" vertical="center" wrapText="1"/>
    </xf>
    <xf numFmtId="177" fontId="14" fillId="6" borderId="11" xfId="2" applyNumberFormat="1" applyFont="1" applyFill="1" applyBorder="1" applyAlignment="1">
      <alignment horizontal="left" vertical="center" wrapText="1"/>
    </xf>
    <xf numFmtId="0" fontId="13" fillId="2" borderId="0" xfId="4" applyFont="1">
      <alignment vertical="center"/>
    </xf>
    <xf numFmtId="0" fontId="13" fillId="2" borderId="12" xfId="3" applyFont="1" applyBorder="1" applyAlignment="1">
      <alignment horizontal="center" vertical="top" wrapText="1"/>
    </xf>
    <xf numFmtId="0" fontId="15" fillId="2" borderId="13" xfId="5" applyFont="1" applyBorder="1" applyAlignment="1">
      <alignment horizontal="center" vertical="top" wrapText="1"/>
    </xf>
    <xf numFmtId="0" fontId="15" fillId="2" borderId="14" xfId="5" applyFont="1" applyBorder="1" applyAlignment="1">
      <alignment horizontal="center" vertical="top" wrapText="1"/>
    </xf>
    <xf numFmtId="0" fontId="15" fillId="7" borderId="15" xfId="5" applyFont="1" applyFill="1" applyBorder="1" applyAlignment="1">
      <alignment horizontal="center" vertical="top" wrapText="1"/>
    </xf>
    <xf numFmtId="0" fontId="15" fillId="8" borderId="15" xfId="5" applyFont="1" applyFill="1" applyBorder="1" applyAlignment="1">
      <alignment horizontal="center" vertical="top" wrapText="1"/>
    </xf>
    <xf numFmtId="0" fontId="15" fillId="9" borderId="15" xfId="5" applyFont="1" applyFill="1" applyBorder="1" applyAlignment="1">
      <alignment horizontal="center" vertical="top" wrapText="1"/>
    </xf>
    <xf numFmtId="0" fontId="15" fillId="10" borderId="15" xfId="5" applyFont="1" applyFill="1" applyBorder="1" applyAlignment="1">
      <alignment horizontal="center" vertical="top" wrapText="1"/>
    </xf>
    <xf numFmtId="0" fontId="15" fillId="11" borderId="15" xfId="5" applyFont="1" applyFill="1" applyBorder="1" applyAlignment="1">
      <alignment horizontal="center" vertical="top" wrapText="1"/>
    </xf>
    <xf numFmtId="0" fontId="18" fillId="12" borderId="15" xfId="5" applyFont="1" applyFill="1" applyBorder="1" applyAlignment="1">
      <alignment horizontal="center" vertical="top" wrapText="1"/>
    </xf>
    <xf numFmtId="0" fontId="15" fillId="13" borderId="16" xfId="5" applyFont="1" applyFill="1" applyBorder="1" applyAlignment="1">
      <alignment horizontal="center" vertical="top" wrapText="1"/>
    </xf>
    <xf numFmtId="0" fontId="13" fillId="14" borderId="12" xfId="5" applyFont="1" applyFill="1" applyBorder="1" applyAlignment="1">
      <alignment horizontal="center" vertical="top" wrapText="1"/>
    </xf>
    <xf numFmtId="0" fontId="13" fillId="2" borderId="10" xfId="5" applyFont="1" applyBorder="1" applyAlignment="1">
      <alignment horizontal="center" vertical="top" wrapText="1"/>
    </xf>
    <xf numFmtId="177" fontId="13" fillId="2" borderId="13" xfId="2" applyNumberFormat="1" applyFont="1" applyBorder="1" applyAlignment="1">
      <alignment horizontal="center" vertical="top" wrapText="1"/>
    </xf>
    <xf numFmtId="177" fontId="13" fillId="2" borderId="16" xfId="2" applyNumberFormat="1" applyFont="1" applyBorder="1" applyAlignment="1">
      <alignment horizontal="center" vertical="top" wrapText="1"/>
    </xf>
    <xf numFmtId="0" fontId="18" fillId="6" borderId="12" xfId="6" applyFont="1" applyFill="1" applyBorder="1" applyAlignment="1">
      <alignment horizontal="center" vertical="top" wrapText="1"/>
    </xf>
    <xf numFmtId="0" fontId="13" fillId="9" borderId="12" xfId="6" applyFont="1" applyFill="1" applyBorder="1" applyAlignment="1">
      <alignment horizontal="center" vertical="top" wrapText="1"/>
    </xf>
    <xf numFmtId="177" fontId="13" fillId="15" borderId="13" xfId="2" applyNumberFormat="1" applyFont="1" applyFill="1" applyBorder="1" applyAlignment="1">
      <alignment horizontal="center" vertical="top" wrapText="1"/>
    </xf>
    <xf numFmtId="177" fontId="13" fillId="2" borderId="17" xfId="2" applyNumberFormat="1" applyFont="1" applyBorder="1" applyAlignment="1">
      <alignment horizontal="center" vertical="top" wrapText="1"/>
    </xf>
    <xf numFmtId="177" fontId="13" fillId="14" borderId="12" xfId="2" applyNumberFormat="1" applyFont="1" applyFill="1" applyBorder="1" applyAlignment="1">
      <alignment horizontal="center" vertical="top" wrapText="1"/>
    </xf>
    <xf numFmtId="0" fontId="13" fillId="16" borderId="12" xfId="6" applyFont="1" applyFill="1" applyBorder="1" applyAlignment="1">
      <alignment horizontal="center" vertical="top" wrapText="1"/>
    </xf>
    <xf numFmtId="0" fontId="13" fillId="17" borderId="12" xfId="6" applyFont="1" applyFill="1" applyBorder="1" applyAlignment="1">
      <alignment horizontal="center" vertical="top" wrapText="1"/>
    </xf>
    <xf numFmtId="0" fontId="19" fillId="16" borderId="12" xfId="6" applyFont="1" applyFill="1" applyBorder="1" applyAlignment="1">
      <alignment horizontal="center" vertical="top" wrapText="1"/>
    </xf>
    <xf numFmtId="0" fontId="19" fillId="17" borderId="12" xfId="6" applyFont="1" applyFill="1" applyBorder="1" applyAlignment="1">
      <alignment horizontal="center" vertical="top" wrapText="1"/>
    </xf>
    <xf numFmtId="0" fontId="13" fillId="5" borderId="12" xfId="6" applyFont="1" applyFill="1" applyBorder="1" applyAlignment="1">
      <alignment horizontal="center" vertical="top" wrapText="1"/>
    </xf>
    <xf numFmtId="0" fontId="13" fillId="13" borderId="12" xfId="6" applyFont="1" applyFill="1" applyBorder="1" applyAlignment="1">
      <alignment horizontal="center" vertical="top" wrapText="1"/>
    </xf>
    <xf numFmtId="0" fontId="13" fillId="2" borderId="18" xfId="2" applyFont="1" applyBorder="1" applyAlignment="1">
      <alignment horizontal="center" vertical="center"/>
    </xf>
    <xf numFmtId="181" fontId="13" fillId="2" borderId="18" xfId="2" applyNumberFormat="1" applyFont="1" applyBorder="1" applyAlignment="1">
      <alignment horizontal="right" vertical="center"/>
    </xf>
    <xf numFmtId="177" fontId="13" fillId="2" borderId="19" xfId="2" applyNumberFormat="1" applyFont="1" applyBorder="1">
      <alignment vertical="center"/>
    </xf>
    <xf numFmtId="177" fontId="13" fillId="2" borderId="20" xfId="2" applyNumberFormat="1" applyFont="1" applyBorder="1">
      <alignment vertical="center"/>
    </xf>
    <xf numFmtId="177" fontId="13" fillId="2" borderId="21" xfId="2" applyNumberFormat="1" applyFont="1" applyBorder="1">
      <alignment vertical="center"/>
    </xf>
    <xf numFmtId="177" fontId="13" fillId="2" borderId="22" xfId="2" applyNumberFormat="1" applyFont="1" applyBorder="1">
      <alignment vertical="center"/>
    </xf>
    <xf numFmtId="177" fontId="13" fillId="14" borderId="18" xfId="2" applyNumberFormat="1" applyFont="1" applyFill="1" applyBorder="1" applyAlignment="1">
      <alignment horizontal="right" vertical="center"/>
    </xf>
    <xf numFmtId="177" fontId="13" fillId="2" borderId="23" xfId="2" applyNumberFormat="1" applyFont="1" applyBorder="1" applyAlignment="1">
      <alignment horizontal="right" vertical="center"/>
    </xf>
    <xf numFmtId="177" fontId="13" fillId="2" borderId="24" xfId="2" applyNumberFormat="1" applyFont="1" applyBorder="1">
      <alignment vertical="center"/>
    </xf>
    <xf numFmtId="177" fontId="13" fillId="2" borderId="23" xfId="2" applyNumberFormat="1" applyFont="1" applyBorder="1">
      <alignment vertical="center"/>
    </xf>
    <xf numFmtId="177" fontId="13" fillId="2" borderId="25" xfId="2" applyNumberFormat="1" applyFont="1" applyBorder="1">
      <alignment vertical="center"/>
    </xf>
    <xf numFmtId="177" fontId="13" fillId="2" borderId="18" xfId="2" applyNumberFormat="1" applyFont="1" applyBorder="1">
      <alignment vertical="center"/>
    </xf>
    <xf numFmtId="0" fontId="13" fillId="2" borderId="26" xfId="4" applyFont="1" applyBorder="1">
      <alignment vertical="center"/>
    </xf>
    <xf numFmtId="0" fontId="13" fillId="2" borderId="27" xfId="4" applyFont="1" applyBorder="1">
      <alignment vertical="center"/>
    </xf>
    <xf numFmtId="0" fontId="13" fillId="2" borderId="28" xfId="4" applyFont="1" applyBorder="1">
      <alignment vertical="center"/>
    </xf>
    <xf numFmtId="0" fontId="13" fillId="2" borderId="28" xfId="2" applyFont="1" applyBorder="1" applyAlignment="1">
      <alignment horizontal="center" vertical="center"/>
    </xf>
    <xf numFmtId="181" fontId="13" fillId="2" borderId="28" xfId="2" applyNumberFormat="1" applyFont="1" applyBorder="1" applyAlignment="1">
      <alignment horizontal="right" vertical="center"/>
    </xf>
    <xf numFmtId="177" fontId="13" fillId="2" borderId="29" xfId="2" applyNumberFormat="1" applyFont="1" applyBorder="1">
      <alignment vertical="center"/>
    </xf>
    <xf numFmtId="177" fontId="13" fillId="2" borderId="26" xfId="2" applyNumberFormat="1" applyFont="1" applyBorder="1">
      <alignment vertical="center"/>
    </xf>
    <xf numFmtId="177" fontId="13" fillId="2" borderId="27" xfId="2" applyNumberFormat="1" applyFont="1" applyBorder="1">
      <alignment vertical="center"/>
    </xf>
    <xf numFmtId="177" fontId="13" fillId="2" borderId="30" xfId="2" applyNumberFormat="1" applyFont="1" applyBorder="1">
      <alignment vertical="center"/>
    </xf>
    <xf numFmtId="177" fontId="13" fillId="14" borderId="28" xfId="2" applyNumberFormat="1" applyFont="1" applyFill="1" applyBorder="1" applyAlignment="1">
      <alignment horizontal="right" vertical="center"/>
    </xf>
    <xf numFmtId="177" fontId="13" fillId="2" borderId="31" xfId="2" applyNumberFormat="1" applyFont="1" applyBorder="1" applyAlignment="1">
      <alignment horizontal="right" vertical="center"/>
    </xf>
    <xf numFmtId="177" fontId="13" fillId="2" borderId="32" xfId="2" applyNumberFormat="1" applyFont="1" applyBorder="1">
      <alignment vertical="center"/>
    </xf>
    <xf numFmtId="177" fontId="13" fillId="2" borderId="31" xfId="2" applyNumberFormat="1" applyFont="1" applyBorder="1">
      <alignment vertical="center"/>
    </xf>
    <xf numFmtId="177" fontId="13" fillId="2" borderId="33" xfId="2" applyNumberFormat="1" applyFont="1" applyBorder="1">
      <alignment vertical="center"/>
    </xf>
    <xf numFmtId="177" fontId="13" fillId="2" borderId="28" xfId="2" applyNumberFormat="1" applyFont="1" applyBorder="1">
      <alignment vertical="center"/>
    </xf>
    <xf numFmtId="182" fontId="13" fillId="2" borderId="28" xfId="2" applyNumberFormat="1" applyFont="1" applyBorder="1" applyAlignment="1">
      <alignment horizontal="right" vertical="center"/>
    </xf>
    <xf numFmtId="177" fontId="13" fillId="2" borderId="28" xfId="2" applyNumberFormat="1" applyFont="1" applyBorder="1" applyAlignment="1">
      <alignment horizontal="right" vertical="center"/>
    </xf>
    <xf numFmtId="0" fontId="13" fillId="2" borderId="28" xfId="2" applyFont="1" applyBorder="1">
      <alignment vertical="center"/>
    </xf>
    <xf numFmtId="181" fontId="13" fillId="2" borderId="28" xfId="2" quotePrefix="1" applyNumberFormat="1" applyFont="1" applyBorder="1" applyAlignment="1">
      <alignment horizontal="right" vertical="center"/>
    </xf>
    <xf numFmtId="0" fontId="13" fillId="2" borderId="34" xfId="2" applyFont="1" applyBorder="1" applyAlignment="1">
      <alignment horizontal="center" vertical="center"/>
    </xf>
    <xf numFmtId="181" fontId="13" fillId="2" borderId="34" xfId="2" applyNumberFormat="1" applyFont="1" applyBorder="1" applyAlignment="1">
      <alignment horizontal="right" vertical="center"/>
    </xf>
    <xf numFmtId="177" fontId="13" fillId="2" borderId="35" xfId="2" applyNumberFormat="1" applyFont="1" applyBorder="1">
      <alignment vertical="center"/>
    </xf>
    <xf numFmtId="177" fontId="13" fillId="2" borderId="36" xfId="2" applyNumberFormat="1" applyFont="1" applyBorder="1">
      <alignment vertical="center"/>
    </xf>
    <xf numFmtId="177" fontId="13" fillId="2" borderId="37" xfId="2" applyNumberFormat="1" applyFont="1" applyBorder="1">
      <alignment vertical="center"/>
    </xf>
    <xf numFmtId="177" fontId="13" fillId="2" borderId="38" xfId="2" applyNumberFormat="1" applyFont="1" applyBorder="1">
      <alignment vertical="center"/>
    </xf>
    <xf numFmtId="177" fontId="13" fillId="14" borderId="34" xfId="2" applyNumberFormat="1" applyFont="1" applyFill="1" applyBorder="1" applyAlignment="1">
      <alignment horizontal="right" vertical="center"/>
    </xf>
    <xf numFmtId="177" fontId="13" fillId="2" borderId="39" xfId="2" applyNumberFormat="1" applyFont="1" applyBorder="1" applyAlignment="1">
      <alignment horizontal="right" vertical="center"/>
    </xf>
    <xf numFmtId="177" fontId="13" fillId="2" borderId="40" xfId="2" applyNumberFormat="1" applyFont="1" applyBorder="1">
      <alignment vertical="center"/>
    </xf>
    <xf numFmtId="177" fontId="13" fillId="2" borderId="41" xfId="2" applyNumberFormat="1" applyFont="1" applyBorder="1">
      <alignment vertical="center"/>
    </xf>
    <xf numFmtId="177" fontId="13" fillId="2" borderId="42" xfId="2" applyNumberFormat="1" applyFont="1" applyBorder="1">
      <alignment vertical="center"/>
    </xf>
    <xf numFmtId="177" fontId="13" fillId="2" borderId="43" xfId="2" applyNumberFormat="1" applyFont="1" applyBorder="1">
      <alignment vertical="center"/>
    </xf>
    <xf numFmtId="177" fontId="13" fillId="2" borderId="44" xfId="2" applyNumberFormat="1" applyFont="1" applyBorder="1">
      <alignment vertical="center"/>
    </xf>
    <xf numFmtId="0" fontId="13" fillId="2" borderId="44" xfId="2" applyFont="1" applyBorder="1">
      <alignment vertical="center"/>
    </xf>
    <xf numFmtId="181" fontId="13" fillId="2" borderId="44" xfId="2" applyNumberFormat="1" applyFont="1" applyBorder="1" applyAlignment="1">
      <alignment horizontal="right" vertical="center"/>
    </xf>
    <xf numFmtId="177" fontId="13" fillId="2" borderId="45" xfId="2" applyNumberFormat="1" applyFont="1" applyBorder="1">
      <alignment vertical="center"/>
    </xf>
    <xf numFmtId="177" fontId="13" fillId="2" borderId="46" xfId="2" applyNumberFormat="1" applyFont="1" applyBorder="1">
      <alignment vertical="center"/>
    </xf>
    <xf numFmtId="177" fontId="13" fillId="2" borderId="47" xfId="2" applyNumberFormat="1" applyFont="1" applyBorder="1">
      <alignment vertical="center"/>
    </xf>
    <xf numFmtId="177" fontId="13" fillId="14" borderId="44" xfId="2" applyNumberFormat="1" applyFont="1" applyFill="1" applyBorder="1" applyAlignment="1">
      <alignment horizontal="right" vertical="center"/>
    </xf>
    <xf numFmtId="177" fontId="13" fillId="2" borderId="41" xfId="2" applyNumberFormat="1" applyFont="1" applyBorder="1" applyAlignment="1">
      <alignment horizontal="right" vertical="center"/>
    </xf>
    <xf numFmtId="0" fontId="13" fillId="2" borderId="48" xfId="2" applyFont="1" applyBorder="1" applyAlignment="1">
      <alignment horizontal="center" vertical="center"/>
    </xf>
    <xf numFmtId="181" fontId="13" fillId="2" borderId="49" xfId="2" applyNumberFormat="1" applyFont="1" applyBorder="1" applyAlignment="1">
      <alignment horizontal="right" vertical="center"/>
    </xf>
    <xf numFmtId="177" fontId="13" fillId="2" borderId="50" xfId="2" applyNumberFormat="1" applyFont="1" applyBorder="1">
      <alignment vertical="center"/>
    </xf>
    <xf numFmtId="177" fontId="13" fillId="2" borderId="51" xfId="2" applyNumberFormat="1" applyFont="1" applyBorder="1">
      <alignment vertical="center"/>
    </xf>
    <xf numFmtId="177" fontId="13" fillId="2" borderId="52" xfId="2" applyNumberFormat="1" applyFont="1" applyBorder="1">
      <alignment vertical="center"/>
    </xf>
    <xf numFmtId="177" fontId="13" fillId="2" borderId="53" xfId="2" applyNumberFormat="1" applyFont="1" applyBorder="1">
      <alignment vertical="center"/>
    </xf>
    <xf numFmtId="177" fontId="13" fillId="14" borderId="49" xfId="2" applyNumberFormat="1" applyFont="1" applyFill="1" applyBorder="1" applyAlignment="1">
      <alignment horizontal="right" vertical="center"/>
    </xf>
    <xf numFmtId="177" fontId="13" fillId="2" borderId="54" xfId="2" applyNumberFormat="1" applyFont="1" applyBorder="1" applyAlignment="1">
      <alignment horizontal="right" vertical="center"/>
    </xf>
    <xf numFmtId="0" fontId="13" fillId="2" borderId="55" xfId="2" applyFont="1" applyBorder="1" applyAlignment="1">
      <alignment horizontal="center" vertical="center"/>
    </xf>
    <xf numFmtId="182" fontId="13" fillId="2" borderId="55" xfId="2" applyNumberFormat="1" applyFont="1" applyBorder="1" applyAlignment="1">
      <alignment horizontal="right" vertical="center"/>
    </xf>
    <xf numFmtId="177" fontId="13" fillId="2" borderId="55" xfId="2" applyNumberFormat="1" applyFont="1" applyBorder="1" applyAlignment="1">
      <alignment horizontal="right" vertical="center"/>
    </xf>
    <xf numFmtId="0" fontId="13" fillId="2" borderId="55" xfId="2" applyFont="1" applyBorder="1">
      <alignment vertical="center"/>
    </xf>
    <xf numFmtId="0" fontId="13" fillId="2" borderId="56" xfId="2" applyFont="1" applyBorder="1">
      <alignment vertical="center"/>
    </xf>
    <xf numFmtId="181" fontId="13" fillId="2" borderId="56" xfId="2" applyNumberFormat="1" applyFont="1" applyBorder="1" applyAlignment="1">
      <alignment horizontal="right" vertical="center"/>
    </xf>
    <xf numFmtId="177" fontId="13" fillId="2" borderId="57" xfId="2" applyNumberFormat="1" applyFont="1" applyBorder="1">
      <alignment vertical="center"/>
    </xf>
    <xf numFmtId="177" fontId="13" fillId="2" borderId="58" xfId="2" applyNumberFormat="1" applyFont="1" applyBorder="1">
      <alignment vertical="center"/>
    </xf>
    <xf numFmtId="177" fontId="13" fillId="2" borderId="59" xfId="2" applyNumberFormat="1" applyFont="1" applyBorder="1">
      <alignment vertical="center"/>
    </xf>
    <xf numFmtId="177" fontId="13" fillId="2" borderId="60" xfId="2" applyNumberFormat="1" applyFont="1" applyBorder="1">
      <alignment vertical="center"/>
    </xf>
    <xf numFmtId="177" fontId="13" fillId="14" borderId="56" xfId="2" applyNumberFormat="1" applyFont="1" applyFill="1" applyBorder="1" applyAlignment="1">
      <alignment horizontal="right" vertical="center"/>
    </xf>
    <xf numFmtId="177" fontId="13" fillId="2" borderId="61" xfId="2" applyNumberFormat="1" applyFont="1" applyBorder="1" applyAlignment="1">
      <alignment horizontal="right" vertical="center"/>
    </xf>
    <xf numFmtId="177" fontId="13" fillId="2" borderId="62" xfId="2" applyNumberFormat="1" applyFont="1" applyBorder="1">
      <alignment vertical="center"/>
    </xf>
    <xf numFmtId="177" fontId="13" fillId="2" borderId="0" xfId="2" applyNumberFormat="1" applyFont="1">
      <alignment vertical="center"/>
    </xf>
    <xf numFmtId="177" fontId="13" fillId="2" borderId="63" xfId="2" applyNumberFormat="1" applyFont="1" applyBorder="1">
      <alignment vertical="center"/>
    </xf>
    <xf numFmtId="177" fontId="13" fillId="2" borderId="64" xfId="2" applyNumberFormat="1" applyFont="1" applyBorder="1">
      <alignment vertical="center"/>
    </xf>
    <xf numFmtId="177" fontId="13" fillId="2" borderId="55" xfId="2" applyNumberFormat="1" applyFont="1" applyBorder="1">
      <alignment vertical="center"/>
    </xf>
    <xf numFmtId="181" fontId="13" fillId="2" borderId="49" xfId="2" quotePrefix="1" applyNumberFormat="1" applyFont="1" applyBorder="1" applyAlignment="1">
      <alignment horizontal="right" vertical="center"/>
    </xf>
    <xf numFmtId="183" fontId="13" fillId="2" borderId="53" xfId="2" applyNumberFormat="1" applyFont="1" applyBorder="1">
      <alignment vertical="center"/>
    </xf>
    <xf numFmtId="183" fontId="13" fillId="2" borderId="24" xfId="2" applyNumberFormat="1" applyFont="1" applyBorder="1">
      <alignment vertical="center"/>
    </xf>
    <xf numFmtId="183" fontId="13" fillId="2" borderId="23" xfId="2" applyNumberFormat="1" applyFont="1" applyBorder="1">
      <alignment vertical="center"/>
    </xf>
    <xf numFmtId="183" fontId="13" fillId="2" borderId="19" xfId="2" applyNumberFormat="1" applyFont="1" applyBorder="1">
      <alignment vertical="center"/>
    </xf>
    <xf numFmtId="183" fontId="13" fillId="2" borderId="25" xfId="2" applyNumberFormat="1" applyFont="1" applyBorder="1">
      <alignment vertical="center"/>
    </xf>
    <xf numFmtId="183" fontId="13" fillId="2" borderId="18" xfId="2" applyNumberFormat="1" applyFont="1" applyBorder="1">
      <alignment vertical="center"/>
    </xf>
    <xf numFmtId="183" fontId="13" fillId="2" borderId="30" xfId="2" applyNumberFormat="1" applyFont="1" applyBorder="1">
      <alignment vertical="center"/>
    </xf>
    <xf numFmtId="183" fontId="13" fillId="2" borderId="32" xfId="2" applyNumberFormat="1" applyFont="1" applyBorder="1">
      <alignment vertical="center"/>
    </xf>
    <xf numFmtId="183" fontId="13" fillId="2" borderId="31" xfId="2" applyNumberFormat="1" applyFont="1" applyBorder="1">
      <alignment vertical="center"/>
    </xf>
    <xf numFmtId="183" fontId="13" fillId="2" borderId="29" xfId="2" applyNumberFormat="1" applyFont="1" applyBorder="1">
      <alignment vertical="center"/>
    </xf>
    <xf numFmtId="183" fontId="13" fillId="2" borderId="33" xfId="2" applyNumberFormat="1" applyFont="1" applyBorder="1">
      <alignment vertical="center"/>
    </xf>
    <xf numFmtId="183" fontId="13" fillId="2" borderId="28" xfId="2" applyNumberFormat="1" applyFont="1" applyBorder="1">
      <alignment vertical="center"/>
    </xf>
    <xf numFmtId="181" fontId="13" fillId="2" borderId="56" xfId="2" quotePrefix="1" applyNumberFormat="1" applyFont="1" applyBorder="1" applyAlignment="1">
      <alignment horizontal="right" vertical="center"/>
    </xf>
    <xf numFmtId="183" fontId="13" fillId="2" borderId="38" xfId="2" applyNumberFormat="1" applyFont="1" applyBorder="1">
      <alignment vertical="center"/>
    </xf>
    <xf numFmtId="183" fontId="13" fillId="2" borderId="40" xfId="2" applyNumberFormat="1" applyFont="1" applyBorder="1">
      <alignment vertical="center"/>
    </xf>
    <xf numFmtId="183" fontId="13" fillId="2" borderId="41" xfId="2" applyNumberFormat="1" applyFont="1" applyBorder="1">
      <alignment vertical="center"/>
    </xf>
    <xf numFmtId="183" fontId="13" fillId="2" borderId="42" xfId="2" applyNumberFormat="1" applyFont="1" applyBorder="1">
      <alignment vertical="center"/>
    </xf>
    <xf numFmtId="183" fontId="13" fillId="2" borderId="43" xfId="2" applyNumberFormat="1" applyFont="1" applyBorder="1">
      <alignment vertical="center"/>
    </xf>
    <xf numFmtId="183" fontId="13" fillId="2" borderId="44" xfId="2" applyNumberFormat="1" applyFont="1" applyBorder="1">
      <alignment vertical="center"/>
    </xf>
    <xf numFmtId="0" fontId="13" fillId="2" borderId="55" xfId="2" applyFont="1" applyBorder="1" applyAlignment="1">
      <alignment horizontal="center" vertical="center" wrapText="1"/>
    </xf>
    <xf numFmtId="0" fontId="13" fillId="2" borderId="55" xfId="3" applyFont="1" applyBorder="1">
      <alignment vertical="center"/>
    </xf>
    <xf numFmtId="181" fontId="13" fillId="2" borderId="34" xfId="2" quotePrefix="1" applyNumberFormat="1" applyFont="1" applyBorder="1" applyAlignment="1">
      <alignment horizontal="right" vertical="center"/>
    </xf>
    <xf numFmtId="0" fontId="13" fillId="2" borderId="48" xfId="3" applyFont="1" applyBorder="1">
      <alignment vertical="center"/>
    </xf>
    <xf numFmtId="182" fontId="13" fillId="2" borderId="55" xfId="2" applyNumberFormat="1" applyFont="1" applyBorder="1" applyAlignment="1">
      <alignment horizontal="center" vertical="center"/>
    </xf>
    <xf numFmtId="0" fontId="13" fillId="2" borderId="56" xfId="3" applyFont="1" applyBorder="1">
      <alignment vertical="center"/>
    </xf>
    <xf numFmtId="0" fontId="13" fillId="2" borderId="55" xfId="2" applyFont="1" applyBorder="1" applyAlignment="1">
      <alignment vertical="center" wrapText="1"/>
    </xf>
    <xf numFmtId="0" fontId="13" fillId="2" borderId="56" xfId="2" applyFont="1" applyBorder="1" applyAlignment="1">
      <alignment vertical="center" wrapText="1"/>
    </xf>
    <xf numFmtId="0" fontId="13" fillId="2" borderId="48" xfId="2" applyFont="1" applyBorder="1" applyAlignment="1">
      <alignment horizontal="center" vertical="center" wrapText="1"/>
    </xf>
    <xf numFmtId="177" fontId="13" fillId="2" borderId="65" xfId="2" applyNumberFormat="1" applyFont="1" applyBorder="1" applyAlignment="1">
      <alignment horizontal="right" vertical="center"/>
    </xf>
    <xf numFmtId="177" fontId="13" fillId="2" borderId="27" xfId="4" applyNumberFormat="1" applyFont="1" applyBorder="1">
      <alignment vertical="center"/>
    </xf>
    <xf numFmtId="177" fontId="13" fillId="2" borderId="66" xfId="2" applyNumberFormat="1" applyFont="1" applyBorder="1" applyAlignment="1">
      <alignment horizontal="right" vertical="center"/>
    </xf>
    <xf numFmtId="0" fontId="13" fillId="2" borderId="55" xfId="2" applyFont="1" applyBorder="1" applyAlignment="1">
      <alignment horizontal="right" vertical="center" wrapText="1"/>
    </xf>
    <xf numFmtId="177" fontId="13" fillId="18" borderId="66" xfId="2" applyNumberFormat="1" applyFont="1" applyFill="1" applyBorder="1" applyAlignment="1">
      <alignment horizontal="right" vertical="center"/>
    </xf>
    <xf numFmtId="177" fontId="13" fillId="18" borderId="29" xfId="2" applyNumberFormat="1" applyFont="1" applyFill="1" applyBorder="1">
      <alignment vertical="center"/>
    </xf>
    <xf numFmtId="177" fontId="13" fillId="18" borderId="30" xfId="2" applyNumberFormat="1" applyFont="1" applyFill="1" applyBorder="1">
      <alignment vertical="center"/>
    </xf>
    <xf numFmtId="177" fontId="13" fillId="18" borderId="32" xfId="2" applyNumberFormat="1" applyFont="1" applyFill="1" applyBorder="1">
      <alignment vertical="center"/>
    </xf>
    <xf numFmtId="177" fontId="13" fillId="18" borderId="31" xfId="2" applyNumberFormat="1" applyFont="1" applyFill="1" applyBorder="1">
      <alignment vertical="center"/>
    </xf>
    <xf numFmtId="177" fontId="13" fillId="18" borderId="33" xfId="2" applyNumberFormat="1" applyFont="1" applyFill="1" applyBorder="1">
      <alignment vertical="center"/>
    </xf>
    <xf numFmtId="177" fontId="13" fillId="18" borderId="28" xfId="2" applyNumberFormat="1" applyFont="1" applyFill="1" applyBorder="1">
      <alignment vertical="center"/>
    </xf>
    <xf numFmtId="184" fontId="13" fillId="2" borderId="55" xfId="2" quotePrefix="1" applyNumberFormat="1" applyFont="1" applyBorder="1" applyAlignment="1">
      <alignment horizontal="right" vertical="center" wrapText="1"/>
    </xf>
    <xf numFmtId="185" fontId="13" fillId="2" borderId="55" xfId="2" quotePrefix="1" applyNumberFormat="1" applyFont="1" applyBorder="1" applyAlignment="1">
      <alignment horizontal="right" vertical="center" wrapText="1"/>
    </xf>
    <xf numFmtId="183" fontId="13" fillId="2" borderId="26" xfId="4" applyNumberFormat="1" applyFont="1" applyBorder="1">
      <alignment vertical="center"/>
    </xf>
    <xf numFmtId="183" fontId="13" fillId="2" borderId="27" xfId="4" applyNumberFormat="1" applyFont="1" applyBorder="1">
      <alignment vertical="center"/>
    </xf>
    <xf numFmtId="185" fontId="13" fillId="2" borderId="56" xfId="2" quotePrefix="1" applyNumberFormat="1" applyFont="1" applyBorder="1" applyAlignment="1">
      <alignment horizontal="right" vertical="center" wrapText="1"/>
    </xf>
    <xf numFmtId="177" fontId="13" fillId="2" borderId="67" xfId="2" applyNumberFormat="1" applyFont="1" applyBorder="1" applyAlignment="1">
      <alignment horizontal="right" vertical="center"/>
    </xf>
    <xf numFmtId="181" fontId="13" fillId="2" borderId="18" xfId="2" quotePrefix="1" applyNumberFormat="1" applyFont="1" applyBorder="1" applyAlignment="1">
      <alignment horizontal="right" vertical="center"/>
    </xf>
    <xf numFmtId="177" fontId="13" fillId="2" borderId="26" xfId="4" applyNumberFormat="1" applyFont="1" applyBorder="1">
      <alignment vertical="center"/>
    </xf>
    <xf numFmtId="177" fontId="13" fillId="2" borderId="28" xfId="4" applyNumberFormat="1" applyFont="1" applyBorder="1">
      <alignment vertical="center"/>
    </xf>
    <xf numFmtId="181" fontId="13" fillId="18" borderId="28" xfId="2" quotePrefix="1" applyNumberFormat="1" applyFont="1" applyFill="1" applyBorder="1" applyAlignment="1">
      <alignment horizontal="right" vertical="center"/>
    </xf>
    <xf numFmtId="177" fontId="13" fillId="18" borderId="26" xfId="2" applyNumberFormat="1" applyFont="1" applyFill="1" applyBorder="1">
      <alignment vertical="center"/>
    </xf>
    <xf numFmtId="177" fontId="13" fillId="18" borderId="27" xfId="2" applyNumberFormat="1" applyFont="1" applyFill="1" applyBorder="1">
      <alignment vertical="center"/>
    </xf>
    <xf numFmtId="177" fontId="13" fillId="18" borderId="31" xfId="2" applyNumberFormat="1" applyFont="1" applyFill="1" applyBorder="1" applyAlignment="1">
      <alignment horizontal="right" vertical="center"/>
    </xf>
    <xf numFmtId="184" fontId="13" fillId="2" borderId="55" xfId="2" quotePrefix="1" applyNumberFormat="1" applyFont="1" applyBorder="1" applyAlignment="1">
      <alignment horizontal="center" vertical="center" wrapText="1"/>
    </xf>
    <xf numFmtId="186" fontId="13" fillId="2" borderId="55" xfId="2" quotePrefix="1" applyNumberFormat="1" applyFont="1" applyBorder="1" applyAlignment="1">
      <alignment horizontal="center" vertical="center" wrapText="1"/>
    </xf>
    <xf numFmtId="0" fontId="13" fillId="2" borderId="55" xfId="4" applyFont="1" applyBorder="1" applyAlignment="1">
      <alignment horizontal="center" vertical="center"/>
    </xf>
    <xf numFmtId="187" fontId="13" fillId="2" borderId="55" xfId="2" quotePrefix="1" applyNumberFormat="1" applyFont="1" applyBorder="1" applyAlignment="1">
      <alignment horizontal="center" vertical="center" wrapText="1"/>
    </xf>
    <xf numFmtId="177" fontId="13" fillId="18" borderId="26" xfId="4" applyNumberFormat="1" applyFont="1" applyFill="1" applyBorder="1">
      <alignment vertical="center"/>
    </xf>
    <xf numFmtId="177" fontId="13" fillId="18" borderId="27" xfId="4" applyNumberFormat="1" applyFont="1" applyFill="1" applyBorder="1">
      <alignment vertical="center"/>
    </xf>
    <xf numFmtId="177" fontId="13" fillId="18" borderId="28" xfId="4" applyNumberFormat="1" applyFont="1" applyFill="1" applyBorder="1">
      <alignment vertical="center"/>
    </xf>
    <xf numFmtId="182" fontId="13" fillId="2" borderId="56" xfId="2" quotePrefix="1" applyNumberFormat="1" applyFont="1" applyBorder="1" applyAlignment="1">
      <alignment horizontal="right" vertical="center" wrapText="1"/>
    </xf>
    <xf numFmtId="177" fontId="13" fillId="2" borderId="45" xfId="4" applyNumberFormat="1" applyFont="1" applyBorder="1">
      <alignment vertical="center"/>
    </xf>
    <xf numFmtId="177" fontId="13" fillId="2" borderId="46" xfId="4" applyNumberFormat="1" applyFont="1" applyBorder="1">
      <alignment vertical="center"/>
    </xf>
    <xf numFmtId="177" fontId="13" fillId="2" borderId="44" xfId="4" applyNumberFormat="1" applyFont="1" applyBorder="1">
      <alignment vertical="center"/>
    </xf>
    <xf numFmtId="177" fontId="13" fillId="2" borderId="68" xfId="2" applyNumberFormat="1" applyFont="1" applyBorder="1">
      <alignment vertical="center"/>
    </xf>
    <xf numFmtId="177" fontId="13" fillId="2" borderId="54" xfId="2" applyNumberFormat="1" applyFont="1" applyBorder="1">
      <alignment vertical="center"/>
    </xf>
    <xf numFmtId="177" fontId="20" fillId="2" borderId="50" xfId="2" applyNumberFormat="1" applyFont="1" applyBorder="1">
      <alignment vertical="center"/>
    </xf>
    <xf numFmtId="177" fontId="13" fillId="2" borderId="69" xfId="2" applyNumberFormat="1" applyFont="1" applyBorder="1">
      <alignment vertical="center"/>
    </xf>
    <xf numFmtId="177" fontId="13" fillId="2" borderId="70" xfId="4" applyNumberFormat="1" applyFont="1" applyBorder="1">
      <alignment vertical="center"/>
    </xf>
    <xf numFmtId="177" fontId="13" fillId="2" borderId="71" xfId="4" applyNumberFormat="1" applyFont="1" applyBorder="1">
      <alignment vertical="center"/>
    </xf>
    <xf numFmtId="177" fontId="13" fillId="2" borderId="72" xfId="4" applyNumberFormat="1" applyFont="1" applyBorder="1">
      <alignment vertical="center"/>
    </xf>
    <xf numFmtId="177" fontId="20" fillId="2" borderId="29" xfId="2" applyNumberFormat="1" applyFont="1" applyBorder="1">
      <alignment vertical="center"/>
    </xf>
    <xf numFmtId="181" fontId="13" fillId="2" borderId="44" xfId="2" quotePrefix="1" applyNumberFormat="1" applyFont="1" applyBorder="1" applyAlignment="1">
      <alignment horizontal="right" vertical="center"/>
    </xf>
    <xf numFmtId="177" fontId="20" fillId="2" borderId="42" xfId="2" applyNumberFormat="1" applyFont="1" applyBorder="1">
      <alignment vertical="center"/>
    </xf>
    <xf numFmtId="187" fontId="13" fillId="2" borderId="18" xfId="2" quotePrefix="1" applyNumberFormat="1" applyFont="1" applyBorder="1" applyAlignment="1">
      <alignment horizontal="center" vertical="center" wrapText="1"/>
    </xf>
    <xf numFmtId="0" fontId="13" fillId="2" borderId="71" xfId="4" applyFont="1" applyBorder="1">
      <alignment vertical="center"/>
    </xf>
    <xf numFmtId="187" fontId="13" fillId="2" borderId="56" xfId="2" quotePrefix="1" applyNumberFormat="1" applyFont="1" applyBorder="1" applyAlignment="1">
      <alignment horizontal="center" vertical="center" wrapText="1"/>
    </xf>
    <xf numFmtId="0" fontId="20" fillId="2" borderId="48" xfId="2" applyFont="1" applyBorder="1" applyAlignment="1">
      <alignment horizontal="center" vertical="center" wrapText="1"/>
    </xf>
    <xf numFmtId="181" fontId="20" fillId="2" borderId="49" xfId="2" quotePrefix="1" applyNumberFormat="1" applyFont="1" applyBorder="1" applyAlignment="1">
      <alignment horizontal="center" vertical="center"/>
    </xf>
    <xf numFmtId="177" fontId="20" fillId="14" borderId="49" xfId="2" applyNumberFormat="1" applyFont="1" applyFill="1" applyBorder="1" applyAlignment="1">
      <alignment horizontal="right" vertical="center"/>
    </xf>
    <xf numFmtId="177" fontId="13" fillId="2" borderId="49" xfId="2" applyNumberFormat="1" applyFont="1" applyBorder="1" applyAlignment="1">
      <alignment horizontal="right" vertical="center"/>
    </xf>
    <xf numFmtId="177" fontId="20" fillId="14" borderId="50" xfId="2" applyNumberFormat="1" applyFont="1" applyFill="1" applyBorder="1">
      <alignment vertical="center"/>
    </xf>
    <xf numFmtId="177" fontId="20" fillId="14" borderId="68" xfId="2" applyNumberFormat="1" applyFont="1" applyFill="1" applyBorder="1">
      <alignment vertical="center"/>
    </xf>
    <xf numFmtId="177" fontId="13" fillId="2" borderId="73" xfId="4" applyNumberFormat="1" applyFont="1" applyBorder="1">
      <alignment vertical="center"/>
    </xf>
    <xf numFmtId="177" fontId="13" fillId="2" borderId="74" xfId="4" applyNumberFormat="1" applyFont="1" applyBorder="1">
      <alignment vertical="center"/>
    </xf>
    <xf numFmtId="0" fontId="13" fillId="2" borderId="74" xfId="4" applyFont="1" applyBorder="1">
      <alignment vertical="center"/>
    </xf>
    <xf numFmtId="0" fontId="20" fillId="2" borderId="55" xfId="2" applyFont="1" applyBorder="1" applyAlignment="1">
      <alignment horizontal="center" vertical="center"/>
    </xf>
    <xf numFmtId="181" fontId="20" fillId="2" borderId="28" xfId="2" quotePrefix="1" applyNumberFormat="1" applyFont="1" applyBorder="1" applyAlignment="1">
      <alignment horizontal="center" vertical="center"/>
    </xf>
    <xf numFmtId="177" fontId="20" fillId="14" borderId="28" xfId="2" applyNumberFormat="1" applyFont="1" applyFill="1" applyBorder="1" applyAlignment="1">
      <alignment horizontal="right" vertical="center"/>
    </xf>
    <xf numFmtId="177" fontId="20" fillId="14" borderId="29" xfId="2" applyNumberFormat="1" applyFont="1" applyFill="1" applyBorder="1">
      <alignment vertical="center"/>
    </xf>
    <xf numFmtId="177" fontId="20" fillId="14" borderId="32" xfId="2" applyNumberFormat="1" applyFont="1" applyFill="1" applyBorder="1">
      <alignment vertical="center"/>
    </xf>
    <xf numFmtId="182" fontId="20" fillId="2" borderId="55" xfId="2" applyNumberFormat="1" applyFont="1" applyBorder="1" applyAlignment="1">
      <alignment horizontal="right" vertical="center"/>
    </xf>
    <xf numFmtId="177" fontId="13" fillId="2" borderId="75" xfId="4" applyNumberFormat="1" applyFont="1" applyBorder="1">
      <alignment vertical="center"/>
    </xf>
    <xf numFmtId="177" fontId="13" fillId="2" borderId="76" xfId="4" applyNumberFormat="1" applyFont="1" applyBorder="1">
      <alignment vertical="center"/>
    </xf>
    <xf numFmtId="0" fontId="13" fillId="2" borderId="76" xfId="4" applyFont="1" applyBorder="1">
      <alignment vertical="center"/>
    </xf>
    <xf numFmtId="184" fontId="16" fillId="2" borderId="55" xfId="2" quotePrefix="1" applyNumberFormat="1" applyFont="1" applyBorder="1" applyAlignment="1">
      <alignment horizontal="center" vertical="center" wrapText="1"/>
    </xf>
    <xf numFmtId="187" fontId="21" fillId="2" borderId="55" xfId="2" quotePrefix="1" applyNumberFormat="1" applyFont="1" applyBorder="1" applyAlignment="1">
      <alignment horizontal="center" vertical="center" wrapText="1"/>
    </xf>
    <xf numFmtId="177" fontId="13" fillId="2" borderId="32" xfId="2" applyNumberFormat="1" applyFont="1" applyBorder="1" applyAlignment="1">
      <alignment horizontal="right" vertical="center"/>
    </xf>
    <xf numFmtId="181" fontId="20" fillId="2" borderId="32" xfId="2" quotePrefix="1" applyNumberFormat="1" applyFont="1" applyBorder="1" applyAlignment="1">
      <alignment horizontal="center" vertical="center"/>
    </xf>
    <xf numFmtId="177" fontId="20" fillId="14" borderId="44" xfId="2" applyNumberFormat="1" applyFont="1" applyFill="1" applyBorder="1" applyAlignment="1">
      <alignment horizontal="right" vertical="center"/>
    </xf>
    <xf numFmtId="181" fontId="20" fillId="2" borderId="40" xfId="2" quotePrefix="1" applyNumberFormat="1" applyFont="1" applyBorder="1" applyAlignment="1">
      <alignment horizontal="center" vertical="center"/>
    </xf>
    <xf numFmtId="177" fontId="20" fillId="14" borderId="32" xfId="2" applyNumberFormat="1" applyFont="1" applyFill="1" applyBorder="1" applyAlignment="1">
      <alignment horizontal="right" vertical="center"/>
    </xf>
    <xf numFmtId="177" fontId="13" fillId="2" borderId="40" xfId="2" applyNumberFormat="1" applyFont="1" applyBorder="1" applyAlignment="1">
      <alignment horizontal="right" vertical="center"/>
    </xf>
    <xf numFmtId="177" fontId="13" fillId="2" borderId="75" xfId="2" applyNumberFormat="1" applyFont="1" applyBorder="1">
      <alignment vertical="center"/>
    </xf>
    <xf numFmtId="177" fontId="13" fillId="2" borderId="76" xfId="2" applyNumberFormat="1" applyFont="1" applyBorder="1">
      <alignment vertical="center"/>
    </xf>
    <xf numFmtId="187" fontId="21" fillId="2" borderId="56" xfId="2" quotePrefix="1" applyNumberFormat="1" applyFont="1" applyBorder="1" applyAlignment="1">
      <alignment horizontal="center" vertical="center" wrapText="1"/>
    </xf>
    <xf numFmtId="181" fontId="20" fillId="2" borderId="77" xfId="2" quotePrefix="1" applyNumberFormat="1" applyFont="1" applyBorder="1" applyAlignment="1">
      <alignment horizontal="center" vertical="center"/>
    </xf>
    <xf numFmtId="177" fontId="20" fillId="14" borderId="77" xfId="2" applyNumberFormat="1" applyFont="1" applyFill="1" applyBorder="1" applyAlignment="1">
      <alignment horizontal="right" vertical="center"/>
    </xf>
    <xf numFmtId="177" fontId="13" fillId="2" borderId="77" xfId="2" applyNumberFormat="1" applyFont="1" applyBorder="1" applyAlignment="1">
      <alignment horizontal="right" vertical="center"/>
    </xf>
    <xf numFmtId="177" fontId="13" fillId="2" borderId="77" xfId="2" applyNumberFormat="1" applyFont="1" applyBorder="1">
      <alignment vertical="center"/>
    </xf>
    <xf numFmtId="177" fontId="13" fillId="2" borderId="39" xfId="2" applyNumberFormat="1" applyFont="1" applyBorder="1">
      <alignment vertical="center"/>
    </xf>
    <xf numFmtId="177" fontId="20" fillId="14" borderId="35" xfId="2" applyNumberFormat="1" applyFont="1" applyFill="1" applyBorder="1">
      <alignment vertical="center"/>
    </xf>
    <xf numFmtId="177" fontId="20" fillId="14" borderId="77" xfId="2" applyNumberFormat="1" applyFont="1" applyFill="1" applyBorder="1">
      <alignment vertical="center"/>
    </xf>
    <xf numFmtId="177" fontId="13" fillId="2" borderId="78" xfId="2" applyNumberFormat="1" applyFont="1" applyBorder="1">
      <alignment vertical="center"/>
    </xf>
    <xf numFmtId="177" fontId="13" fillId="2" borderId="79" xfId="2" applyNumberFormat="1" applyFont="1" applyBorder="1">
      <alignment vertical="center"/>
    </xf>
    <xf numFmtId="0" fontId="22" fillId="2" borderId="48" xfId="2" applyFont="1" applyBorder="1" applyAlignment="1">
      <alignment horizontal="center" vertical="center" wrapText="1"/>
    </xf>
    <xf numFmtId="181" fontId="23" fillId="2" borderId="24" xfId="2" quotePrefix="1" applyNumberFormat="1" applyFont="1" applyBorder="1" applyAlignment="1">
      <alignment horizontal="center" vertical="center"/>
    </xf>
    <xf numFmtId="177" fontId="24" fillId="2" borderId="19" xfId="2" applyNumberFormat="1" applyFont="1" applyBorder="1">
      <alignment vertical="center"/>
    </xf>
    <xf numFmtId="177" fontId="24" fillId="2" borderId="21" xfId="2" applyNumberFormat="1" applyFont="1" applyBorder="1">
      <alignment vertical="center"/>
    </xf>
    <xf numFmtId="177" fontId="24" fillId="2" borderId="20" xfId="2" applyNumberFormat="1" applyFont="1" applyBorder="1">
      <alignment vertical="center"/>
    </xf>
    <xf numFmtId="177" fontId="24" fillId="2" borderId="22" xfId="2" applyNumberFormat="1" applyFont="1" applyBorder="1">
      <alignment vertical="center"/>
    </xf>
    <xf numFmtId="177" fontId="25" fillId="14" borderId="24" xfId="2" applyNumberFormat="1" applyFont="1" applyFill="1" applyBorder="1" applyAlignment="1">
      <alignment horizontal="right" vertical="center"/>
    </xf>
    <xf numFmtId="177" fontId="24" fillId="2" borderId="68" xfId="2" applyNumberFormat="1" applyFont="1" applyBorder="1" applyAlignment="1">
      <alignment horizontal="right" vertical="center"/>
    </xf>
    <xf numFmtId="177" fontId="24" fillId="2" borderId="24" xfId="2" applyNumberFormat="1" applyFont="1" applyBorder="1">
      <alignment vertical="center"/>
    </xf>
    <xf numFmtId="177" fontId="24" fillId="2" borderId="23" xfId="2" applyNumberFormat="1" applyFont="1" applyBorder="1">
      <alignment vertical="center"/>
    </xf>
    <xf numFmtId="177" fontId="25" fillId="14" borderId="50" xfId="2" applyNumberFormat="1" applyFont="1" applyFill="1" applyBorder="1">
      <alignment vertical="center"/>
    </xf>
    <xf numFmtId="177" fontId="24" fillId="2" borderId="53" xfId="2" applyNumberFormat="1" applyFont="1" applyBorder="1">
      <alignment vertical="center"/>
    </xf>
    <xf numFmtId="177" fontId="25" fillId="14" borderId="68" xfId="2" applyNumberFormat="1" applyFont="1" applyFill="1" applyBorder="1">
      <alignment vertical="center"/>
    </xf>
    <xf numFmtId="177" fontId="24" fillId="2" borderId="80" xfId="2" applyNumberFormat="1" applyFont="1" applyBorder="1">
      <alignment vertical="center"/>
    </xf>
    <xf numFmtId="177" fontId="24" fillId="2" borderId="81" xfId="2" applyNumberFormat="1" applyFont="1" applyBorder="1">
      <alignment vertical="center"/>
    </xf>
    <xf numFmtId="0" fontId="22" fillId="2" borderId="55" xfId="2" applyFont="1" applyBorder="1" applyAlignment="1">
      <alignment horizontal="center" vertical="center"/>
    </xf>
    <xf numFmtId="181" fontId="23" fillId="2" borderId="32" xfId="2" quotePrefix="1" applyNumberFormat="1" applyFont="1" applyBorder="1" applyAlignment="1">
      <alignment horizontal="center" vertical="center"/>
    </xf>
    <xf numFmtId="177" fontId="24" fillId="2" borderId="29" xfId="2" applyNumberFormat="1" applyFont="1" applyBorder="1">
      <alignment vertical="center"/>
    </xf>
    <xf numFmtId="177" fontId="24" fillId="2" borderId="27" xfId="2" applyNumberFormat="1" applyFont="1" applyBorder="1">
      <alignment vertical="center"/>
    </xf>
    <xf numFmtId="177" fontId="24" fillId="2" borderId="26" xfId="2" applyNumberFormat="1" applyFont="1" applyBorder="1">
      <alignment vertical="center"/>
    </xf>
    <xf numFmtId="177" fontId="24" fillId="2" borderId="30" xfId="2" applyNumberFormat="1" applyFont="1" applyBorder="1">
      <alignment vertical="center"/>
    </xf>
    <xf numFmtId="177" fontId="25" fillId="14" borderId="32" xfId="2" applyNumberFormat="1" applyFont="1" applyFill="1" applyBorder="1" applyAlignment="1">
      <alignment horizontal="right" vertical="center"/>
    </xf>
    <xf numFmtId="177" fontId="24" fillId="2" borderId="32" xfId="2" applyNumberFormat="1" applyFont="1" applyBorder="1" applyAlignment="1">
      <alignment horizontal="right" vertical="center"/>
    </xf>
    <xf numFmtId="177" fontId="24" fillId="2" borderId="32" xfId="2" applyNumberFormat="1" applyFont="1" applyBorder="1">
      <alignment vertical="center"/>
    </xf>
    <xf numFmtId="177" fontId="24" fillId="2" borderId="31" xfId="2" applyNumberFormat="1" applyFont="1" applyBorder="1">
      <alignment vertical="center"/>
    </xf>
    <xf numFmtId="177" fontId="25" fillId="14" borderId="29" xfId="2" applyNumberFormat="1" applyFont="1" applyFill="1" applyBorder="1">
      <alignment vertical="center"/>
    </xf>
    <xf numFmtId="177" fontId="25" fillId="14" borderId="32" xfId="2" applyNumberFormat="1" applyFont="1" applyFill="1" applyBorder="1">
      <alignment vertical="center"/>
    </xf>
    <xf numFmtId="177" fontId="24" fillId="2" borderId="75" xfId="2" applyNumberFormat="1" applyFont="1" applyBorder="1">
      <alignment vertical="center"/>
    </xf>
    <xf numFmtId="177" fontId="24" fillId="2" borderId="76" xfId="2" applyNumberFormat="1" applyFont="1" applyBorder="1">
      <alignment vertical="center"/>
    </xf>
    <xf numFmtId="182" fontId="22" fillId="2" borderId="55" xfId="2" applyNumberFormat="1" applyFont="1" applyBorder="1" applyAlignment="1">
      <alignment horizontal="right" vertical="center"/>
    </xf>
    <xf numFmtId="184" fontId="26" fillId="2" borderId="55" xfId="2" quotePrefix="1" applyNumberFormat="1" applyFont="1" applyBorder="1" applyAlignment="1">
      <alignment horizontal="center" vertical="center" wrapText="1"/>
    </xf>
    <xf numFmtId="187" fontId="5" fillId="2" borderId="55" xfId="2" quotePrefix="1" applyNumberFormat="1" applyFont="1" applyBorder="1" applyAlignment="1">
      <alignment horizontal="center" vertical="center" wrapText="1"/>
    </xf>
    <xf numFmtId="0" fontId="27" fillId="2" borderId="55" xfId="4" applyFont="1" applyBorder="1" applyAlignment="1">
      <alignment horizontal="center" vertical="center"/>
    </xf>
    <xf numFmtId="177" fontId="24" fillId="2" borderId="82" xfId="2" applyNumberFormat="1" applyFont="1" applyBorder="1">
      <alignment vertical="center"/>
    </xf>
    <xf numFmtId="179" fontId="24" fillId="2" borderId="82" xfId="4" applyNumberFormat="1" applyFont="1" applyBorder="1">
      <alignment vertical="center"/>
    </xf>
    <xf numFmtId="179" fontId="24" fillId="2" borderId="76" xfId="4" applyNumberFormat="1" applyFont="1" applyBorder="1">
      <alignment vertical="center"/>
    </xf>
    <xf numFmtId="187" fontId="5" fillId="2" borderId="56" xfId="2" quotePrefix="1" applyNumberFormat="1" applyFont="1" applyBorder="1" applyAlignment="1">
      <alignment horizontal="center" vertical="center" wrapText="1"/>
    </xf>
    <xf numFmtId="181" fontId="23" fillId="2" borderId="34" xfId="2" quotePrefix="1" applyNumberFormat="1" applyFont="1" applyBorder="1" applyAlignment="1">
      <alignment horizontal="center" vertical="center"/>
    </xf>
    <xf numFmtId="177" fontId="24" fillId="2" borderId="36" xfId="2" applyNumberFormat="1" applyFont="1" applyBorder="1">
      <alignment vertical="center"/>
    </xf>
    <xf numFmtId="177" fontId="25" fillId="14" borderId="77" xfId="2" applyNumberFormat="1" applyFont="1" applyFill="1" applyBorder="1" applyAlignment="1">
      <alignment horizontal="right" vertical="center"/>
    </xf>
    <xf numFmtId="177" fontId="24" fillId="2" borderId="34" xfId="2" applyNumberFormat="1" applyFont="1" applyBorder="1" applyAlignment="1">
      <alignment horizontal="right" vertical="center"/>
    </xf>
    <xf numFmtId="177" fontId="24" fillId="2" borderId="35" xfId="2" applyNumberFormat="1" applyFont="1" applyBorder="1">
      <alignment vertical="center"/>
    </xf>
    <xf numFmtId="177" fontId="24" fillId="2" borderId="39" xfId="2" applyNumberFormat="1" applyFont="1" applyBorder="1">
      <alignment vertical="center"/>
    </xf>
    <xf numFmtId="177" fontId="25" fillId="14" borderId="35" xfId="2" applyNumberFormat="1" applyFont="1" applyFill="1" applyBorder="1">
      <alignment vertical="center"/>
    </xf>
    <xf numFmtId="177" fontId="24" fillId="2" borderId="37" xfId="2" applyNumberFormat="1" applyFont="1" applyBorder="1">
      <alignment vertical="center"/>
    </xf>
    <xf numFmtId="177" fontId="25" fillId="14" borderId="77" xfId="2" applyNumberFormat="1" applyFont="1" applyFill="1" applyBorder="1">
      <alignment vertical="center"/>
    </xf>
    <xf numFmtId="179" fontId="24" fillId="2" borderId="83" xfId="4" applyNumberFormat="1" applyFont="1" applyBorder="1">
      <alignment vertical="center"/>
    </xf>
    <xf numFmtId="179" fontId="24" fillId="2" borderId="79" xfId="4" applyNumberFormat="1" applyFont="1" applyBorder="1">
      <alignment vertical="center"/>
    </xf>
    <xf numFmtId="177" fontId="24" fillId="2" borderId="84" xfId="2" applyNumberFormat="1" applyFont="1" applyBorder="1">
      <alignment vertical="center"/>
    </xf>
    <xf numFmtId="177" fontId="24" fillId="2" borderId="85" xfId="2" applyNumberFormat="1" applyFont="1" applyBorder="1">
      <alignment vertical="center"/>
    </xf>
    <xf numFmtId="49" fontId="13" fillId="2" borderId="0" xfId="4" applyNumberFormat="1" applyFont="1">
      <alignment vertical="center"/>
    </xf>
    <xf numFmtId="181" fontId="23" fillId="2" borderId="44" xfId="2" quotePrefix="1" applyNumberFormat="1" applyFont="1" applyBorder="1" applyAlignment="1">
      <alignment horizontal="center" vertical="center"/>
    </xf>
    <xf numFmtId="177" fontId="24" fillId="2" borderId="45" xfId="2" applyNumberFormat="1" applyFont="1" applyBorder="1">
      <alignment vertical="center"/>
    </xf>
    <xf numFmtId="177" fontId="25" fillId="14" borderId="40" xfId="2" applyNumberFormat="1" applyFont="1" applyFill="1" applyBorder="1" applyAlignment="1">
      <alignment horizontal="right" vertical="center"/>
    </xf>
    <xf numFmtId="177" fontId="24" fillId="2" borderId="44" xfId="2" applyNumberFormat="1" applyFont="1" applyBorder="1" applyAlignment="1">
      <alignment horizontal="right" vertical="center"/>
    </xf>
    <xf numFmtId="177" fontId="24" fillId="2" borderId="42" xfId="2" applyNumberFormat="1" applyFont="1" applyBorder="1">
      <alignment vertical="center"/>
    </xf>
    <xf numFmtId="177" fontId="24" fillId="2" borderId="41" xfId="2" applyNumberFormat="1" applyFont="1" applyBorder="1">
      <alignment vertical="center"/>
    </xf>
    <xf numFmtId="177" fontId="25" fillId="14" borderId="42" xfId="2" applyNumberFormat="1" applyFont="1" applyFill="1" applyBorder="1">
      <alignment vertical="center"/>
    </xf>
    <xf numFmtId="177" fontId="24" fillId="2" borderId="46" xfId="2" applyNumberFormat="1" applyFont="1" applyBorder="1">
      <alignment vertical="center"/>
    </xf>
    <xf numFmtId="177" fontId="25" fillId="14" borderId="40" xfId="2" applyNumberFormat="1" applyFont="1" applyFill="1" applyBorder="1">
      <alignment vertical="center"/>
    </xf>
    <xf numFmtId="179" fontId="24" fillId="2" borderId="86" xfId="4" applyNumberFormat="1" applyFont="1" applyBorder="1">
      <alignment vertical="center"/>
    </xf>
    <xf numFmtId="179" fontId="24" fillId="2" borderId="81" xfId="4" applyNumberFormat="1" applyFont="1" applyBorder="1">
      <alignment vertical="center"/>
    </xf>
    <xf numFmtId="181" fontId="23" fillId="2" borderId="28" xfId="2" quotePrefix="1" applyNumberFormat="1" applyFont="1" applyBorder="1" applyAlignment="1">
      <alignment horizontal="center" vertical="center"/>
    </xf>
    <xf numFmtId="177" fontId="24" fillId="2" borderId="28" xfId="2" applyNumberFormat="1" applyFont="1" applyBorder="1" applyAlignment="1">
      <alignment horizontal="right" vertical="center"/>
    </xf>
    <xf numFmtId="177" fontId="25" fillId="15" borderId="29" xfId="2" applyNumberFormat="1" applyFont="1" applyFill="1" applyBorder="1">
      <alignment vertical="center"/>
    </xf>
    <xf numFmtId="181" fontId="23" fillId="5" borderId="28" xfId="2" quotePrefix="1" applyNumberFormat="1" applyFont="1" applyFill="1" applyBorder="1" applyAlignment="1">
      <alignment horizontal="center" vertical="center"/>
    </xf>
    <xf numFmtId="177" fontId="24" fillId="5" borderId="26" xfId="2" applyNumberFormat="1" applyFont="1" applyFill="1" applyBorder="1">
      <alignment vertical="center"/>
    </xf>
    <xf numFmtId="177" fontId="24" fillId="5" borderId="28" xfId="2" applyNumberFormat="1" applyFont="1" applyFill="1" applyBorder="1" applyAlignment="1">
      <alignment horizontal="right" vertical="center"/>
    </xf>
    <xf numFmtId="177" fontId="24" fillId="5" borderId="29" xfId="2" applyNumberFormat="1" applyFont="1" applyFill="1" applyBorder="1">
      <alignment vertical="center"/>
    </xf>
    <xf numFmtId="177" fontId="24" fillId="5" borderId="31" xfId="2" applyNumberFormat="1" applyFont="1" applyFill="1" applyBorder="1">
      <alignment vertical="center"/>
    </xf>
    <xf numFmtId="177" fontId="24" fillId="5" borderId="27" xfId="2" applyNumberFormat="1" applyFont="1" applyFill="1" applyBorder="1">
      <alignment vertical="center"/>
    </xf>
    <xf numFmtId="179" fontId="24" fillId="5" borderId="32" xfId="4" applyNumberFormat="1" applyFont="1" applyFill="1" applyBorder="1">
      <alignment vertical="center"/>
    </xf>
    <xf numFmtId="179" fontId="24" fillId="5" borderId="27" xfId="4" applyNumberFormat="1" applyFont="1" applyFill="1" applyBorder="1">
      <alignment vertical="center"/>
    </xf>
    <xf numFmtId="181" fontId="23" fillId="5" borderId="34" xfId="2" quotePrefix="1" applyNumberFormat="1" applyFont="1" applyFill="1" applyBorder="1" applyAlignment="1">
      <alignment horizontal="center" vertical="center"/>
    </xf>
    <xf numFmtId="177" fontId="24" fillId="5" borderId="36" xfId="2" applyNumberFormat="1" applyFont="1" applyFill="1" applyBorder="1">
      <alignment vertical="center"/>
    </xf>
    <xf numFmtId="177" fontId="24" fillId="5" borderId="34" xfId="2" applyNumberFormat="1" applyFont="1" applyFill="1" applyBorder="1" applyAlignment="1">
      <alignment horizontal="right" vertical="center"/>
    </xf>
    <xf numFmtId="177" fontId="24" fillId="5" borderId="35" xfId="2" applyNumberFormat="1" applyFont="1" applyFill="1" applyBorder="1">
      <alignment vertical="center"/>
    </xf>
    <xf numFmtId="177" fontId="24" fillId="5" borderId="39" xfId="2" applyNumberFormat="1" applyFont="1" applyFill="1" applyBorder="1">
      <alignment vertical="center"/>
    </xf>
    <xf numFmtId="177" fontId="24" fillId="5" borderId="37" xfId="2" applyNumberFormat="1" applyFont="1" applyFill="1" applyBorder="1">
      <alignment vertical="center"/>
    </xf>
    <xf numFmtId="179" fontId="24" fillId="5" borderId="77" xfId="4" applyNumberFormat="1" applyFont="1" applyFill="1" applyBorder="1">
      <alignment vertical="center"/>
    </xf>
    <xf numFmtId="179" fontId="24" fillId="5" borderId="37" xfId="4" applyNumberFormat="1" applyFont="1" applyFill="1" applyBorder="1">
      <alignment vertical="center"/>
    </xf>
    <xf numFmtId="181" fontId="23" fillId="5" borderId="44" xfId="2" quotePrefix="1" applyNumberFormat="1" applyFont="1" applyFill="1" applyBorder="1" applyAlignment="1">
      <alignment horizontal="center" vertical="center"/>
    </xf>
    <xf numFmtId="177" fontId="24" fillId="5" borderId="45" xfId="2" applyNumberFormat="1" applyFont="1" applyFill="1" applyBorder="1">
      <alignment vertical="center"/>
    </xf>
    <xf numFmtId="177" fontId="24" fillId="5" borderId="44" xfId="2" applyNumberFormat="1" applyFont="1" applyFill="1" applyBorder="1" applyAlignment="1">
      <alignment horizontal="right" vertical="center"/>
    </xf>
    <xf numFmtId="177" fontId="24" fillId="5" borderId="42" xfId="2" applyNumberFormat="1" applyFont="1" applyFill="1" applyBorder="1">
      <alignment vertical="center"/>
    </xf>
    <xf numFmtId="177" fontId="24" fillId="5" borderId="41" xfId="2" applyNumberFormat="1" applyFont="1" applyFill="1" applyBorder="1">
      <alignment vertical="center"/>
    </xf>
    <xf numFmtId="177" fontId="24" fillId="5" borderId="46" xfId="2" applyNumberFormat="1" applyFont="1" applyFill="1" applyBorder="1">
      <alignment vertical="center"/>
    </xf>
    <xf numFmtId="179" fontId="24" fillId="5" borderId="87" xfId="4" applyNumberFormat="1" applyFont="1" applyFill="1" applyBorder="1">
      <alignment vertical="center"/>
    </xf>
    <xf numFmtId="179" fontId="24" fillId="5" borderId="88" xfId="4" applyNumberFormat="1" applyFont="1" applyFill="1" applyBorder="1">
      <alignment vertical="center"/>
    </xf>
    <xf numFmtId="179" fontId="24" fillId="2" borderId="32" xfId="4" applyNumberFormat="1" applyFont="1" applyBorder="1">
      <alignment vertical="center"/>
    </xf>
    <xf numFmtId="179" fontId="24" fillId="2" borderId="27" xfId="4" applyNumberFormat="1" applyFont="1" applyBorder="1">
      <alignment vertical="center"/>
    </xf>
    <xf numFmtId="179" fontId="24" fillId="2" borderId="77" xfId="4" applyNumberFormat="1" applyFont="1" applyBorder="1">
      <alignment vertical="center"/>
    </xf>
    <xf numFmtId="179" fontId="24" fillId="2" borderId="37" xfId="4" applyNumberFormat="1" applyFont="1" applyBorder="1">
      <alignment vertical="center"/>
    </xf>
    <xf numFmtId="0" fontId="13" fillId="2" borderId="0" xfId="4" applyFont="1" applyAlignment="1">
      <alignment horizontal="center" vertical="center"/>
    </xf>
    <xf numFmtId="178" fontId="13" fillId="2" borderId="0" xfId="4" applyNumberFormat="1" applyFont="1" applyAlignment="1">
      <alignment horizontal="center" vertical="center"/>
    </xf>
    <xf numFmtId="179" fontId="13" fillId="2" borderId="0" xfId="4" applyNumberFormat="1" applyFont="1" applyAlignment="1">
      <alignment horizontal="center" vertical="center"/>
    </xf>
    <xf numFmtId="177" fontId="14" fillId="6" borderId="87" xfId="2" applyNumberFormat="1" applyFont="1" applyFill="1" applyBorder="1">
      <alignment vertical="center"/>
    </xf>
    <xf numFmtId="177" fontId="14" fillId="6" borderId="89" xfId="2" applyNumberFormat="1" applyFont="1" applyFill="1" applyBorder="1">
      <alignment vertical="center"/>
    </xf>
    <xf numFmtId="177" fontId="14" fillId="6" borderId="90" xfId="2" applyNumberFormat="1" applyFont="1" applyFill="1" applyBorder="1">
      <alignment vertical="center"/>
    </xf>
    <xf numFmtId="177" fontId="14" fillId="6" borderId="89" xfId="2" applyNumberFormat="1" applyFont="1" applyFill="1" applyBorder="1" applyAlignment="1">
      <alignment horizontal="right" vertical="center" wrapText="1"/>
    </xf>
    <xf numFmtId="177" fontId="14" fillId="6" borderId="90" xfId="2" applyNumberFormat="1" applyFont="1" applyFill="1" applyBorder="1" applyAlignment="1">
      <alignment horizontal="left" vertical="center" wrapText="1"/>
    </xf>
    <xf numFmtId="0" fontId="13" fillId="16" borderId="0" xfId="4" applyFont="1" applyFill="1" applyAlignment="1">
      <alignment horizontal="center" vertical="center"/>
    </xf>
    <xf numFmtId="0" fontId="13" fillId="17" borderId="0" xfId="4" applyFont="1" applyFill="1" applyAlignment="1">
      <alignment horizontal="center" vertical="center"/>
    </xf>
    <xf numFmtId="0" fontId="13" fillId="5" borderId="0" xfId="4" applyFont="1" applyFill="1" applyAlignment="1">
      <alignment horizontal="center" vertical="center"/>
    </xf>
    <xf numFmtId="0" fontId="13" fillId="13" borderId="0" xfId="4" applyFont="1" applyFill="1" applyAlignment="1">
      <alignment horizontal="center" vertical="center"/>
    </xf>
    <xf numFmtId="0" fontId="18" fillId="6" borderId="0" xfId="4" applyFont="1" applyFill="1" applyAlignment="1">
      <alignment horizontal="center" vertical="center"/>
    </xf>
    <xf numFmtId="0" fontId="13" fillId="9" borderId="0" xfId="4" applyFont="1" applyFill="1" applyAlignment="1">
      <alignment horizontal="center" vertical="center"/>
    </xf>
    <xf numFmtId="0" fontId="6" fillId="2" borderId="0" xfId="6" applyAlignment="1">
      <alignment vertical="center"/>
    </xf>
    <xf numFmtId="178" fontId="13" fillId="2" borderId="12" xfId="3" applyNumberFormat="1" applyFont="1" applyBorder="1" applyAlignment="1">
      <alignment horizontal="center" vertical="top" wrapText="1"/>
    </xf>
    <xf numFmtId="0" fontId="15" fillId="2" borderId="12" xfId="5" applyFont="1" applyBorder="1" applyAlignment="1">
      <alignment horizontal="center" vertical="top" wrapText="1"/>
    </xf>
    <xf numFmtId="0" fontId="15" fillId="7" borderId="12" xfId="5" applyFont="1" applyFill="1" applyBorder="1" applyAlignment="1">
      <alignment horizontal="center" vertical="top" wrapText="1"/>
    </xf>
    <xf numFmtId="0" fontId="15" fillId="8" borderId="12" xfId="5" applyFont="1" applyFill="1" applyBorder="1" applyAlignment="1">
      <alignment horizontal="center" vertical="top" wrapText="1"/>
    </xf>
    <xf numFmtId="0" fontId="15" fillId="9" borderId="12" xfId="5" applyFont="1" applyFill="1" applyBorder="1" applyAlignment="1">
      <alignment horizontal="center" vertical="top" wrapText="1"/>
    </xf>
    <xf numFmtId="0" fontId="15" fillId="10" borderId="12" xfId="5" applyFont="1" applyFill="1" applyBorder="1" applyAlignment="1">
      <alignment horizontal="center" vertical="top" wrapText="1"/>
    </xf>
    <xf numFmtId="0" fontId="15" fillId="11" borderId="12" xfId="5" applyFont="1" applyFill="1" applyBorder="1" applyAlignment="1">
      <alignment horizontal="center" vertical="top" wrapText="1"/>
    </xf>
    <xf numFmtId="0" fontId="18" fillId="12" borderId="12" xfId="5" applyFont="1" applyFill="1" applyBorder="1" applyAlignment="1">
      <alignment horizontal="center" vertical="top" wrapText="1"/>
    </xf>
    <xf numFmtId="0" fontId="15" fillId="13" borderId="12" xfId="5" applyFont="1" applyFill="1" applyBorder="1" applyAlignment="1">
      <alignment horizontal="center" vertical="top" wrapText="1"/>
    </xf>
    <xf numFmtId="0" fontId="13" fillId="2" borderId="12" xfId="5" applyFont="1" applyBorder="1" applyAlignment="1">
      <alignment horizontal="center" vertical="top" wrapText="1"/>
    </xf>
    <xf numFmtId="177" fontId="13" fillId="2" borderId="12" xfId="2" applyNumberFormat="1" applyFont="1" applyBorder="1" applyAlignment="1">
      <alignment horizontal="center" vertical="top" wrapText="1"/>
    </xf>
    <xf numFmtId="177" fontId="13" fillId="2" borderId="9" xfId="2" applyNumberFormat="1" applyFont="1" applyBorder="1" applyAlignment="1">
      <alignment horizontal="center" vertical="top" wrapText="1"/>
    </xf>
    <xf numFmtId="177" fontId="13" fillId="14" borderId="9" xfId="2" applyNumberFormat="1" applyFont="1" applyFill="1" applyBorder="1" applyAlignment="1">
      <alignment horizontal="center" vertical="top" wrapText="1"/>
    </xf>
    <xf numFmtId="181" fontId="23" fillId="0" borderId="28" xfId="2" quotePrefix="1" applyNumberFormat="1" applyFont="1" applyFill="1" applyBorder="1" applyAlignment="1">
      <alignment horizontal="center" vertical="center"/>
    </xf>
    <xf numFmtId="177" fontId="24" fillId="0" borderId="26" xfId="2" applyNumberFormat="1" applyFont="1" applyFill="1" applyBorder="1">
      <alignment vertical="center"/>
    </xf>
    <xf numFmtId="177" fontId="24" fillId="0" borderId="28" xfId="2" applyNumberFormat="1" applyFont="1" applyFill="1" applyBorder="1" applyAlignment="1">
      <alignment horizontal="right" vertical="center"/>
    </xf>
    <xf numFmtId="177" fontId="24" fillId="0" borderId="29" xfId="2" applyNumberFormat="1" applyFont="1" applyFill="1" applyBorder="1">
      <alignment vertical="center"/>
    </xf>
    <xf numFmtId="177" fontId="24" fillId="0" borderId="31" xfId="2" applyNumberFormat="1" applyFont="1" applyFill="1" applyBorder="1">
      <alignment vertical="center"/>
    </xf>
    <xf numFmtId="177" fontId="24" fillId="0" borderId="27" xfId="2" applyNumberFormat="1" applyFont="1" applyFill="1" applyBorder="1">
      <alignment vertical="center"/>
    </xf>
    <xf numFmtId="179" fontId="24" fillId="0" borderId="82" xfId="4" applyNumberFormat="1" applyFont="1" applyFill="1" applyBorder="1">
      <alignment vertical="center"/>
    </xf>
    <xf numFmtId="179" fontId="24" fillId="0" borderId="76" xfId="4" applyNumberFormat="1" applyFont="1" applyFill="1" applyBorder="1">
      <alignment vertical="center"/>
    </xf>
    <xf numFmtId="178" fontId="24" fillId="2" borderId="21" xfId="6" applyNumberFormat="1" applyFont="1" applyBorder="1" applyAlignment="1">
      <alignment vertical="center"/>
    </xf>
    <xf numFmtId="0" fontId="24" fillId="2" borderId="21" xfId="6" applyFont="1" applyBorder="1" applyAlignment="1">
      <alignment vertical="center"/>
    </xf>
    <xf numFmtId="0" fontId="24" fillId="14" borderId="21" xfId="6" applyFont="1" applyFill="1" applyBorder="1" applyAlignment="1">
      <alignment vertical="center"/>
    </xf>
    <xf numFmtId="177" fontId="24" fillId="2" borderId="21" xfId="6" applyNumberFormat="1" applyFont="1" applyBorder="1" applyAlignment="1">
      <alignment vertical="center"/>
    </xf>
    <xf numFmtId="177" fontId="24" fillId="2" borderId="22" xfId="6" applyNumberFormat="1" applyFont="1" applyBorder="1" applyAlignment="1">
      <alignment vertical="center"/>
    </xf>
    <xf numFmtId="0" fontId="24" fillId="14" borderId="24" xfId="6" applyFont="1" applyFill="1" applyBorder="1" applyAlignment="1">
      <alignment vertical="center"/>
    </xf>
    <xf numFmtId="0" fontId="24" fillId="2" borderId="19" xfId="6" applyFont="1" applyBorder="1" applyAlignment="1">
      <alignment vertical="center"/>
    </xf>
    <xf numFmtId="177" fontId="24" fillId="2" borderId="74" xfId="6" applyNumberFormat="1" applyFont="1" applyBorder="1" applyAlignment="1">
      <alignment vertical="center"/>
    </xf>
    <xf numFmtId="177" fontId="24" fillId="2" borderId="92" xfId="6" applyNumberFormat="1" applyFont="1" applyBorder="1" applyAlignment="1">
      <alignment vertical="center"/>
    </xf>
    <xf numFmtId="178" fontId="24" fillId="2" borderId="91" xfId="6" applyNumberFormat="1" applyFont="1" applyBorder="1" applyAlignment="1">
      <alignment vertical="center"/>
    </xf>
    <xf numFmtId="0" fontId="24" fillId="2" borderId="91" xfId="6" applyFont="1" applyBorder="1" applyAlignment="1">
      <alignment vertical="center"/>
    </xf>
    <xf numFmtId="0" fontId="24" fillId="14" borderId="91" xfId="6" applyFont="1" applyFill="1" applyBorder="1" applyAlignment="1">
      <alignment vertical="center"/>
    </xf>
    <xf numFmtId="177" fontId="24" fillId="2" borderId="91" xfId="6" applyNumberFormat="1" applyFont="1" applyBorder="1" applyAlignment="1">
      <alignment vertical="center"/>
    </xf>
    <xf numFmtId="177" fontId="24" fillId="2" borderId="91" xfId="2" applyNumberFormat="1" applyFont="1" applyBorder="1">
      <alignment vertical="center"/>
    </xf>
    <xf numFmtId="177" fontId="24" fillId="2" borderId="93" xfId="2" applyNumberFormat="1" applyFont="1" applyBorder="1">
      <alignment vertical="center"/>
    </xf>
    <xf numFmtId="177" fontId="24" fillId="2" borderId="94" xfId="2" applyNumberFormat="1" applyFont="1" applyBorder="1">
      <alignment vertical="center"/>
    </xf>
    <xf numFmtId="177" fontId="24" fillId="2" borderId="93" xfId="6" applyNumberFormat="1" applyFont="1" applyBorder="1" applyAlignment="1">
      <alignment vertical="center"/>
    </xf>
    <xf numFmtId="0" fontId="24" fillId="14" borderId="95" xfId="6" applyFont="1" applyFill="1" applyBorder="1" applyAlignment="1">
      <alignment vertical="center"/>
    </xf>
    <xf numFmtId="0" fontId="24" fillId="2" borderId="94" xfId="6" applyFont="1" applyBorder="1" applyAlignment="1">
      <alignment vertical="center"/>
    </xf>
    <xf numFmtId="0" fontId="29" fillId="0" borderId="71" xfId="0" applyFont="1" applyBorder="1" applyAlignment="1">
      <alignment horizontal="center" vertical="top" wrapText="1"/>
    </xf>
    <xf numFmtId="189" fontId="29" fillId="0" borderId="71" xfId="0" applyNumberFormat="1" applyFont="1" applyBorder="1" applyAlignment="1">
      <alignment horizontal="center" vertical="top" wrapText="1"/>
    </xf>
    <xf numFmtId="189" fontId="27" fillId="0" borderId="71" xfId="0" applyNumberFormat="1" applyFont="1" applyBorder="1" applyAlignment="1">
      <alignment horizontal="center" vertical="top" wrapText="1"/>
    </xf>
    <xf numFmtId="0" fontId="29" fillId="0" borderId="71" xfId="0" applyFont="1" applyBorder="1" applyAlignment="1">
      <alignment horizontal="center" vertical="top"/>
    </xf>
    <xf numFmtId="181" fontId="13" fillId="0" borderId="71" xfId="0" applyNumberFormat="1" applyFont="1" applyBorder="1" applyAlignment="1">
      <alignment horizontal="center" vertical="top" wrapText="1"/>
    </xf>
    <xf numFmtId="178" fontId="13" fillId="0" borderId="71" xfId="0" applyNumberFormat="1" applyFont="1" applyBorder="1" applyAlignment="1">
      <alignment horizontal="center" vertical="top" wrapText="1"/>
    </xf>
    <xf numFmtId="178" fontId="29" fillId="18" borderId="71" xfId="0" applyNumberFormat="1" applyFont="1" applyFill="1" applyBorder="1" applyAlignment="1">
      <alignment horizontal="center" vertical="top" wrapText="1"/>
    </xf>
    <xf numFmtId="0" fontId="32" fillId="0" borderId="71" xfId="0" applyFont="1" applyBorder="1" applyAlignment="1">
      <alignment horizontal="center" vertical="top"/>
    </xf>
    <xf numFmtId="181" fontId="13" fillId="16" borderId="71" xfId="0" applyNumberFormat="1" applyFont="1" applyFill="1" applyBorder="1" applyAlignment="1">
      <alignment horizontal="center" vertical="top" wrapText="1"/>
    </xf>
    <xf numFmtId="181" fontId="16" fillId="19" borderId="71" xfId="0" applyNumberFormat="1" applyFont="1" applyFill="1" applyBorder="1" applyAlignment="1">
      <alignment horizontal="center" vertical="top" wrapText="1"/>
    </xf>
    <xf numFmtId="178" fontId="27" fillId="20" borderId="71" xfId="0" applyNumberFormat="1" applyFont="1" applyFill="1" applyBorder="1" applyAlignment="1">
      <alignment horizontal="center" vertical="top" wrapText="1"/>
    </xf>
    <xf numFmtId="0" fontId="13" fillId="21" borderId="71" xfId="0" applyFont="1" applyFill="1" applyBorder="1" applyAlignment="1">
      <alignment horizontal="center" vertical="top" textRotation="255"/>
    </xf>
    <xf numFmtId="178" fontId="29" fillId="16" borderId="21" xfId="0" applyNumberFormat="1" applyFont="1" applyFill="1" applyBorder="1" applyAlignment="1">
      <alignment horizontal="center" vertical="top" wrapText="1"/>
    </xf>
    <xf numFmtId="178" fontId="29" fillId="16" borderId="96" xfId="0" applyNumberFormat="1" applyFont="1" applyFill="1" applyBorder="1" applyAlignment="1">
      <alignment horizontal="center" vertical="top" wrapText="1"/>
    </xf>
    <xf numFmtId="178" fontId="29" fillId="16" borderId="97" xfId="0" applyNumberFormat="1" applyFont="1" applyFill="1" applyBorder="1" applyAlignment="1">
      <alignment horizontal="center" vertical="top" wrapText="1"/>
    </xf>
    <xf numFmtId="178" fontId="29" fillId="16" borderId="98" xfId="0" applyNumberFormat="1" applyFont="1" applyFill="1" applyBorder="1" applyAlignment="1">
      <alignment horizontal="center" vertical="top" wrapText="1"/>
    </xf>
    <xf numFmtId="178" fontId="29" fillId="19" borderId="96" xfId="0" applyNumberFormat="1" applyFont="1" applyFill="1" applyBorder="1" applyAlignment="1">
      <alignment horizontal="center" vertical="top" wrapText="1"/>
    </xf>
    <xf numFmtId="178" fontId="29" fillId="19" borderId="98" xfId="0" applyNumberFormat="1" applyFont="1" applyFill="1" applyBorder="1" applyAlignment="1">
      <alignment horizontal="center" vertical="top" wrapText="1"/>
    </xf>
    <xf numFmtId="178" fontId="29" fillId="19" borderId="21" xfId="0" applyNumberFormat="1" applyFont="1" applyFill="1" applyBorder="1" applyAlignment="1">
      <alignment horizontal="center" vertical="top" wrapText="1"/>
    </xf>
    <xf numFmtId="178" fontId="29" fillId="19" borderId="97" xfId="0" applyNumberFormat="1" applyFont="1" applyFill="1" applyBorder="1" applyAlignment="1">
      <alignment horizontal="center" vertical="top" wrapText="1"/>
    </xf>
    <xf numFmtId="178" fontId="29" fillId="20" borderId="96" xfId="0" applyNumberFormat="1" applyFont="1" applyFill="1" applyBorder="1" applyAlignment="1">
      <alignment horizontal="center" vertical="top" wrapText="1"/>
    </xf>
    <xf numFmtId="178" fontId="29" fillId="20" borderId="97" xfId="0" applyNumberFormat="1" applyFont="1" applyFill="1" applyBorder="1" applyAlignment="1">
      <alignment horizontal="center" vertical="top" wrapText="1"/>
    </xf>
    <xf numFmtId="178" fontId="29" fillId="20" borderId="97" xfId="0" applyNumberFormat="1" applyFont="1" applyFill="1" applyBorder="1" applyAlignment="1">
      <alignment horizontal="center" vertical="top"/>
    </xf>
    <xf numFmtId="178" fontId="29" fillId="20" borderId="98" xfId="0" applyNumberFormat="1" applyFont="1" applyFill="1" applyBorder="1" applyAlignment="1">
      <alignment horizontal="center" vertical="top"/>
    </xf>
    <xf numFmtId="178" fontId="29" fillId="20" borderId="98" xfId="0" applyNumberFormat="1" applyFont="1" applyFill="1" applyBorder="1" applyAlignment="1">
      <alignment horizontal="center" vertical="top" wrapText="1"/>
    </xf>
    <xf numFmtId="178" fontId="33" fillId="20" borderId="21" xfId="0" applyNumberFormat="1" applyFont="1" applyFill="1" applyBorder="1" applyAlignment="1">
      <alignment horizontal="center" vertical="top" wrapText="1"/>
    </xf>
    <xf numFmtId="49" fontId="27" fillId="0" borderId="71" xfId="0" applyNumberFormat="1" applyFont="1" applyBorder="1" applyAlignment="1">
      <alignment horizontal="center" vertical="top" wrapText="1"/>
    </xf>
    <xf numFmtId="0" fontId="27" fillId="0" borderId="71" xfId="0" applyFont="1" applyBorder="1" applyAlignment="1">
      <alignment horizontal="center" vertical="top"/>
    </xf>
    <xf numFmtId="0" fontId="27" fillId="0" borderId="71" xfId="1" applyNumberFormat="1" applyFont="1" applyBorder="1" applyAlignment="1">
      <alignment horizontal="center" vertical="top" wrapText="1"/>
    </xf>
    <xf numFmtId="49" fontId="29" fillId="0" borderId="71" xfId="0" applyNumberFormat="1" applyFont="1" applyBorder="1" applyAlignment="1">
      <alignment horizontal="center" vertical="top" wrapText="1"/>
    </xf>
    <xf numFmtId="181" fontId="29" fillId="0" borderId="71" xfId="0" applyNumberFormat="1" applyFont="1" applyBorder="1" applyAlignment="1">
      <alignment horizontal="center" vertical="top" wrapText="1"/>
    </xf>
    <xf numFmtId="0" fontId="13" fillId="0" borderId="71" xfId="0" applyFont="1" applyBorder="1" applyAlignment="1">
      <alignment horizontal="center" vertical="top" wrapText="1"/>
    </xf>
    <xf numFmtId="0" fontId="13" fillId="16" borderId="71" xfId="0" applyFont="1" applyFill="1" applyBorder="1" applyAlignment="1">
      <alignment horizontal="center" vertical="top" wrapText="1"/>
    </xf>
    <xf numFmtId="0" fontId="13" fillId="19" borderId="71" xfId="0" applyFont="1" applyFill="1" applyBorder="1" applyAlignment="1">
      <alignment horizontal="center" vertical="top" wrapText="1"/>
    </xf>
    <xf numFmtId="0" fontId="16" fillId="0" borderId="71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27" fillId="0" borderId="76" xfId="0" applyFont="1" applyBorder="1" applyAlignment="1">
      <alignment horizontal="center" vertical="center"/>
    </xf>
    <xf numFmtId="189" fontId="27" fillId="0" borderId="76" xfId="0" applyNumberFormat="1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top"/>
    </xf>
    <xf numFmtId="181" fontId="27" fillId="0" borderId="27" xfId="0" applyNumberFormat="1" applyFont="1" applyBorder="1" applyAlignment="1">
      <alignment horizontal="right" vertical="center"/>
    </xf>
    <xf numFmtId="178" fontId="27" fillId="0" borderId="27" xfId="0" applyNumberFormat="1" applyFont="1" applyBorder="1" applyAlignment="1">
      <alignment horizontal="right" vertical="center"/>
    </xf>
    <xf numFmtId="0" fontId="32" fillId="0" borderId="27" xfId="0" applyFont="1" applyBorder="1" applyAlignment="1">
      <alignment horizontal="center" vertical="center"/>
    </xf>
    <xf numFmtId="181" fontId="27" fillId="0" borderId="76" xfId="0" applyNumberFormat="1" applyFont="1" applyBorder="1" applyAlignment="1">
      <alignment horizontal="right" vertical="center"/>
    </xf>
    <xf numFmtId="181" fontId="27" fillId="19" borderId="27" xfId="0" applyNumberFormat="1" applyFont="1" applyFill="1" applyBorder="1" applyAlignment="1">
      <alignment horizontal="right" vertical="center"/>
    </xf>
    <xf numFmtId="178" fontId="27" fillId="20" borderId="27" xfId="0" applyNumberFormat="1" applyFont="1" applyFill="1" applyBorder="1" applyAlignment="1">
      <alignment horizontal="right" vertical="center"/>
    </xf>
    <xf numFmtId="0" fontId="27" fillId="21" borderId="27" xfId="0" applyFont="1" applyFill="1" applyBorder="1" applyAlignment="1">
      <alignment horizontal="center" vertical="center"/>
    </xf>
    <xf numFmtId="178" fontId="27" fillId="0" borderId="99" xfId="0" applyNumberFormat="1" applyFont="1" applyBorder="1" applyAlignment="1">
      <alignment horizontal="center" vertical="center"/>
    </xf>
    <xf numFmtId="178" fontId="27" fillId="0" borderId="100" xfId="0" applyNumberFormat="1" applyFont="1" applyBorder="1" applyAlignment="1">
      <alignment horizontal="center" vertical="center"/>
    </xf>
    <xf numFmtId="178" fontId="27" fillId="0" borderId="101" xfId="0" applyNumberFormat="1" applyFont="1" applyBorder="1" applyAlignment="1">
      <alignment horizontal="center" vertical="center"/>
    </xf>
    <xf numFmtId="178" fontId="27" fillId="0" borderId="102" xfId="0" applyNumberFormat="1" applyFont="1" applyBorder="1" applyAlignment="1">
      <alignment horizontal="center" vertical="center"/>
    </xf>
    <xf numFmtId="178" fontId="27" fillId="0" borderId="76" xfId="0" applyNumberFormat="1" applyFont="1" applyBorder="1" applyAlignment="1">
      <alignment horizontal="center" vertical="center"/>
    </xf>
    <xf numFmtId="178" fontId="27" fillId="19" borderId="103" xfId="0" applyNumberFormat="1" applyFont="1" applyFill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49" fontId="5" fillId="0" borderId="27" xfId="0" applyNumberFormat="1" applyFont="1" applyBorder="1" applyAlignment="1">
      <alignment vertical="center"/>
    </xf>
    <xf numFmtId="49" fontId="5" fillId="0" borderId="27" xfId="0" applyNumberFormat="1" applyFont="1" applyBorder="1" applyAlignment="1">
      <alignment horizontal="left" vertical="center"/>
    </xf>
    <xf numFmtId="0" fontId="27" fillId="2" borderId="27" xfId="7" applyFont="1" applyBorder="1">
      <alignment vertical="center"/>
    </xf>
    <xf numFmtId="181" fontId="27" fillId="2" borderId="27" xfId="7" applyNumberFormat="1" applyFont="1" applyBorder="1">
      <alignment vertical="center"/>
    </xf>
    <xf numFmtId="0" fontId="27" fillId="16" borderId="27" xfId="7" applyFont="1" applyFill="1" applyBorder="1">
      <alignment vertical="center"/>
    </xf>
    <xf numFmtId="0" fontId="27" fillId="19" borderId="27" xfId="7" applyFont="1" applyFill="1" applyBorder="1">
      <alignment vertical="center"/>
    </xf>
    <xf numFmtId="0" fontId="5" fillId="0" borderId="2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7" fillId="2" borderId="27" xfId="0" applyFont="1" applyFill="1" applyBorder="1" applyAlignment="1">
      <alignment horizontal="center" vertical="center"/>
    </xf>
    <xf numFmtId="189" fontId="27" fillId="2" borderId="76" xfId="0" applyNumberFormat="1" applyFont="1" applyFill="1" applyBorder="1" applyAlignment="1">
      <alignment horizontal="center" vertical="center"/>
    </xf>
    <xf numFmtId="189" fontId="27" fillId="2" borderId="27" xfId="0" applyNumberFormat="1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top"/>
    </xf>
    <xf numFmtId="181" fontId="27" fillId="2" borderId="27" xfId="0" applyNumberFormat="1" applyFont="1" applyFill="1" applyBorder="1" applyAlignment="1">
      <alignment horizontal="right" vertical="center"/>
    </xf>
    <xf numFmtId="178" fontId="27" fillId="2" borderId="27" xfId="0" applyNumberFormat="1" applyFont="1" applyFill="1" applyBorder="1" applyAlignment="1">
      <alignment horizontal="right" vertical="center"/>
    </xf>
    <xf numFmtId="0" fontId="32" fillId="2" borderId="27" xfId="0" applyFont="1" applyFill="1" applyBorder="1" applyAlignment="1">
      <alignment horizontal="center" vertical="center"/>
    </xf>
    <xf numFmtId="181" fontId="27" fillId="16" borderId="27" xfId="0" applyNumberFormat="1" applyFont="1" applyFill="1" applyBorder="1" applyAlignment="1">
      <alignment horizontal="right" vertical="center"/>
    </xf>
    <xf numFmtId="0" fontId="27" fillId="2" borderId="76" xfId="0" applyFont="1" applyFill="1" applyBorder="1" applyAlignment="1">
      <alignment horizontal="center" vertical="center"/>
    </xf>
    <xf numFmtId="178" fontId="27" fillId="16" borderId="104" xfId="0" applyNumberFormat="1" applyFont="1" applyFill="1" applyBorder="1" applyAlignment="1">
      <alignment horizontal="center" vertical="center"/>
    </xf>
    <xf numFmtId="178" fontId="27" fillId="2" borderId="100" xfId="0" applyNumberFormat="1" applyFont="1" applyFill="1" applyBorder="1" applyAlignment="1">
      <alignment horizontal="center" vertical="center"/>
    </xf>
    <xf numFmtId="178" fontId="27" fillId="2" borderId="101" xfId="0" applyNumberFormat="1" applyFont="1" applyFill="1" applyBorder="1" applyAlignment="1">
      <alignment horizontal="center" vertical="center"/>
    </xf>
    <xf numFmtId="178" fontId="27" fillId="2" borderId="99" xfId="0" applyNumberFormat="1" applyFont="1" applyFill="1" applyBorder="1" applyAlignment="1">
      <alignment horizontal="center" vertical="center"/>
    </xf>
    <xf numFmtId="178" fontId="27" fillId="2" borderId="102" xfId="0" applyNumberFormat="1" applyFont="1" applyFill="1" applyBorder="1" applyAlignment="1">
      <alignment horizontal="center" vertical="center"/>
    </xf>
    <xf numFmtId="178" fontId="27" fillId="16" borderId="103" xfId="0" applyNumberFormat="1" applyFont="1" applyFill="1" applyBorder="1" applyAlignment="1">
      <alignment horizontal="center" vertical="center"/>
    </xf>
    <xf numFmtId="178" fontId="27" fillId="2" borderId="76" xfId="0" applyNumberFormat="1" applyFont="1" applyFill="1" applyBorder="1" applyAlignment="1">
      <alignment horizontal="center" vertical="center"/>
    </xf>
    <xf numFmtId="178" fontId="27" fillId="20" borderId="103" xfId="0" applyNumberFormat="1" applyFont="1" applyFill="1" applyBorder="1" applyAlignment="1">
      <alignment horizontal="center" vertical="center"/>
    </xf>
    <xf numFmtId="178" fontId="27" fillId="20" borderId="104" xfId="0" applyNumberFormat="1" applyFont="1" applyFill="1" applyBorder="1" applyAlignment="1">
      <alignment horizontal="center" vertical="center"/>
    </xf>
    <xf numFmtId="178" fontId="27" fillId="20" borderId="27" xfId="0" applyNumberFormat="1" applyFont="1" applyFill="1" applyBorder="1" applyAlignment="1">
      <alignment horizontal="center" vertical="center"/>
    </xf>
    <xf numFmtId="49" fontId="27" fillId="2" borderId="27" xfId="0" applyNumberFormat="1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left" vertical="center"/>
    </xf>
    <xf numFmtId="49" fontId="27" fillId="2" borderId="27" xfId="0" applyNumberFormat="1" applyFont="1" applyFill="1" applyBorder="1" applyAlignment="1">
      <alignment vertical="center"/>
    </xf>
    <xf numFmtId="49" fontId="27" fillId="2" borderId="27" xfId="0" applyNumberFormat="1" applyFont="1" applyFill="1" applyBorder="1" applyAlignment="1">
      <alignment horizontal="left" vertical="center"/>
    </xf>
    <xf numFmtId="0" fontId="27" fillId="2" borderId="27" xfId="7" applyFont="1" applyFill="1" applyBorder="1">
      <alignment vertical="center"/>
    </xf>
    <xf numFmtId="181" fontId="27" fillId="2" borderId="27" xfId="7" applyNumberFormat="1" applyFont="1" applyFill="1" applyBorder="1">
      <alignment vertical="center"/>
    </xf>
    <xf numFmtId="0" fontId="5" fillId="2" borderId="27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27" fillId="2" borderId="76" xfId="0" applyFont="1" applyFill="1" applyBorder="1" applyAlignment="1">
      <alignment horizontal="center" vertical="top"/>
    </xf>
    <xf numFmtId="181" fontId="27" fillId="2" borderId="76" xfId="0" applyNumberFormat="1" applyFont="1" applyFill="1" applyBorder="1" applyAlignment="1">
      <alignment horizontal="right" vertical="center"/>
    </xf>
    <xf numFmtId="49" fontId="5" fillId="2" borderId="27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left" vertical="center"/>
    </xf>
    <xf numFmtId="49" fontId="5" fillId="2" borderId="27" xfId="0" applyNumberFormat="1" applyFont="1" applyFill="1" applyBorder="1" applyAlignment="1">
      <alignment vertical="center"/>
    </xf>
    <xf numFmtId="49" fontId="5" fillId="2" borderId="27" xfId="0" applyNumberFormat="1" applyFont="1" applyFill="1" applyBorder="1" applyAlignment="1">
      <alignment horizontal="left" vertical="center"/>
    </xf>
    <xf numFmtId="178" fontId="27" fillId="16" borderId="105" xfId="0" applyNumberFormat="1" applyFont="1" applyFill="1" applyBorder="1" applyAlignment="1">
      <alignment horizontal="center" vertical="center"/>
    </xf>
    <xf numFmtId="178" fontId="27" fillId="19" borderId="104" xfId="0" applyNumberFormat="1" applyFont="1" applyFill="1" applyBorder="1" applyAlignment="1">
      <alignment horizontal="center" vertical="center"/>
    </xf>
    <xf numFmtId="178" fontId="27" fillId="19" borderId="106" xfId="0" applyNumberFormat="1" applyFont="1" applyFill="1" applyBorder="1" applyAlignment="1">
      <alignment horizontal="center" vertical="center"/>
    </xf>
    <xf numFmtId="178" fontId="27" fillId="20" borderId="105" xfId="0" applyNumberFormat="1" applyFont="1" applyFill="1" applyBorder="1" applyAlignment="1">
      <alignment horizontal="center" vertical="center"/>
    </xf>
    <xf numFmtId="178" fontId="27" fillId="19" borderId="27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07" xfId="0" applyFill="1" applyBorder="1" applyAlignment="1">
      <alignment vertical="center"/>
    </xf>
    <xf numFmtId="0" fontId="0" fillId="2" borderId="107" xfId="0" applyNumberFormat="1" applyFill="1" applyBorder="1" applyAlignment="1">
      <alignment vertical="center"/>
    </xf>
    <xf numFmtId="0" fontId="0" fillId="2" borderId="108" xfId="0" applyNumberFormat="1" applyFill="1" applyBorder="1" applyAlignment="1">
      <alignment vertical="center"/>
    </xf>
    <xf numFmtId="0" fontId="0" fillId="2" borderId="109" xfId="0" applyNumberFormat="1" applyFill="1" applyBorder="1" applyAlignment="1">
      <alignment vertical="center"/>
    </xf>
    <xf numFmtId="178" fontId="0" fillId="2" borderId="0" xfId="0" applyNumberFormat="1" applyFill="1" applyAlignment="1">
      <alignment vertical="center"/>
    </xf>
    <xf numFmtId="0" fontId="6" fillId="2" borderId="0" xfId="0" applyFont="1" applyFill="1" applyAlignment="1">
      <alignment vertical="center"/>
    </xf>
    <xf numFmtId="178" fontId="0" fillId="2" borderId="1" xfId="0" applyNumberFormat="1" applyFill="1" applyBorder="1" applyAlignment="1">
      <alignment vertical="center"/>
    </xf>
    <xf numFmtId="178" fontId="0" fillId="2" borderId="0" xfId="0" applyNumberForma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9" fillId="0" borderId="110" xfId="0" applyFont="1" applyBorder="1" applyAlignment="1">
      <alignment horizontal="center" vertical="top" wrapText="1"/>
    </xf>
    <xf numFmtId="0" fontId="29" fillId="0" borderId="110" xfId="0" applyFont="1" applyBorder="1" applyAlignment="1">
      <alignment horizontal="center" vertical="top"/>
    </xf>
    <xf numFmtId="181" fontId="13" fillId="0" borderId="110" xfId="0" applyNumberFormat="1" applyFont="1" applyBorder="1" applyAlignment="1">
      <alignment horizontal="center" vertical="top" wrapText="1"/>
    </xf>
    <xf numFmtId="178" fontId="13" fillId="0" borderId="110" xfId="0" applyNumberFormat="1" applyFont="1" applyBorder="1" applyAlignment="1">
      <alignment horizontal="center" vertical="top" wrapText="1"/>
    </xf>
    <xf numFmtId="178" fontId="29" fillId="22" borderId="110" xfId="0" applyNumberFormat="1" applyFont="1" applyFill="1" applyBorder="1" applyAlignment="1">
      <alignment horizontal="center" vertical="top" wrapText="1"/>
    </xf>
    <xf numFmtId="0" fontId="32" fillId="0" borderId="110" xfId="0" applyFont="1" applyBorder="1" applyAlignment="1">
      <alignment horizontal="center" vertical="top"/>
    </xf>
    <xf numFmtId="181" fontId="13" fillId="16" borderId="110" xfId="0" applyNumberFormat="1" applyFont="1" applyFill="1" applyBorder="1" applyAlignment="1">
      <alignment horizontal="center" vertical="top" wrapText="1"/>
    </xf>
    <xf numFmtId="178" fontId="13" fillId="20" borderId="110" xfId="0" applyNumberFormat="1" applyFont="1" applyFill="1" applyBorder="1" applyAlignment="1">
      <alignment horizontal="center" vertical="top" wrapText="1"/>
    </xf>
    <xf numFmtId="0" fontId="13" fillId="21" borderId="110" xfId="0" applyFont="1" applyFill="1" applyBorder="1" applyAlignment="1">
      <alignment horizontal="center" vertical="center" textRotation="255"/>
    </xf>
    <xf numFmtId="178" fontId="9" fillId="16" borderId="110" xfId="0" applyNumberFormat="1" applyFont="1" applyFill="1" applyBorder="1" applyAlignment="1">
      <alignment horizontal="center" vertical="top" wrapText="1"/>
    </xf>
    <xf numFmtId="178" fontId="9" fillId="20" borderId="111" xfId="0" applyNumberFormat="1" applyFont="1" applyFill="1" applyBorder="1" applyAlignment="1">
      <alignment horizontal="center" vertical="top" wrapText="1"/>
    </xf>
    <xf numFmtId="178" fontId="9" fillId="20" borderId="112" xfId="0" applyNumberFormat="1" applyFont="1" applyFill="1" applyBorder="1" applyAlignment="1">
      <alignment horizontal="center" vertical="top" wrapText="1"/>
    </xf>
    <xf numFmtId="178" fontId="9" fillId="20" borderId="113" xfId="0" applyNumberFormat="1" applyFont="1" applyFill="1" applyBorder="1" applyAlignment="1">
      <alignment horizontal="center" vertical="top" wrapText="1"/>
    </xf>
    <xf numFmtId="178" fontId="9" fillId="20" borderId="110" xfId="0" applyNumberFormat="1" applyFont="1" applyFill="1" applyBorder="1" applyAlignment="1">
      <alignment horizontal="center" vertical="top" wrapText="1"/>
    </xf>
    <xf numFmtId="49" fontId="27" fillId="0" borderId="110" xfId="0" applyNumberFormat="1" applyFont="1" applyBorder="1" applyAlignment="1">
      <alignment horizontal="center" vertical="top" wrapText="1"/>
    </xf>
    <xf numFmtId="0" fontId="27" fillId="0" borderId="110" xfId="0" applyFont="1" applyBorder="1" applyAlignment="1">
      <alignment horizontal="center" vertical="top"/>
    </xf>
    <xf numFmtId="49" fontId="29" fillId="0" borderId="110" xfId="0" applyNumberFormat="1" applyFont="1" applyBorder="1" applyAlignment="1">
      <alignment horizontal="center" vertical="top" wrapText="1"/>
    </xf>
    <xf numFmtId="181" fontId="29" fillId="0" borderId="110" xfId="0" applyNumberFormat="1" applyFont="1" applyBorder="1" applyAlignment="1">
      <alignment horizontal="center" vertical="top" wrapText="1"/>
    </xf>
    <xf numFmtId="0" fontId="13" fillId="0" borderId="110" xfId="0" applyFont="1" applyBorder="1" applyAlignment="1">
      <alignment horizontal="center" vertical="top" wrapText="1"/>
    </xf>
    <xf numFmtId="0" fontId="16" fillId="0" borderId="110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91" fontId="37" fillId="2" borderId="27" xfId="0" applyNumberFormat="1" applyFont="1" applyFill="1" applyBorder="1" applyAlignment="1">
      <alignment vertical="center"/>
    </xf>
    <xf numFmtId="191" fontId="37" fillId="2" borderId="76" xfId="0" applyNumberFormat="1" applyFont="1" applyFill="1" applyBorder="1" applyAlignment="1">
      <alignment vertical="center"/>
    </xf>
    <xf numFmtId="0" fontId="38" fillId="2" borderId="27" xfId="0" applyFont="1" applyFill="1" applyBorder="1" applyAlignment="1">
      <alignment vertical="center"/>
    </xf>
    <xf numFmtId="178" fontId="37" fillId="2" borderId="21" xfId="0" applyNumberFormat="1" applyFont="1" applyFill="1" applyBorder="1" applyAlignment="1">
      <alignment vertical="center"/>
    </xf>
    <xf numFmtId="0" fontId="37" fillId="2" borderId="76" xfId="0" applyFont="1" applyFill="1" applyBorder="1" applyAlignment="1">
      <alignment horizontal="center" vertical="center"/>
    </xf>
    <xf numFmtId="178" fontId="38" fillId="2" borderId="27" xfId="0" applyNumberFormat="1" applyFont="1" applyFill="1" applyBorder="1" applyAlignment="1">
      <alignment vertical="center"/>
    </xf>
    <xf numFmtId="178" fontId="37" fillId="16" borderId="21" xfId="0" applyNumberFormat="1" applyFont="1" applyFill="1" applyBorder="1" applyAlignment="1">
      <alignment vertical="center"/>
    </xf>
    <xf numFmtId="178" fontId="37" fillId="20" borderId="21" xfId="0" applyNumberFormat="1" applyFont="1" applyFill="1" applyBorder="1" applyAlignment="1">
      <alignment horizontal="center" vertical="center"/>
    </xf>
    <xf numFmtId="178" fontId="37" fillId="16" borderId="27" xfId="0" applyNumberFormat="1" applyFont="1" applyFill="1" applyBorder="1" applyAlignment="1">
      <alignment horizontal="center" vertical="center"/>
    </xf>
    <xf numFmtId="178" fontId="37" fillId="20" borderId="30" xfId="0" applyNumberFormat="1" applyFont="1" applyFill="1" applyBorder="1" applyAlignment="1">
      <alignment horizontal="center" vertical="center"/>
    </xf>
    <xf numFmtId="178" fontId="37" fillId="20" borderId="29" xfId="0" applyNumberFormat="1" applyFont="1" applyFill="1" applyBorder="1" applyAlignment="1">
      <alignment horizontal="center" vertical="center"/>
    </xf>
    <xf numFmtId="178" fontId="37" fillId="2" borderId="76" xfId="0" applyNumberFormat="1" applyFont="1" applyFill="1" applyBorder="1" applyAlignment="1">
      <alignment horizontal="center" vertical="center"/>
    </xf>
    <xf numFmtId="178" fontId="37" fillId="20" borderId="27" xfId="0" applyNumberFormat="1" applyFont="1" applyFill="1" applyBorder="1" applyAlignment="1">
      <alignment horizontal="center" vertical="center"/>
    </xf>
    <xf numFmtId="0" fontId="37" fillId="2" borderId="27" xfId="0" applyFont="1" applyFill="1" applyBorder="1" applyAlignment="1">
      <alignment vertical="center"/>
    </xf>
    <xf numFmtId="178" fontId="37" fillId="2" borderId="27" xfId="0" applyNumberFormat="1" applyFont="1" applyFill="1" applyBorder="1" applyAlignment="1">
      <alignment vertical="center"/>
    </xf>
    <xf numFmtId="0" fontId="37" fillId="2" borderId="74" xfId="0" applyFont="1" applyFill="1" applyBorder="1" applyAlignment="1">
      <alignment horizontal="center" vertical="center"/>
    </xf>
    <xf numFmtId="0" fontId="38" fillId="2" borderId="76" xfId="0" applyFont="1" applyFill="1" applyBorder="1" applyAlignment="1">
      <alignment vertical="center"/>
    </xf>
    <xf numFmtId="0" fontId="37" fillId="2" borderId="21" xfId="0" applyFont="1" applyFill="1" applyBorder="1" applyAlignment="1">
      <alignment horizontal="center" vertical="center"/>
    </xf>
    <xf numFmtId="178" fontId="38" fillId="2" borderId="76" xfId="0" applyNumberFormat="1" applyFont="1" applyFill="1" applyBorder="1" applyAlignment="1">
      <alignment vertical="center"/>
    </xf>
    <xf numFmtId="0" fontId="37" fillId="23" borderId="27" xfId="0" applyFont="1" applyFill="1" applyBorder="1" applyAlignment="1">
      <alignment horizontal="center" vertical="center"/>
    </xf>
    <xf numFmtId="178" fontId="37" fillId="2" borderId="114" xfId="0" applyNumberFormat="1" applyFont="1" applyFill="1" applyBorder="1" applyAlignment="1">
      <alignment horizontal="center" vertical="center"/>
    </xf>
    <xf numFmtId="178" fontId="37" fillId="2" borderId="75" xfId="0" applyNumberFormat="1" applyFont="1" applyFill="1" applyBorder="1" applyAlignment="1">
      <alignment horizontal="center" vertical="center"/>
    </xf>
    <xf numFmtId="49" fontId="39" fillId="2" borderId="27" xfId="0" applyNumberFormat="1" applyFont="1" applyFill="1" applyBorder="1" applyAlignment="1">
      <alignment vertical="center"/>
    </xf>
    <xf numFmtId="0" fontId="39" fillId="2" borderId="27" xfId="0" applyFont="1" applyFill="1" applyBorder="1" applyAlignment="1">
      <alignment vertical="center"/>
    </xf>
    <xf numFmtId="178" fontId="8" fillId="2" borderId="0" xfId="0" applyNumberFormat="1" applyFont="1" applyFill="1" applyAlignment="1">
      <alignment vertical="center"/>
    </xf>
    <xf numFmtId="0" fontId="0" fillId="2" borderId="3" xfId="0" applyFill="1" applyBorder="1" applyAlignment="1">
      <alignment horizontal="left" vertical="center"/>
    </xf>
  </cellXfs>
  <cellStyles count="8">
    <cellStyle name="パーセント" xfId="1" builtinId="5"/>
    <cellStyle name="標準" xfId="0" builtinId="0"/>
    <cellStyle name="標準 11" xfId="4"/>
    <cellStyle name="標準 17" xfId="6"/>
    <cellStyle name="標準 2" xfId="7"/>
    <cellStyle name="標準 2 3 7 4 10 4 2 7 2 2 2 2 2 4 2 2 2 3 2 2 2 2 2 2 2 3 2 3 2 3 2 3 2 2 2 2 3 2 2 4 2 2" xfId="3"/>
    <cellStyle name="標準_13.05.22納入計画表(機器) 2 2" xfId="5"/>
    <cellStyle name="標準_2.1集計 2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_&#25285;&#24403;&#32773;/&#22823;&#27131;/uchida&#24341;&#32153;&#12366;&#36039;&#26009;/&#65334;&#12471;&#12522;&#12540;&#12474;&#12288;&#22411;&#24335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H品番一覧"/>
      <sheetName val="V7structure"/>
      <sheetName val="V8structure"/>
      <sheetName val="V9structure"/>
      <sheetName val="cassette structure"/>
      <sheetName val="V8BHﾛｼﾞｽﾃｨｯｸｽ"/>
      <sheetName val="V8沖電気ﾛｼﾞｽﾃｨｯｸｽ"/>
      <sheetName val="V9BHﾛｼﾞｽﾃｨｯｸｽ"/>
    </sheetNames>
    <sheetDataSet>
      <sheetData sheetId="0"/>
      <sheetData sheetId="1"/>
      <sheetData sheetId="2">
        <row r="2">
          <cell r="C2">
            <v>1</v>
          </cell>
          <cell r="AZ2">
            <v>50</v>
          </cell>
        </row>
        <row r="3">
          <cell r="C3" t="str">
            <v>production</v>
          </cell>
        </row>
        <row r="4">
          <cell r="C4" t="str">
            <v>UNIT No</v>
          </cell>
        </row>
        <row r="5">
          <cell r="C5" t="str">
            <v>UNIT No</v>
          </cell>
          <cell r="AZ5"/>
        </row>
        <row r="6">
          <cell r="C6" t="str">
            <v>unit name</v>
          </cell>
          <cell r="AZ6"/>
        </row>
        <row r="7">
          <cell r="C7" t="str">
            <v>ユニット名</v>
          </cell>
        </row>
        <row r="8">
          <cell r="C8" t="str">
            <v>type</v>
          </cell>
          <cell r="AZ8" t="str">
            <v>LAZ色分け</v>
          </cell>
        </row>
        <row r="9">
          <cell r="C9" t="str">
            <v>VU-LA001</v>
          </cell>
          <cell r="AZ9" t="str">
            <v>オレンジ</v>
          </cell>
        </row>
        <row r="10">
          <cell r="C10" t="str">
            <v>VU-LA002</v>
          </cell>
          <cell r="AZ10" t="str">
            <v>オレンジ</v>
          </cell>
        </row>
        <row r="11">
          <cell r="C11" t="str">
            <v>VU-LA003</v>
          </cell>
          <cell r="AZ11" t="str">
            <v>オレンジ</v>
          </cell>
        </row>
        <row r="12">
          <cell r="C12" t="str">
            <v>VU-LA004</v>
          </cell>
          <cell r="AZ12" t="str">
            <v>オレンジ</v>
          </cell>
        </row>
        <row r="13">
          <cell r="C13" t="str">
            <v>VU-LA005</v>
          </cell>
          <cell r="AZ13" t="str">
            <v>オレンジ</v>
          </cell>
        </row>
        <row r="14">
          <cell r="C14" t="str">
            <v>VU-LA006</v>
          </cell>
          <cell r="AZ14" t="str">
            <v>オレンジ</v>
          </cell>
        </row>
        <row r="15">
          <cell r="C15" t="str">
            <v>VU-LA007</v>
          </cell>
          <cell r="AZ15" t="str">
            <v>青</v>
          </cell>
        </row>
        <row r="16">
          <cell r="C16" t="str">
            <v>VU-LA008</v>
          </cell>
          <cell r="AZ16" t="str">
            <v>オレンジ</v>
          </cell>
        </row>
        <row r="17">
          <cell r="C17" t="str">
            <v>VU-LA009</v>
          </cell>
          <cell r="AZ17" t="str">
            <v>青</v>
          </cell>
        </row>
        <row r="18">
          <cell r="C18" t="str">
            <v>VU-LA010</v>
          </cell>
          <cell r="AZ18" t="str">
            <v>青</v>
          </cell>
        </row>
        <row r="19">
          <cell r="C19" t="str">
            <v>VU-LA011</v>
          </cell>
          <cell r="AZ19" t="str">
            <v>オレンジ</v>
          </cell>
        </row>
        <row r="20">
          <cell r="C20" t="str">
            <v>VU-LA012</v>
          </cell>
          <cell r="AZ20" t="str">
            <v>オレンジ</v>
          </cell>
        </row>
        <row r="21">
          <cell r="C21" t="str">
            <v>VU-LB001</v>
          </cell>
          <cell r="AZ21" t="str">
            <v>オレンジ</v>
          </cell>
        </row>
        <row r="22">
          <cell r="C22" t="str">
            <v>VU-LB002</v>
          </cell>
          <cell r="AZ22" t="str">
            <v>青</v>
          </cell>
        </row>
        <row r="23">
          <cell r="C23" t="str">
            <v>VU-LB003</v>
          </cell>
          <cell r="AZ23" t="str">
            <v>オレンジ</v>
          </cell>
        </row>
        <row r="24">
          <cell r="C24" t="str">
            <v>VU-LB004</v>
          </cell>
          <cell r="AZ24" t="str">
            <v>オレンジ</v>
          </cell>
        </row>
        <row r="25">
          <cell r="C25" t="str">
            <v>VU-LB005</v>
          </cell>
          <cell r="AZ25" t="str">
            <v>オレンジ</v>
          </cell>
        </row>
        <row r="26">
          <cell r="C26" t="str">
            <v>VU-LB006</v>
          </cell>
          <cell r="AZ26" t="str">
            <v>青</v>
          </cell>
        </row>
        <row r="27">
          <cell r="C27" t="str">
            <v>VU-LB101</v>
          </cell>
          <cell r="AZ27" t="str">
            <v>オレンジ</v>
          </cell>
        </row>
        <row r="28">
          <cell r="C28" t="str">
            <v>VU-LB102</v>
          </cell>
          <cell r="AZ28" t="str">
            <v>黄</v>
          </cell>
        </row>
        <row r="29">
          <cell r="C29" t="str">
            <v>VU-LB103</v>
          </cell>
          <cell r="AZ29" t="str">
            <v>オレンジ</v>
          </cell>
        </row>
        <row r="30">
          <cell r="C30" t="str">
            <v>VU-LB104</v>
          </cell>
          <cell r="AZ30" t="str">
            <v>オレンジ</v>
          </cell>
        </row>
        <row r="31">
          <cell r="C31" t="str">
            <v>VU-LB105</v>
          </cell>
          <cell r="AZ31" t="str">
            <v>青</v>
          </cell>
        </row>
        <row r="32">
          <cell r="C32" t="str">
            <v>VU-LB106</v>
          </cell>
          <cell r="AZ32" t="str">
            <v>オレンジ</v>
          </cell>
        </row>
        <row r="33">
          <cell r="C33" t="str">
            <v>VU-LB107</v>
          </cell>
          <cell r="AZ33" t="str">
            <v>オレンジ</v>
          </cell>
        </row>
        <row r="34">
          <cell r="C34" t="str">
            <v>VU-LB108</v>
          </cell>
          <cell r="AZ34" t="str">
            <v>オレンジ</v>
          </cell>
        </row>
        <row r="35">
          <cell r="C35" t="str">
            <v>VU-LB109</v>
          </cell>
          <cell r="AZ35" t="str">
            <v>オレンジ</v>
          </cell>
        </row>
        <row r="36">
          <cell r="C36" t="str">
            <v>VU-LB110</v>
          </cell>
          <cell r="AZ36" t="str">
            <v>紺（白字）</v>
          </cell>
        </row>
        <row r="37">
          <cell r="C37" t="str">
            <v>VU-LB111</v>
          </cell>
          <cell r="AZ37" t="str">
            <v>紺（白字）</v>
          </cell>
        </row>
        <row r="38">
          <cell r="C38" t="str">
            <v>VU-LB112</v>
          </cell>
          <cell r="AZ38" t="str">
            <v>黄</v>
          </cell>
        </row>
        <row r="39">
          <cell r="C39" t="str">
            <v>VU-LC001</v>
          </cell>
          <cell r="AZ39" t="str">
            <v>オレンジ</v>
          </cell>
        </row>
        <row r="40">
          <cell r="C40" t="str">
            <v>VU-LC002</v>
          </cell>
          <cell r="AZ40" t="str">
            <v>青</v>
          </cell>
        </row>
        <row r="41">
          <cell r="C41" t="str">
            <v>VU-LC091</v>
          </cell>
          <cell r="AZ41" t="str">
            <v>紫</v>
          </cell>
        </row>
        <row r="42">
          <cell r="C42" t="str">
            <v>VU-LD001</v>
          </cell>
          <cell r="AZ42" t="str">
            <v>オレンジ</v>
          </cell>
        </row>
        <row r="43">
          <cell r="C43" t="str">
            <v>VU-LD002</v>
          </cell>
          <cell r="AZ43" t="str">
            <v>緑</v>
          </cell>
        </row>
        <row r="44">
          <cell r="C44" t="str">
            <v>VU-LD002(H)</v>
          </cell>
          <cell r="AZ44" t="str">
            <v>緑</v>
          </cell>
        </row>
        <row r="45">
          <cell r="C45" t="str">
            <v>VU-LD003</v>
          </cell>
          <cell r="AZ45" t="str">
            <v>青</v>
          </cell>
        </row>
        <row r="46">
          <cell r="C46" t="str">
            <v>VU-LD004</v>
          </cell>
          <cell r="AZ46" t="str">
            <v>ピンク</v>
          </cell>
        </row>
        <row r="47">
          <cell r="C47" t="str">
            <v>VU-LD091</v>
          </cell>
          <cell r="AZ47" t="str">
            <v>紫</v>
          </cell>
        </row>
        <row r="48">
          <cell r="C48" t="str">
            <v>VU-LD092</v>
          </cell>
          <cell r="AZ48" t="str">
            <v>紫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大槻 隆雄" refreshedDate="46088.652283101852" createdVersion="5" refreshedVersion="5" minRefreshableVersion="3" recordCount="514">
  <cacheSource type="worksheet">
    <worksheetSource ref="A4:CV518" sheet="日程表"/>
  </cacheSource>
  <cacheFields count="100">
    <cacheField name="№" numFmtId="179">
      <sharedItems containsSemiMixedTypes="0" containsString="0" containsNumber="1" containsInteger="1" minValue="1" maxValue="866"/>
    </cacheField>
    <cacheField name="生産計画№" numFmtId="49">
      <sharedItems/>
    </cacheField>
    <cacheField name="客先名" numFmtId="0">
      <sharedItems/>
    </cacheField>
    <cacheField name="駅名" numFmtId="0">
      <sharedItems containsBlank="1"/>
    </cacheField>
    <cacheField name="コーナー" numFmtId="0">
      <sharedItems containsBlank="1"/>
    </cacheField>
    <cacheField name="機種名" numFmtId="0">
      <sharedItems/>
    </cacheField>
    <cacheField name="型式" numFmtId="0">
      <sharedItems/>
    </cacheField>
    <cacheField name="機器品番" numFmtId="0">
      <sharedItems/>
    </cacheField>
    <cacheField name="属性" numFmtId="0">
      <sharedItems/>
    </cacheField>
    <cacheField name="正式_x000a_品番" numFmtId="0">
      <sharedItems containsSemiMixedTypes="0" containsString="0" containsNumber="1" containsInteger="1" minValue="0" maxValue="1"/>
    </cacheField>
    <cacheField name="追加_x000a_仕様" numFmtId="0">
      <sharedItems containsBlank="1"/>
    </cacheField>
    <cacheField name="数量" numFmtId="179">
      <sharedItems containsSemiMixedTypes="0" containsString="0" containsNumber="1" containsInteger="1" minValue="1" maxValue="41"/>
    </cacheField>
    <cacheField name="順序指示_x000a_発行日" numFmtId="178">
      <sharedItems containsNonDate="0" containsDate="1" containsString="0" containsBlank="1" minDate="2025-05-26T00:00:00" maxDate="2026-08-26T00:00:00"/>
    </cacheField>
    <cacheField name="光真ss_x000a_出荷日" numFmtId="178">
      <sharedItems containsSemiMixedTypes="0" containsNonDate="0" containsDate="1" containsString="0" minDate="2026-02-16T00:00:00" maxDate="2027-04-07T00:00:00"/>
    </cacheField>
    <cacheField name="M/C_x000a_着手日" numFmtId="178">
      <sharedItems containsSemiMixedTypes="0" containsNonDate="0" containsDate="1" containsString="0" minDate="2026-02-16T00:00:00" maxDate="2027-04-06T00:00:00"/>
    </cacheField>
    <cacheField name="機器_x000a_ﾘﾘｰｽ日" numFmtId="178">
      <sharedItems containsSemiMixedTypes="0" containsNonDate="0" containsDate="1" containsString="0" minDate="2026-02-16T00:00:00" maxDate="2027-04-07T00:00:00"/>
    </cacheField>
    <cacheField name="実出荷" numFmtId="178">
      <sharedItems containsBlank="1"/>
    </cacheField>
    <cacheField name="KP-No" numFmtId="0">
      <sharedItems containsBlank="1"/>
    </cacheField>
    <cacheField name="BH型式_x000a_TYPE" numFmtId="0">
      <sharedItems/>
    </cacheField>
    <cacheField name="V7ｶｾｯﾄ_x000a_品番" numFmtId="0">
      <sharedItems containsString="0" containsBlank="1" containsNumber="1" containsInteger="1" minValue="0" maxValue="5"/>
    </cacheField>
    <cacheField name="MODEL" numFmtId="0">
      <sharedItems/>
    </cacheField>
    <cacheField name="shipment_x000a_month" numFmtId="0">
      <sharedItems count="15">
        <s v="26/03"/>
        <s v="26/04"/>
        <s v="26/05"/>
        <s v="26/06"/>
        <s v="26/07"/>
        <s v="26/08"/>
        <s v="26/09"/>
        <s v="26/10"/>
        <s v="26/11"/>
        <s v="26/12"/>
        <s v="27/01"/>
        <s v="27/02"/>
        <s v="27/03"/>
        <s v="27/04"/>
        <s v="26/02"/>
      </sharedItems>
    </cacheField>
    <cacheField name="T-No" numFmtId="0">
      <sharedItems containsString="0" containsBlank="1" containsNumber="1" containsInteger="1" minValue="1528" maxValue="21526"/>
    </cacheField>
    <cacheField name="V７号機" numFmtId="0">
      <sharedItems containsNonDate="0" containsString="0" containsBlank="1"/>
    </cacheField>
    <cacheField name="V8-LAZ_x000a_型式" numFmtId="0">
      <sharedItems containsBlank="1"/>
    </cacheField>
    <cacheField name="V8-LAY_x000a_型式" numFmtId="0">
      <sharedItems containsBlank="1"/>
    </cacheField>
    <cacheField name="Z002_x000a_号機" numFmtId="0">
      <sharedItems containsString="0" containsBlank="1" containsNumber="1" containsInteger="1" minValue="882" maxValue="3297"/>
    </cacheField>
    <cacheField name="Z003_x000a_号機" numFmtId="0">
      <sharedItems containsString="0" containsBlank="1" containsNumber="1" containsInteger="1" minValue="650" maxValue="652"/>
    </cacheField>
    <cacheField name="Z004_x000a_号機" numFmtId="0">
      <sharedItems containsString="0" containsBlank="1" containsNumber="1" containsInteger="1" minValue="935" maxValue="1269"/>
    </cacheField>
    <cacheField name="Z101_x000a_号機" numFmtId="0">
      <sharedItems containsString="0" containsBlank="1" containsNumber="1" containsInteger="1" minValue="597" maxValue="8250"/>
    </cacheField>
    <cacheField name="Z102_x000a_号機" numFmtId="0">
      <sharedItems containsString="0" containsBlank="1" containsNumber="1" containsInteger="1" minValue="1257" maxValue="1295"/>
    </cacheField>
    <cacheField name="Z103_x000a_号機" numFmtId="0">
      <sharedItems containsNonDate="0" containsString="0" containsBlank="1"/>
    </cacheField>
    <cacheField name="Z201_x000a_号機" numFmtId="0">
      <sharedItems containsString="0" containsBlank="1" containsNumber="1" containsInteger="1" minValue="3533" maxValue="3549"/>
    </cacheField>
    <cacheField name="備考" numFmtId="0">
      <sharedItems containsNonDate="0" containsString="0" containsBlank="1"/>
    </cacheField>
    <cacheField name="LAA101" numFmtId="180">
      <sharedItems containsSemiMixedTypes="0" containsString="0" containsNumber="1" containsInteger="1" minValue="0" maxValue="1"/>
    </cacheField>
    <cacheField name="LAF001" numFmtId="180">
      <sharedItems containsSemiMixedTypes="0" containsString="0" containsNumber="1" containsInteger="1" minValue="0" maxValue="1"/>
    </cacheField>
    <cacheField name="LAF002" numFmtId="180">
      <sharedItems containsSemiMixedTypes="0" containsString="0" containsNumber="1" containsInteger="1" minValue="0" maxValue="0"/>
    </cacheField>
    <cacheField name="LAF003" numFmtId="180">
      <sharedItems containsSemiMixedTypes="0" containsString="0" containsNumber="1" containsInteger="1" minValue="0" maxValue="0"/>
    </cacheField>
    <cacheField name="LAG001" numFmtId="180">
      <sharedItems containsSemiMixedTypes="0" containsString="0" containsNumber="1" containsInteger="1" minValue="0" maxValue="1"/>
    </cacheField>
    <cacheField name="LAG002" numFmtId="180">
      <sharedItems containsSemiMixedTypes="0" containsString="0" containsNumber="1" containsInteger="1" minValue="0" maxValue="0"/>
    </cacheField>
    <cacheField name="LAE101" numFmtId="180">
      <sharedItems containsSemiMixedTypes="0" containsString="0" containsNumber="1" containsInteger="1" minValue="0" maxValue="1"/>
    </cacheField>
    <cacheField name="LAE102" numFmtId="180">
      <sharedItems containsSemiMixedTypes="0" containsString="0" containsNumber="1" containsInteger="1" minValue="0" maxValue="1"/>
    </cacheField>
    <cacheField name="LAE201" numFmtId="180">
      <sharedItems containsSemiMixedTypes="0" containsString="0" containsNumber="1" containsInteger="1" minValue="0" maxValue="1"/>
    </cacheField>
    <cacheField name="LBL001" numFmtId="180">
      <sharedItems containsSemiMixedTypes="0" containsString="0" containsNumber="1" containsInteger="1" minValue="0" maxValue="1"/>
    </cacheField>
    <cacheField name="LBL002" numFmtId="180">
      <sharedItems containsSemiMixedTypes="0" containsString="0" containsNumber="1" containsInteger="1" minValue="0" maxValue="1"/>
    </cacheField>
    <cacheField name="LAL001" numFmtId="180">
      <sharedItems containsSemiMixedTypes="0" containsString="0" containsNumber="1" containsInteger="1" minValue="0" maxValue="1"/>
    </cacheField>
    <cacheField name="LAN001" numFmtId="180">
      <sharedItems containsSemiMixedTypes="0" containsString="0" containsNumber="1" containsInteger="1" minValue="0" maxValue="1"/>
    </cacheField>
    <cacheField name="LAN002" numFmtId="180">
      <sharedItems containsSemiMixedTypes="0" containsString="0" containsNumber="1" containsInteger="1" minValue="0" maxValue="0"/>
    </cacheField>
    <cacheField name="LCN001" numFmtId="180">
      <sharedItems containsSemiMixedTypes="0" containsString="0" containsNumber="1" containsInteger="1" minValue="0" maxValue="1"/>
    </cacheField>
    <cacheField name="LAC001" numFmtId="180">
      <sharedItems containsSemiMixedTypes="0" containsString="0" containsNumber="1" containsInteger="1" minValue="0" maxValue="1"/>
    </cacheField>
    <cacheField name="LAC002" numFmtId="180">
      <sharedItems containsSemiMixedTypes="0" containsString="0" containsNumber="1" containsInteger="1" minValue="0" maxValue="0"/>
    </cacheField>
    <cacheField name="LCC001" numFmtId="180">
      <sharedItems containsSemiMixedTypes="0" containsString="0" containsNumber="1" containsInteger="1" minValue="0" maxValue="1"/>
    </cacheField>
    <cacheField name="LCC002" numFmtId="180">
      <sharedItems containsSemiMixedTypes="0" containsString="0" containsNumber="1" containsInteger="1" minValue="0" maxValue="1"/>
    </cacheField>
    <cacheField name="LAD001" numFmtId="180">
      <sharedItems containsSemiMixedTypes="0" containsString="0" containsNumber="1" containsInteger="1" minValue="0" maxValue="1"/>
    </cacheField>
    <cacheField name="LAD002" numFmtId="180">
      <sharedItems containsSemiMixedTypes="0" containsString="0" containsNumber="1" containsInteger="1" minValue="0" maxValue="0"/>
    </cacheField>
    <cacheField name="LCD001" numFmtId="180">
      <sharedItems containsSemiMixedTypes="0" containsString="0" containsNumber="1" containsInteger="1" minValue="0" maxValue="1"/>
    </cacheField>
    <cacheField name="LCD002" numFmtId="180">
      <sharedItems containsSemiMixedTypes="0" containsString="0" containsNumber="1" containsInteger="1" minValue="0" maxValue="1"/>
    </cacheField>
    <cacheField name="LAH001" numFmtId="180">
      <sharedItems containsSemiMixedTypes="0" containsString="0" containsNumber="1" containsInteger="1" minValue="0" maxValue="1"/>
    </cacheField>
    <cacheField name="LAA001" numFmtId="180">
      <sharedItems containsSemiMixedTypes="0" containsString="0" containsNumber="1" containsInteger="1" minValue="0" maxValue="1"/>
    </cacheField>
    <cacheField name="LAF0012" numFmtId="180">
      <sharedItems containsSemiMixedTypes="0" containsString="0" containsNumber="1" containsInteger="1" minValue="0" maxValue="1"/>
    </cacheField>
    <cacheField name="LAG0012" numFmtId="180">
      <sharedItems containsSemiMixedTypes="0" containsString="0" containsNumber="1" containsInteger="1" minValue="0" maxValue="1"/>
    </cacheField>
    <cacheField name="LAE001" numFmtId="180">
      <sharedItems containsSemiMixedTypes="0" containsString="0" containsNumber="1" containsInteger="1" minValue="0" maxValue="1"/>
    </cacheField>
    <cacheField name="LAL0012" numFmtId="180">
      <sharedItems containsSemiMixedTypes="0" containsString="0" containsNumber="1" containsInteger="1" minValue="0" maxValue="1"/>
    </cacheField>
    <cacheField name="LAN0012" numFmtId="180">
      <sharedItems containsSemiMixedTypes="0" containsString="0" containsNumber="1" containsInteger="1" minValue="0" maxValue="1"/>
    </cacheField>
    <cacheField name="LAC0012" numFmtId="180">
      <sharedItems containsSemiMixedTypes="0" containsString="0" containsNumber="1" containsInteger="1" minValue="0" maxValue="1"/>
    </cacheField>
    <cacheField name="LAD0012" numFmtId="180">
      <sharedItems containsSemiMixedTypes="0" containsString="0" containsNumber="1" containsInteger="1" minValue="0" maxValue="1"/>
    </cacheField>
    <cacheField name="LAH0012" numFmtId="180">
      <sharedItems containsSemiMixedTypes="0" containsString="0" containsNumber="1" containsInteger="1" minValue="0" maxValue="1"/>
    </cacheField>
    <cacheField name="LAA101Q" numFmtId="180">
      <sharedItems containsSemiMixedTypes="0" containsString="0" containsNumber="1" containsInteger="1" minValue="0" maxValue="35"/>
    </cacheField>
    <cacheField name="LAF001Q" numFmtId="180">
      <sharedItems containsSemiMixedTypes="0" containsString="0" containsNumber="1" containsInteger="1" minValue="0" maxValue="35"/>
    </cacheField>
    <cacheField name="LAF002Q" numFmtId="180">
      <sharedItems containsSemiMixedTypes="0" containsString="0" containsNumber="1" containsInteger="1" minValue="0" maxValue="0"/>
    </cacheField>
    <cacheField name="LAF003Q" numFmtId="180">
      <sharedItems containsSemiMixedTypes="0" containsString="0" containsNumber="1" containsInteger="1" minValue="0" maxValue="0"/>
    </cacheField>
    <cacheField name="LAG001Q" numFmtId="180">
      <sharedItems containsSemiMixedTypes="0" containsString="0" containsNumber="1" containsInteger="1" minValue="0" maxValue="35"/>
    </cacheField>
    <cacheField name="LAG002Q" numFmtId="180">
      <sharedItems containsSemiMixedTypes="0" containsString="0" containsNumber="1" containsInteger="1" minValue="0" maxValue="0"/>
    </cacheField>
    <cacheField name="LAE101Q" numFmtId="180">
      <sharedItems containsSemiMixedTypes="0" containsString="0" containsNumber="1" containsInteger="1" minValue="0" maxValue="35"/>
    </cacheField>
    <cacheField name="LAE102Q" numFmtId="180">
      <sharedItems containsSemiMixedTypes="0" containsString="0" containsNumber="1" containsInteger="1" minValue="0" maxValue="3"/>
    </cacheField>
    <cacheField name="LAE201Q" numFmtId="180">
      <sharedItems containsSemiMixedTypes="0" containsString="0" containsNumber="1" containsInteger="1" minValue="0" maxValue="1"/>
    </cacheField>
    <cacheField name="LBL001Q" numFmtId="180">
      <sharedItems containsSemiMixedTypes="0" containsString="0" containsNumber="1" containsInteger="1" minValue="0" maxValue="1"/>
    </cacheField>
    <cacheField name="LBL002Q" numFmtId="180">
      <sharedItems containsSemiMixedTypes="0" containsString="0" containsNumber="1" containsInteger="1" minValue="0" maxValue="25"/>
    </cacheField>
    <cacheField name="LAL001Q" numFmtId="180">
      <sharedItems containsSemiMixedTypes="0" containsString="0" containsNumber="1" containsInteger="1" minValue="0" maxValue="35"/>
    </cacheField>
    <cacheField name="LAN001Q" numFmtId="180">
      <sharedItems containsSemiMixedTypes="0" containsString="0" containsNumber="1" containsInteger="1" minValue="0" maxValue="35"/>
    </cacheField>
    <cacheField name="LAN002Q" numFmtId="180">
      <sharedItems containsSemiMixedTypes="0" containsString="0" containsNumber="1" containsInteger="1" minValue="0" maxValue="0"/>
    </cacheField>
    <cacheField name="LCN001Q" numFmtId="180">
      <sharedItems containsSemiMixedTypes="0" containsString="0" containsNumber="1" containsInteger="1" minValue="0" maxValue="14"/>
    </cacheField>
    <cacheField name="LAC001Q" numFmtId="180">
      <sharedItems containsSemiMixedTypes="0" containsString="0" containsNumber="1" containsInteger="1" minValue="0" maxValue="35"/>
    </cacheField>
    <cacheField name="LAC002Q" numFmtId="180">
      <sharedItems containsSemiMixedTypes="0" containsString="0" containsNumber="1" containsInteger="1" minValue="0" maxValue="0"/>
    </cacheField>
    <cacheField name="LCC001Q" numFmtId="180">
      <sharedItems containsSemiMixedTypes="0" containsString="0" containsNumber="1" containsInteger="1" minValue="0" maxValue="17"/>
    </cacheField>
    <cacheField name="LCC002Q" numFmtId="180">
      <sharedItems containsSemiMixedTypes="0" containsString="0" containsNumber="1" containsInteger="1" minValue="0" maxValue="14"/>
    </cacheField>
    <cacheField name="LAD001Q" numFmtId="180">
      <sharedItems containsSemiMixedTypes="0" containsString="0" containsNumber="1" containsInteger="1" minValue="0" maxValue="35"/>
    </cacheField>
    <cacheField name="LAD002Q" numFmtId="180">
      <sharedItems containsSemiMixedTypes="0" containsString="0" containsNumber="1" containsInteger="1" minValue="0" maxValue="0"/>
    </cacheField>
    <cacheField name="LCD001Q" numFmtId="180">
      <sharedItems containsSemiMixedTypes="0" containsString="0" containsNumber="1" containsInteger="1" minValue="0" maxValue="17"/>
    </cacheField>
    <cacheField name="LCD002Q" numFmtId="180">
      <sharedItems containsSemiMixedTypes="0" containsString="0" containsNumber="1" containsInteger="1" minValue="0" maxValue="14"/>
    </cacheField>
    <cacheField name="LAH001Q" numFmtId="180">
      <sharedItems containsSemiMixedTypes="0" containsString="0" containsNumber="1" containsInteger="1" minValue="0" maxValue="35"/>
    </cacheField>
    <cacheField name="新LAA001Q" numFmtId="180">
      <sharedItems containsSemiMixedTypes="0" containsString="0" containsNumber="1" containsInteger="1" minValue="0" maxValue="41"/>
    </cacheField>
    <cacheField name="新LAＦ001Q" numFmtId="180">
      <sharedItems containsSemiMixedTypes="0" containsString="0" containsNumber="1" containsInteger="1" minValue="0" maxValue="41"/>
    </cacheField>
    <cacheField name="新LAＧ001Q" numFmtId="180">
      <sharedItems containsSemiMixedTypes="0" containsString="0" containsNumber="1" containsInteger="1" minValue="0" maxValue="41"/>
    </cacheField>
    <cacheField name="新LAＥ001Q" numFmtId="180">
      <sharedItems containsSemiMixedTypes="0" containsString="0" containsNumber="1" containsInteger="1" minValue="0" maxValue="41"/>
    </cacheField>
    <cacheField name="新LAL001Q" numFmtId="180">
      <sharedItems containsSemiMixedTypes="0" containsString="0" containsNumber="1" containsInteger="1" minValue="0" maxValue="41"/>
    </cacheField>
    <cacheField name="新LAN001Q" numFmtId="180">
      <sharedItems containsSemiMixedTypes="0" containsString="0" containsNumber="1" containsInteger="1" minValue="0" maxValue="41"/>
    </cacheField>
    <cacheField name="新LAC001Q" numFmtId="180">
      <sharedItems containsSemiMixedTypes="0" containsString="0" containsNumber="1" containsInteger="1" minValue="0" maxValue="41"/>
    </cacheField>
    <cacheField name="新LAD001Q" numFmtId="180">
      <sharedItems containsSemiMixedTypes="0" containsString="0" containsNumber="1" containsInteger="1" minValue="0" maxValue="41"/>
    </cacheField>
    <cacheField name="新LAH001Q" numFmtId="180">
      <sharedItems containsSemiMixedTypes="0" containsString="0" containsNumber="1" containsInteger="1" minValue="0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4">
  <r>
    <n v="48"/>
    <s v="000398704"/>
    <s v="N社（Ｎ）"/>
    <m/>
    <s v="VU-LA007"/>
    <s v="V8-4BH"/>
    <s v="VU-LA007"/>
    <s v="3251849-9"/>
    <s v="単体"/>
    <n v="1"/>
    <m/>
    <n v="1"/>
    <d v="2026-02-19T00:00:00"/>
    <d v="2026-03-04T00:00:00"/>
    <d v="2026-03-03T00:00:00"/>
    <d v="2026-03-03T00:00:00"/>
    <m/>
    <s v="MC-52081"/>
    <s v="VU-LA007"/>
    <m/>
    <s v="V8"/>
    <x v="0"/>
    <n v="21376"/>
    <m/>
    <s v="LAZ002"/>
    <s v="LAY002"/>
    <n v="322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4"/>
    <s v="000398707"/>
    <s v="N社（Ｎ）"/>
    <m/>
    <s v="VU-LA007"/>
    <s v="V8-4BH"/>
    <s v="VU-LA007"/>
    <s v="3251849-9"/>
    <s v="単体"/>
    <n v="1"/>
    <m/>
    <n v="1"/>
    <d v="2026-02-20T00:00:00"/>
    <d v="2026-03-05T00:00:00"/>
    <d v="2026-03-04T00:00:00"/>
    <d v="2026-03-04T00:00:00"/>
    <m/>
    <s v="MC-52088"/>
    <s v="VU-LA007"/>
    <m/>
    <s v="V8"/>
    <x v="0"/>
    <n v="21377"/>
    <m/>
    <s v="LAZ002"/>
    <s v="LAY002"/>
    <n v="322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9"/>
    <s v="000398709"/>
    <s v="N社（Ｎ）"/>
    <m/>
    <s v="VU-LA007"/>
    <s v="V8-4BH"/>
    <s v="VU-LA007"/>
    <s v="3251849-9"/>
    <s v="単体"/>
    <n v="1"/>
    <m/>
    <n v="1"/>
    <d v="2026-02-24T00:00:00"/>
    <d v="2026-03-06T00:00:00"/>
    <d v="2026-03-05T00:00:00"/>
    <d v="2026-03-05T00:00:00"/>
    <m/>
    <s v="MC-52095"/>
    <s v="VU-LA007"/>
    <m/>
    <s v="V8"/>
    <x v="0"/>
    <n v="21378"/>
    <m/>
    <s v="LAZ002"/>
    <s v="LAY002"/>
    <n v="322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65"/>
    <s v="000398706"/>
    <s v="N社（Ｎ）"/>
    <m/>
    <s v="VU-LA007"/>
    <s v="V8-4BH"/>
    <s v="VU-LA007"/>
    <s v="3251849-9"/>
    <s v="単体"/>
    <n v="1"/>
    <m/>
    <n v="1"/>
    <d v="2026-02-25T00:00:00"/>
    <d v="2026-03-09T00:00:00"/>
    <d v="2026-03-06T00:00:00"/>
    <d v="2026-03-06T00:00:00"/>
    <m/>
    <s v="MC-52102"/>
    <s v="VU-LA007"/>
    <m/>
    <s v="V8"/>
    <x v="0"/>
    <n v="21379"/>
    <m/>
    <s v="LAZ002"/>
    <s v="LAY002"/>
    <n v="322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67"/>
    <s v="000389162"/>
    <s v="N社（Ｎ）"/>
    <m/>
    <s v="VU-LA007"/>
    <s v="V8-4BH"/>
    <s v="VU-LA007"/>
    <s v="3251849-9"/>
    <s v="単体"/>
    <n v="1"/>
    <m/>
    <n v="1"/>
    <d v="2026-02-26T00:00:00"/>
    <d v="2026-03-10T00:00:00"/>
    <d v="2026-03-09T00:00:00"/>
    <d v="2026-03-09T00:00:00"/>
    <m/>
    <s v="MC-52154"/>
    <s v="VU-LA007"/>
    <m/>
    <s v="V8"/>
    <x v="0"/>
    <n v="21380"/>
    <m/>
    <s v="LAZ002"/>
    <s v="LAY002"/>
    <n v="322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69"/>
    <s v="000398705"/>
    <s v="N社（Ｎ）"/>
    <m/>
    <s v="VU-LA007"/>
    <s v="V8-4BH"/>
    <s v="VU-LA007"/>
    <s v="3251849-9"/>
    <s v="単体"/>
    <n v="1"/>
    <m/>
    <n v="1"/>
    <d v="2026-02-27T00:00:00"/>
    <d v="2026-03-11T00:00:00"/>
    <d v="2026-03-10T00:00:00"/>
    <d v="2026-03-10T00:00:00"/>
    <m/>
    <s v="MC-52157"/>
    <s v="VU-LA007"/>
    <m/>
    <s v="V8"/>
    <x v="0"/>
    <n v="21381"/>
    <m/>
    <s v="LAZ002"/>
    <s v="LAY002"/>
    <n v="322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1"/>
    <s v="000397524"/>
    <s v="JREM"/>
    <s v="昭和島駅"/>
    <s v="待合室"/>
    <s v="東モノEX20総（V）"/>
    <s v="3S2EU-KRP-1002"/>
    <s v="5833406-0"/>
    <s v="機器"/>
    <n v="1"/>
    <s v="スカート"/>
    <n v="1"/>
    <d v="2026-02-27T00:00:00"/>
    <d v="2026-03-11T00:00:00"/>
    <d v="2026-03-10T00:00:00"/>
    <d v="2026-03-13T00:00:00"/>
    <m/>
    <s v="VV-26841"/>
    <s v="VU-LD091"/>
    <m/>
    <s v="V8"/>
    <x v="0"/>
    <n v="21382"/>
    <m/>
    <s v="LAZ201"/>
    <s v="LAY001"/>
    <m/>
    <m/>
    <m/>
    <m/>
    <m/>
    <m/>
    <n v="3533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70"/>
    <s v="000398708"/>
    <s v="N社（Ｎ）"/>
    <m/>
    <s v="VU-LA007"/>
    <s v="V8-4BH"/>
    <s v="VU-LA007"/>
    <s v="3251849-9"/>
    <s v="単体"/>
    <n v="1"/>
    <m/>
    <n v="1"/>
    <d v="2026-03-02T00:00:00"/>
    <d v="2026-03-12T00:00:00"/>
    <d v="2026-03-11T00:00:00"/>
    <d v="2026-03-11T00:00:00"/>
    <m/>
    <s v="MC-52164"/>
    <s v="VU-LA007"/>
    <m/>
    <s v="V8"/>
    <x v="0"/>
    <n v="21383"/>
    <m/>
    <s v="LAZ002"/>
    <s v="LAY002"/>
    <n v="322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2"/>
    <s v="000397525"/>
    <s v="JREM"/>
    <s v="整備場"/>
    <s v="本屋"/>
    <s v="東モノEX20総（V）"/>
    <s v="3S2EU-KRP-1001"/>
    <s v="5833401-9"/>
    <s v="機器"/>
    <n v="1"/>
    <s v="回転台"/>
    <n v="1"/>
    <d v="2026-03-02T00:00:00"/>
    <d v="2026-03-12T00:00:00"/>
    <d v="2026-03-11T00:00:00"/>
    <d v="2026-03-16T00:00:00"/>
    <m/>
    <s v="VV-26843"/>
    <s v="VU-LD091"/>
    <m/>
    <s v="V8"/>
    <x v="0"/>
    <n v="21384"/>
    <m/>
    <s v="LAZ201"/>
    <s v="LAY001"/>
    <m/>
    <m/>
    <m/>
    <m/>
    <m/>
    <m/>
    <n v="3534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74"/>
    <s v="000397523"/>
    <s v="JREM"/>
    <s v="大井競馬場前"/>
    <m/>
    <s v="東モノEX20総（V）"/>
    <s v="3S2EU-KRP-1002"/>
    <s v="5833406-0"/>
    <s v="機器"/>
    <n v="1"/>
    <s v="スカート"/>
    <n v="1"/>
    <d v="2026-03-04T00:00:00"/>
    <d v="2026-03-16T00:00:00"/>
    <d v="2026-03-13T00:00:00"/>
    <d v="2026-03-18T00:00:00"/>
    <m/>
    <s v="VV-26846"/>
    <s v="VU-LD091"/>
    <m/>
    <s v="V8"/>
    <x v="0"/>
    <n v="21385"/>
    <m/>
    <s v="LAZ201"/>
    <s v="LAY001"/>
    <m/>
    <m/>
    <m/>
    <m/>
    <m/>
    <m/>
    <n v="3535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73"/>
    <s v="000390898"/>
    <s v="JR西"/>
    <s v="南田辺"/>
    <m/>
    <s v="V8-4BH"/>
    <s v="VU-LB112"/>
    <s v="5613530-2"/>
    <s v="単体"/>
    <n v="0"/>
    <s v="M社クロス用BH"/>
    <n v="1"/>
    <d v="2026-03-06T00:00:00"/>
    <d v="2026-03-18T00:00:00"/>
    <d v="2026-03-17T00:00:00"/>
    <d v="2026-03-17T00:00:00"/>
    <m/>
    <s v="MC-52188"/>
    <s v="VU-LB112"/>
    <m/>
    <s v="V8"/>
    <x v="0"/>
    <n v="21386"/>
    <m/>
    <s v="LAZ102"/>
    <s v="LAY001"/>
    <m/>
    <m/>
    <m/>
    <m/>
    <n v="125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8"/>
    <s v="000389155"/>
    <s v="JREM"/>
    <s v="流通センター"/>
    <s v="本屋"/>
    <s v="東モノEX20総（V）"/>
    <s v="3S2EU-KRP-0001"/>
    <s v="5821604-0"/>
    <s v="機器"/>
    <n v="1"/>
    <s v="はめこみ"/>
    <n v="1"/>
    <d v="2026-03-06T00:00:00"/>
    <d v="2026-03-18T00:00:00"/>
    <d v="2026-03-17T00:00:00"/>
    <d v="2026-03-23T00:00:00"/>
    <m/>
    <s v="VV-26849"/>
    <s v="VU-LD091"/>
    <m/>
    <s v="V8"/>
    <x v="0"/>
    <n v="21387"/>
    <m/>
    <s v="LAZ201"/>
    <s v="LAY001"/>
    <m/>
    <m/>
    <m/>
    <m/>
    <m/>
    <m/>
    <n v="3536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75"/>
    <s v="000390886"/>
    <s v="JR西"/>
    <s v="富木"/>
    <s v="西口"/>
    <s v="V8-4BH"/>
    <s v="VU-LB112"/>
    <s v="5613530-2"/>
    <s v="単体"/>
    <n v="0"/>
    <s v="M社クロス用BH"/>
    <n v="1"/>
    <d v="2026-03-09T00:00:00"/>
    <d v="2026-03-19T00:00:00"/>
    <d v="2026-03-18T00:00:00"/>
    <d v="2026-03-18T00:00:00"/>
    <m/>
    <m/>
    <s v="VU-LB112"/>
    <m/>
    <s v="V8"/>
    <x v="0"/>
    <n v="21388"/>
    <m/>
    <s v="LAZ102"/>
    <s v="LAY001"/>
    <m/>
    <m/>
    <m/>
    <m/>
    <n v="125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6"/>
    <s v="000390892"/>
    <s v="JR西"/>
    <s v="富木"/>
    <s v="東口"/>
    <s v="V8-4BH"/>
    <s v="VU-LB112"/>
    <s v="5613530-2"/>
    <s v="単体"/>
    <n v="0"/>
    <s v="M社クロス用BH"/>
    <n v="1"/>
    <d v="2026-03-10T00:00:00"/>
    <d v="2026-03-23T00:00:00"/>
    <d v="2026-03-19T00:00:00"/>
    <d v="2026-03-19T00:00:00"/>
    <m/>
    <m/>
    <s v="VU-LB112"/>
    <m/>
    <s v="V8"/>
    <x v="0"/>
    <n v="21389"/>
    <m/>
    <s v="LAZ102"/>
    <s v="LAY001"/>
    <m/>
    <m/>
    <m/>
    <m/>
    <n v="125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9"/>
    <s v="000390904"/>
    <s v="JR西"/>
    <s v="浅香"/>
    <m/>
    <s v="V8-4BH"/>
    <s v="VU-LB112"/>
    <s v="5613530-2"/>
    <s v="単体"/>
    <n v="0"/>
    <s v="M社クロス用BH"/>
    <n v="1"/>
    <d v="2026-03-11T00:00:00"/>
    <d v="2026-03-24T00:00:00"/>
    <d v="2026-03-23T00:00:00"/>
    <d v="2026-03-23T00:00:00"/>
    <m/>
    <m/>
    <s v="VU-LB112"/>
    <m/>
    <s v="V8"/>
    <x v="0"/>
    <n v="21390"/>
    <m/>
    <s v="LAZ102"/>
    <s v="LAY001"/>
    <m/>
    <m/>
    <m/>
    <m/>
    <n v="126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80"/>
    <s v="000394157"/>
    <s v="JR西"/>
    <s v="紀三井寺"/>
    <s v="西口"/>
    <s v="V8-4BH"/>
    <s v="VU-LB112"/>
    <s v="5613530-2"/>
    <s v="単体"/>
    <n v="0"/>
    <s v="M社クロス用BH"/>
    <n v="1"/>
    <d v="2026-03-12T00:00:00"/>
    <d v="2026-03-25T00:00:00"/>
    <d v="2026-03-24T00:00:00"/>
    <d v="2026-03-24T00:00:00"/>
    <m/>
    <m/>
    <s v="VU-LB112"/>
    <m/>
    <s v="V8"/>
    <x v="0"/>
    <n v="21391"/>
    <m/>
    <s v="LAZ102"/>
    <s v="LAY001"/>
    <m/>
    <m/>
    <m/>
    <m/>
    <n v="126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83"/>
    <s v="000393688"/>
    <s v="JREM"/>
    <s v="羽田空港第３ターミナル"/>
    <s v="３Ｆ改札"/>
    <s v="東モノEX20総（V）"/>
    <s v="3S2EU-KRP-0001"/>
    <s v="5821604-0"/>
    <s v="機器"/>
    <n v="1"/>
    <s v="はめこみ"/>
    <n v="1"/>
    <d v="2026-03-13T00:00:00"/>
    <d v="2026-04-02T00:00:00"/>
    <d v="2026-04-01T00:00:00"/>
    <d v="2026-04-06T00:00:00"/>
    <m/>
    <m/>
    <s v="VU-LD091"/>
    <m/>
    <s v="V8"/>
    <x v="1"/>
    <n v="21392"/>
    <m/>
    <s v="LAZ201"/>
    <s v="LAY001"/>
    <m/>
    <m/>
    <m/>
    <m/>
    <m/>
    <m/>
    <n v="3537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84"/>
    <s v="000397526"/>
    <s v="JREM"/>
    <s v="羽田空港第1ターミナル"/>
    <s v="南"/>
    <s v="東モノEX20総（V）"/>
    <s v="3S2EU-KRP-0001"/>
    <s v="5821604-0"/>
    <s v="機器"/>
    <n v="1"/>
    <s v="はめこみ"/>
    <n v="1"/>
    <d v="2026-03-16T00:00:00"/>
    <d v="2026-04-03T00:00:00"/>
    <d v="2026-04-02T00:00:00"/>
    <d v="2026-04-07T00:00:00"/>
    <m/>
    <m/>
    <s v="VU-LD091"/>
    <m/>
    <s v="V8"/>
    <x v="1"/>
    <n v="21393"/>
    <m/>
    <s v="LAZ201"/>
    <s v="LAY001"/>
    <m/>
    <m/>
    <m/>
    <m/>
    <m/>
    <m/>
    <n v="3538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86"/>
    <s v="000397527"/>
    <s v="JREM"/>
    <s v="羽田空港第1ターミナル"/>
    <s v="北"/>
    <s v="東モノEX20総（V）"/>
    <s v="3S2EU-KRP-0001"/>
    <s v="5821604-0"/>
    <s v="機器"/>
    <n v="1"/>
    <s v="はめこみ"/>
    <n v="1"/>
    <d v="2026-03-17T00:00:00"/>
    <d v="2026-04-06T00:00:00"/>
    <d v="2026-04-03T00:00:00"/>
    <d v="2026-04-08T00:00:00"/>
    <m/>
    <m/>
    <s v="VU-LD091"/>
    <m/>
    <s v="V8"/>
    <x v="1"/>
    <n v="21394"/>
    <m/>
    <s v="LAZ201"/>
    <s v="LAY001"/>
    <m/>
    <m/>
    <m/>
    <m/>
    <m/>
    <m/>
    <n v="3539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94"/>
    <s v="000397529"/>
    <s v="JREM"/>
    <s v="羽田空港第2ターミナル"/>
    <s v="南"/>
    <s v="東モノEX20総（V）"/>
    <s v="3S2EU-KRP-0001"/>
    <s v="5821604-0"/>
    <s v="機器"/>
    <n v="1"/>
    <s v="はめこみ"/>
    <n v="1"/>
    <d v="2026-03-31T00:00:00"/>
    <d v="2026-04-15T00:00:00"/>
    <d v="2026-04-14T00:00:00"/>
    <d v="2026-04-17T00:00:00"/>
    <m/>
    <m/>
    <s v="VU-LD091"/>
    <m/>
    <s v="V8"/>
    <x v="1"/>
    <n v="21395"/>
    <m/>
    <s v="LAZ201"/>
    <s v="LAY001"/>
    <m/>
    <m/>
    <m/>
    <m/>
    <m/>
    <m/>
    <n v="3540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88"/>
    <s v="000394163"/>
    <s v="JR西"/>
    <s v="新家"/>
    <s v="西口"/>
    <s v="V8-4BH"/>
    <s v="VU-LB112"/>
    <s v="5613530-2"/>
    <s v="単体"/>
    <n v="0"/>
    <s v="M社クロス用BH"/>
    <n v="1"/>
    <d v="2026-04-06T00:00:00"/>
    <d v="2026-04-16T00:00:00"/>
    <d v="2026-04-15T00:00:00"/>
    <d v="2026-04-15T00:00:00"/>
    <m/>
    <m/>
    <s v="VU-LB112"/>
    <m/>
    <s v="V8"/>
    <x v="1"/>
    <n v="21396"/>
    <m/>
    <s v="LAZ102"/>
    <s v="LAY001"/>
    <m/>
    <m/>
    <m/>
    <m/>
    <n v="126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91"/>
    <s v="000394169"/>
    <s v="JR西"/>
    <s v="新家"/>
    <s v="東口"/>
    <s v="V8-4BH"/>
    <s v="VU-LB112"/>
    <s v="5613530-2"/>
    <s v="単体"/>
    <n v="0"/>
    <s v="M社クロス用BH"/>
    <n v="1"/>
    <d v="2026-04-07T00:00:00"/>
    <d v="2026-04-17T00:00:00"/>
    <d v="2026-04-16T00:00:00"/>
    <d v="2026-04-16T00:00:00"/>
    <m/>
    <m/>
    <s v="VU-LB112"/>
    <m/>
    <s v="V8"/>
    <x v="1"/>
    <n v="21397"/>
    <m/>
    <s v="LAZ102"/>
    <s v="LAY001"/>
    <m/>
    <m/>
    <m/>
    <m/>
    <n v="126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97"/>
    <s v="000397528"/>
    <s v="JREM"/>
    <s v="羽田空港第2ターミナル"/>
    <s v="北"/>
    <s v="東モノEX20総（V）"/>
    <s v="3S2EU-KRP-0001"/>
    <s v="5821604-0"/>
    <s v="機器"/>
    <n v="1"/>
    <s v="はめこみ"/>
    <n v="1"/>
    <d v="2026-04-02T00:00:00"/>
    <d v="2026-04-17T00:00:00"/>
    <d v="2026-04-16T00:00:00"/>
    <d v="2026-04-20T00:00:00"/>
    <m/>
    <m/>
    <s v="VU-LD091"/>
    <m/>
    <s v="V8"/>
    <x v="1"/>
    <n v="21398"/>
    <m/>
    <s v="LAZ201"/>
    <s v="LAY001"/>
    <m/>
    <m/>
    <m/>
    <m/>
    <m/>
    <m/>
    <n v="3541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95"/>
    <s v="000394181"/>
    <s v="JR西"/>
    <s v="大正"/>
    <m/>
    <s v="V8-4BH"/>
    <s v="VU-LB112"/>
    <s v="5613530-2"/>
    <s v="単体"/>
    <n v="0"/>
    <s v="M社クロス用BH"/>
    <n v="1"/>
    <d v="2026-04-08T00:00:00"/>
    <d v="2026-04-20T00:00:00"/>
    <d v="2026-04-17T00:00:00"/>
    <d v="2026-04-17T00:00:00"/>
    <m/>
    <m/>
    <s v="VU-LB112"/>
    <m/>
    <s v="V8"/>
    <x v="1"/>
    <n v="21399"/>
    <m/>
    <s v="LAZ102"/>
    <s v="LAY001"/>
    <m/>
    <m/>
    <m/>
    <m/>
    <n v="126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6"/>
    <s v="000390814"/>
    <s v="JR西"/>
    <s v="新大阪"/>
    <s v="（2/2）"/>
    <s v="JR西FA70(EXV)"/>
    <s v="3S2EU-RDP-0003"/>
    <s v="2899914-8"/>
    <s v="機器"/>
    <n v="1"/>
    <m/>
    <n v="1"/>
    <d v="2026-04-03T00:00:00"/>
    <d v="2026-04-20T00:00:00"/>
    <d v="2026-04-17T00:00:00"/>
    <d v="2026-04-22T00:00:00"/>
    <m/>
    <m/>
    <s v="VU-LB112"/>
    <m/>
    <s v="V8"/>
    <x v="1"/>
    <n v="21400"/>
    <m/>
    <s v="LAZ102"/>
    <s v="LAY001"/>
    <m/>
    <m/>
    <m/>
    <m/>
    <n v="126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05"/>
    <s v="000395227"/>
    <s v="JR西"/>
    <s v="新大阪"/>
    <s v="（1/2)"/>
    <s v="JR西FA70(EXV)"/>
    <s v="3S2EU-RDP-0003"/>
    <s v="2899914-8"/>
    <s v="機器"/>
    <n v="1"/>
    <m/>
    <n v="1"/>
    <d v="2026-04-03T00:00:00"/>
    <d v="2026-04-20T00:00:00"/>
    <d v="2026-04-17T00:00:00"/>
    <d v="2026-04-22T00:00:00"/>
    <m/>
    <m/>
    <s v="VU-LB112"/>
    <m/>
    <s v="V8"/>
    <x v="1"/>
    <n v="21401"/>
    <m/>
    <s v="LAZ102"/>
    <s v="LAY001"/>
    <m/>
    <m/>
    <m/>
    <m/>
    <n v="126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98"/>
    <s v="000394175"/>
    <s v="JR西"/>
    <s v="長居"/>
    <m/>
    <s v="V8-4BH"/>
    <s v="VU-LB112"/>
    <s v="5613530-2"/>
    <s v="単体"/>
    <n v="0"/>
    <s v="M社クロス用BH"/>
    <n v="1"/>
    <d v="2026-04-09T00:00:00"/>
    <d v="2026-04-21T00:00:00"/>
    <d v="2026-04-20T00:00:00"/>
    <d v="2026-04-20T00:00:00"/>
    <m/>
    <m/>
    <s v="VU-LB112"/>
    <m/>
    <s v="V8"/>
    <x v="1"/>
    <n v="21402"/>
    <m/>
    <s v="LAZ102"/>
    <s v="LAY001"/>
    <m/>
    <m/>
    <m/>
    <m/>
    <n v="126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2"/>
    <s v="000391333"/>
    <s v="JR西"/>
    <s v="美章園"/>
    <m/>
    <s v="JR西FA70(EXV)"/>
    <s v="3S2EU-RDP-0001"/>
    <s v="2874359-3"/>
    <s v="機器"/>
    <n v="1"/>
    <m/>
    <n v="1"/>
    <d v="2026-04-08T00:00:00"/>
    <d v="2026-04-23T00:00:00"/>
    <d v="2026-04-22T00:00:00"/>
    <d v="2026-04-27T00:00:00"/>
    <m/>
    <m/>
    <s v="VU-LB112"/>
    <m/>
    <s v="V8"/>
    <x v="1"/>
    <n v="21403"/>
    <m/>
    <s v="LAZ102"/>
    <s v="LAY001"/>
    <m/>
    <m/>
    <m/>
    <m/>
    <n v="126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19"/>
    <s v="000397209"/>
    <s v="JR西"/>
    <s v="我孫子"/>
    <m/>
    <s v="V8-4BH"/>
    <s v="VU-LB112"/>
    <s v="5613530-2"/>
    <s v="単体"/>
    <n v="0"/>
    <s v="M社クロス用BH"/>
    <n v="1"/>
    <d v="2026-04-20T00:00:00"/>
    <d v="2026-05-08T00:00:00"/>
    <d v="2026-05-07T00:00:00"/>
    <d v="2026-05-07T00:00:00"/>
    <m/>
    <m/>
    <s v="VU-LB112"/>
    <m/>
    <s v="V8"/>
    <x v="2"/>
    <n v="21404"/>
    <m/>
    <s v="LAZ102"/>
    <s v="LAY001"/>
    <m/>
    <m/>
    <m/>
    <m/>
    <n v="126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1"/>
    <s v="000399242"/>
    <s v="JR西"/>
    <s v="和泉鳥取"/>
    <s v="東口"/>
    <s v="V8-4BH"/>
    <s v="VU-LB112"/>
    <s v="5613530-2"/>
    <s v="単体"/>
    <n v="0"/>
    <s v="M社クロス用BH"/>
    <n v="1"/>
    <d v="2026-04-20T00:00:00"/>
    <d v="2026-05-08T00:00:00"/>
    <d v="2026-05-07T00:00:00"/>
    <d v="2026-05-07T00:00:00"/>
    <m/>
    <m/>
    <s v="VU-LB112"/>
    <m/>
    <s v="V8"/>
    <x v="2"/>
    <n v="21405"/>
    <m/>
    <s v="LAZ102"/>
    <s v="LAY001"/>
    <m/>
    <m/>
    <m/>
    <m/>
    <n v="127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0"/>
    <s v="000399243"/>
    <s v="JR西"/>
    <s v="和泉砂川"/>
    <s v="東口"/>
    <s v="V8-4BH"/>
    <s v="VU-LB112"/>
    <s v="5613530-2"/>
    <s v="単体"/>
    <n v="0"/>
    <s v="M社クロス用BH"/>
    <n v="1"/>
    <d v="2026-04-20T00:00:00"/>
    <d v="2026-05-08T00:00:00"/>
    <d v="2026-05-07T00:00:00"/>
    <d v="2026-05-07T00:00:00"/>
    <m/>
    <m/>
    <s v="VU-LB112"/>
    <m/>
    <s v="V8"/>
    <x v="2"/>
    <n v="21406"/>
    <m/>
    <s v="LAZ102"/>
    <s v="LAY001"/>
    <m/>
    <m/>
    <m/>
    <m/>
    <n v="127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8"/>
    <s v="000402031"/>
    <s v="M社（Ｎ）"/>
    <m/>
    <s v="VU-LA004"/>
    <s v="V8-4BH"/>
    <s v="VU-LA004"/>
    <s v="1892581-2"/>
    <s v="単体"/>
    <n v="1"/>
    <s v="名鉄"/>
    <n v="1"/>
    <d v="2026-04-21T00:00:00"/>
    <d v="2026-05-11T00:00:00"/>
    <d v="2026-05-08T00:00:00"/>
    <d v="2026-05-08T00:00:00"/>
    <m/>
    <m/>
    <s v="VU-LA004"/>
    <m/>
    <s v="V8"/>
    <x v="2"/>
    <n v="21407"/>
    <m/>
    <s v="LAZ101"/>
    <s v="LAY001"/>
    <m/>
    <m/>
    <m/>
    <n v="823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7"/>
    <s v="000402032"/>
    <s v="M社（Ｎ）"/>
    <m/>
    <s v="VU-LA004"/>
    <s v="V8-4BH"/>
    <s v="VU-LA004"/>
    <s v="1892581-2"/>
    <s v="単体"/>
    <n v="1"/>
    <s v="名鉄"/>
    <n v="1"/>
    <d v="2026-04-21T00:00:00"/>
    <d v="2026-05-11T00:00:00"/>
    <d v="2026-05-08T00:00:00"/>
    <d v="2026-05-08T00:00:00"/>
    <m/>
    <m/>
    <s v="VU-LA004"/>
    <m/>
    <s v="V8"/>
    <x v="2"/>
    <n v="21408"/>
    <m/>
    <s v="LAZ101"/>
    <s v="LAY001"/>
    <m/>
    <m/>
    <m/>
    <n v="823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29"/>
    <s v="000402033"/>
    <s v="M社（Ｎ）"/>
    <m/>
    <s v="VU-LA004"/>
    <s v="V8-4BH"/>
    <s v="VU-LA004"/>
    <s v="1892581-2"/>
    <s v="単体"/>
    <n v="1"/>
    <s v="名鉄"/>
    <n v="1"/>
    <d v="2026-04-21T00:00:00"/>
    <d v="2026-05-11T00:00:00"/>
    <d v="2026-05-08T00:00:00"/>
    <d v="2026-05-08T00:00:00"/>
    <m/>
    <m/>
    <s v="VU-LA004"/>
    <m/>
    <s v="V8"/>
    <x v="2"/>
    <n v="21409"/>
    <m/>
    <s v="LAZ101"/>
    <s v="LAY001"/>
    <m/>
    <m/>
    <m/>
    <n v="8236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5"/>
    <s v="000394288"/>
    <s v="M社（Ｎ）"/>
    <m/>
    <s v="VU-LA004"/>
    <s v="V8-4BH"/>
    <s v="VU-LA004"/>
    <s v="1892581-2"/>
    <s v="単体"/>
    <n v="1"/>
    <s v="名鉄"/>
    <n v="1"/>
    <d v="2026-04-22T00:00:00"/>
    <d v="2026-05-12T00:00:00"/>
    <d v="2026-05-11T00:00:00"/>
    <d v="2026-05-11T00:00:00"/>
    <m/>
    <m/>
    <s v="VU-LA004"/>
    <m/>
    <s v="V8"/>
    <x v="2"/>
    <n v="21410"/>
    <m/>
    <s v="LAZ101"/>
    <s v="LAY001"/>
    <m/>
    <m/>
    <m/>
    <n v="8237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7"/>
    <s v="000402030"/>
    <s v="M社（Ｎ）"/>
    <m/>
    <s v="VU-LA004"/>
    <s v="V8-4BH"/>
    <s v="VU-LA004"/>
    <s v="1892581-2"/>
    <s v="単体"/>
    <n v="1"/>
    <s v="名鉄"/>
    <n v="1"/>
    <d v="2026-04-22T00:00:00"/>
    <d v="2026-05-12T00:00:00"/>
    <d v="2026-05-11T00:00:00"/>
    <d v="2026-05-11T00:00:00"/>
    <m/>
    <m/>
    <s v="VU-LA004"/>
    <m/>
    <s v="V8"/>
    <x v="2"/>
    <n v="21411"/>
    <m/>
    <s v="LAZ101"/>
    <s v="LAY001"/>
    <m/>
    <m/>
    <m/>
    <n v="8238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36"/>
    <s v="000402035"/>
    <s v="M社（Ｎ）"/>
    <m/>
    <s v="VU-LA004"/>
    <s v="V8-4BH"/>
    <s v="VU-LA004"/>
    <s v="1892581-2"/>
    <s v="単体"/>
    <n v="1"/>
    <s v="名鉄"/>
    <n v="1"/>
    <d v="2026-04-22T00:00:00"/>
    <d v="2026-05-12T00:00:00"/>
    <d v="2026-05-11T00:00:00"/>
    <d v="2026-05-11T00:00:00"/>
    <m/>
    <m/>
    <s v="VU-LA004"/>
    <m/>
    <s v="V8"/>
    <x v="2"/>
    <n v="21412"/>
    <m/>
    <s v="LAZ101"/>
    <s v="LAY001"/>
    <m/>
    <m/>
    <m/>
    <n v="8239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43"/>
    <s v="000402034"/>
    <s v="M社（Ｎ）"/>
    <m/>
    <s v="VU-LA004"/>
    <s v="V8-4BH"/>
    <s v="VU-LA004"/>
    <s v="1892581-2"/>
    <s v="単体"/>
    <n v="1"/>
    <s v="名鉄"/>
    <n v="1"/>
    <d v="2026-04-23T00:00:00"/>
    <d v="2026-05-13T00:00:00"/>
    <d v="2026-05-12T00:00:00"/>
    <d v="2026-05-12T00:00:00"/>
    <m/>
    <m/>
    <s v="VU-LA004"/>
    <m/>
    <s v="V8"/>
    <x v="2"/>
    <n v="21413"/>
    <m/>
    <s v="LAZ101"/>
    <s v="LAY001"/>
    <m/>
    <m/>
    <m/>
    <n v="824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44"/>
    <s v="000402040"/>
    <s v="N社（Ｎ）"/>
    <m/>
    <s v="VU-LA007"/>
    <s v="V8-4BH"/>
    <s v="VU-LA007"/>
    <s v="3251849-9"/>
    <s v="単体"/>
    <n v="1"/>
    <m/>
    <n v="1"/>
    <d v="2026-04-23T00:00:00"/>
    <d v="2026-05-13T00:00:00"/>
    <d v="2026-05-12T00:00:00"/>
    <d v="2026-05-12T00:00:00"/>
    <m/>
    <m/>
    <s v="VU-LA007"/>
    <m/>
    <s v="V8"/>
    <x v="2"/>
    <n v="21414"/>
    <m/>
    <s v="LAZ002"/>
    <s v="LAY002"/>
    <n v="322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45"/>
    <s v="000402042"/>
    <s v="N社（Ｎ）"/>
    <m/>
    <s v="VU-LA007"/>
    <s v="V8-4BH"/>
    <s v="VU-LA007"/>
    <s v="3251849-9"/>
    <s v="単体"/>
    <n v="1"/>
    <m/>
    <n v="1"/>
    <d v="2026-04-23T00:00:00"/>
    <d v="2026-05-13T00:00:00"/>
    <d v="2026-05-12T00:00:00"/>
    <d v="2026-05-12T00:00:00"/>
    <m/>
    <m/>
    <s v="VU-LA007"/>
    <m/>
    <s v="V8"/>
    <x v="2"/>
    <n v="21415"/>
    <m/>
    <s v="LAZ002"/>
    <s v="LAY002"/>
    <n v="322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54"/>
    <s v="000402036"/>
    <s v="N社（Ｎ）"/>
    <m/>
    <s v="VU-LA007"/>
    <s v="V8-4BH"/>
    <s v="VU-LA007"/>
    <s v="3251849-9"/>
    <s v="単体"/>
    <n v="1"/>
    <m/>
    <n v="1"/>
    <d v="2026-04-24T00:00:00"/>
    <d v="2026-05-14T00:00:00"/>
    <d v="2026-05-13T00:00:00"/>
    <d v="2026-05-13T00:00:00"/>
    <m/>
    <m/>
    <s v="VU-LA007"/>
    <m/>
    <s v="V8"/>
    <x v="2"/>
    <n v="21416"/>
    <m/>
    <s v="LAZ002"/>
    <s v="LAY002"/>
    <n v="3229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52"/>
    <s v="000402038"/>
    <s v="N社（Ｎ）"/>
    <m/>
    <s v="VU-LA007"/>
    <s v="V8-4BH"/>
    <s v="VU-LA007"/>
    <s v="3251849-9"/>
    <s v="単体"/>
    <n v="1"/>
    <m/>
    <n v="1"/>
    <d v="2026-04-24T00:00:00"/>
    <d v="2026-05-14T00:00:00"/>
    <d v="2026-05-13T00:00:00"/>
    <d v="2026-05-13T00:00:00"/>
    <m/>
    <m/>
    <s v="VU-LA007"/>
    <m/>
    <s v="V8"/>
    <x v="2"/>
    <n v="21417"/>
    <m/>
    <s v="LAZ002"/>
    <s v="LAY002"/>
    <n v="323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53"/>
    <s v="000402043"/>
    <s v="N社（Ｎ）"/>
    <m/>
    <s v="VU-LA007"/>
    <s v="V8-4BH"/>
    <s v="VU-LA007"/>
    <s v="3251849-9"/>
    <s v="単体"/>
    <n v="1"/>
    <m/>
    <n v="1"/>
    <d v="2026-04-24T00:00:00"/>
    <d v="2026-05-14T00:00:00"/>
    <d v="2026-05-13T00:00:00"/>
    <d v="2026-05-13T00:00:00"/>
    <m/>
    <m/>
    <s v="VU-LA007"/>
    <m/>
    <s v="V8"/>
    <x v="2"/>
    <n v="21418"/>
    <m/>
    <s v="LAZ002"/>
    <s v="LAY002"/>
    <n v="323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60"/>
    <s v="000395158"/>
    <s v="N社（Ｎ）"/>
    <m/>
    <s v="VU-LA007"/>
    <s v="V8-4BH"/>
    <s v="VU-LA007"/>
    <s v="3251849-9"/>
    <s v="単体"/>
    <n v="1"/>
    <m/>
    <n v="1"/>
    <d v="2026-04-27T00:00:00"/>
    <d v="2026-05-15T00:00:00"/>
    <d v="2026-05-14T00:00:00"/>
    <d v="2026-05-14T00:00:00"/>
    <m/>
    <m/>
    <s v="VU-LA007"/>
    <m/>
    <s v="V8"/>
    <x v="2"/>
    <n v="21419"/>
    <m/>
    <s v="LAZ002"/>
    <s v="LAY002"/>
    <n v="323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62"/>
    <s v="000402037"/>
    <s v="N社（Ｎ）"/>
    <m/>
    <s v="VU-LA007"/>
    <s v="V8-4BH"/>
    <s v="VU-LA007"/>
    <s v="3251849-9"/>
    <s v="単体"/>
    <n v="1"/>
    <m/>
    <n v="1"/>
    <d v="2026-04-27T00:00:00"/>
    <d v="2026-05-15T00:00:00"/>
    <d v="2026-05-14T00:00:00"/>
    <d v="2026-05-14T00:00:00"/>
    <m/>
    <m/>
    <s v="VU-LA007"/>
    <m/>
    <s v="V8"/>
    <x v="2"/>
    <n v="21420"/>
    <m/>
    <s v="LAZ002"/>
    <s v="LAY002"/>
    <n v="323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61"/>
    <s v="000402041"/>
    <s v="N社（Ｎ）"/>
    <m/>
    <s v="VU-LA007"/>
    <s v="V8-4BH"/>
    <s v="VU-LA007"/>
    <s v="3251849-9"/>
    <s v="単体"/>
    <n v="1"/>
    <m/>
    <n v="1"/>
    <d v="2026-04-27T00:00:00"/>
    <d v="2026-05-15T00:00:00"/>
    <d v="2026-05-14T00:00:00"/>
    <d v="2026-05-14T00:00:00"/>
    <m/>
    <m/>
    <s v="VU-LA007"/>
    <m/>
    <s v="V8"/>
    <x v="2"/>
    <n v="21421"/>
    <m/>
    <s v="LAZ002"/>
    <s v="LAY002"/>
    <n v="323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69"/>
    <s v="000395159"/>
    <s v="N社（Ｎ）"/>
    <m/>
    <s v="VU-LB006"/>
    <s v="V8-4BH"/>
    <s v="VU-LB006"/>
    <s v="2206082-6"/>
    <s v="単体"/>
    <n v="1"/>
    <m/>
    <n v="1"/>
    <d v="2026-04-28T00:00:00"/>
    <d v="2026-05-18T00:00:00"/>
    <d v="2026-05-15T00:00:00"/>
    <d v="2026-05-15T00:00:00"/>
    <m/>
    <m/>
    <s v="VU-LB006"/>
    <m/>
    <s v="V8"/>
    <x v="2"/>
    <n v="21422"/>
    <m/>
    <s v="LAZ002"/>
    <s v="LAY002"/>
    <n v="3235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68"/>
    <s v="000402039"/>
    <s v="N社（Ｎ）"/>
    <m/>
    <s v="VU-LA007"/>
    <s v="V8-4BH"/>
    <s v="VU-LA007"/>
    <s v="3251849-9"/>
    <s v="単体"/>
    <n v="1"/>
    <m/>
    <n v="1"/>
    <d v="2026-04-28T00:00:00"/>
    <d v="2026-05-18T00:00:00"/>
    <d v="2026-05-15T00:00:00"/>
    <d v="2026-05-15T00:00:00"/>
    <m/>
    <m/>
    <s v="VU-LA007"/>
    <m/>
    <s v="V8"/>
    <x v="2"/>
    <n v="21423"/>
    <m/>
    <s v="LAZ002"/>
    <s v="LAY002"/>
    <n v="323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70"/>
    <s v="000402045"/>
    <s v="N社（Ｎ）"/>
    <m/>
    <s v="VU-LB006"/>
    <s v="V8-4BH"/>
    <s v="VU-LB006"/>
    <s v="2206082-6"/>
    <s v="単体"/>
    <n v="1"/>
    <m/>
    <n v="1"/>
    <d v="2026-04-28T00:00:00"/>
    <d v="2026-05-18T00:00:00"/>
    <d v="2026-05-15T00:00:00"/>
    <d v="2026-05-15T00:00:00"/>
    <m/>
    <m/>
    <s v="VU-LB006"/>
    <m/>
    <s v="V8"/>
    <x v="2"/>
    <n v="21424"/>
    <m/>
    <s v="LAZ002"/>
    <s v="LAY002"/>
    <n v="3237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75"/>
    <s v="000402044"/>
    <s v="N社（Ｎ）"/>
    <m/>
    <s v="VU-LB006"/>
    <s v="V8-4BH"/>
    <s v="VU-LB006"/>
    <s v="2206082-6"/>
    <s v="単体"/>
    <n v="1"/>
    <m/>
    <n v="1"/>
    <d v="2026-05-07T00:00:00"/>
    <d v="2026-05-19T00:00:00"/>
    <d v="2026-05-18T00:00:00"/>
    <d v="2026-05-18T00:00:00"/>
    <m/>
    <m/>
    <s v="VU-LB006"/>
    <m/>
    <s v="V8"/>
    <x v="2"/>
    <n v="21425"/>
    <m/>
    <s v="LAZ002"/>
    <s v="LAY002"/>
    <n v="3238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74"/>
    <s v="000402046"/>
    <s v="N社（Ｎ）"/>
    <m/>
    <s v="VU-LB006"/>
    <s v="V8-4BH"/>
    <s v="VU-LB006"/>
    <s v="2206082-6"/>
    <s v="単体"/>
    <n v="1"/>
    <m/>
    <n v="1"/>
    <d v="2026-05-07T00:00:00"/>
    <d v="2026-05-19T00:00:00"/>
    <d v="2026-05-18T00:00:00"/>
    <d v="2026-05-18T00:00:00"/>
    <m/>
    <m/>
    <s v="VU-LB006"/>
    <m/>
    <s v="V8"/>
    <x v="2"/>
    <n v="21426"/>
    <m/>
    <s v="LAZ002"/>
    <s v="LAY002"/>
    <n v="3239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73"/>
    <s v="000402049"/>
    <s v="N社（Ｎ）"/>
    <m/>
    <s v="VU-LB006"/>
    <s v="V8-4BH"/>
    <s v="VU-LB006"/>
    <s v="2206082-6"/>
    <s v="単体"/>
    <n v="1"/>
    <m/>
    <n v="1"/>
    <d v="2026-05-07T00:00:00"/>
    <d v="2026-05-19T00:00:00"/>
    <d v="2026-05-18T00:00:00"/>
    <d v="2026-05-18T00:00:00"/>
    <m/>
    <m/>
    <s v="VU-LB006"/>
    <m/>
    <s v="V8"/>
    <x v="2"/>
    <n v="21427"/>
    <m/>
    <s v="LAZ002"/>
    <s v="LAY002"/>
    <n v="3240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2"/>
    <s v="000395284"/>
    <s v="N社（Ｎ）"/>
    <m/>
    <s v="VU-LB006"/>
    <s v="V8-4BH"/>
    <s v="VU-LB006"/>
    <s v="2206082-6"/>
    <s v="単体"/>
    <n v="1"/>
    <m/>
    <n v="1"/>
    <d v="2026-05-08T00:00:00"/>
    <d v="2026-05-20T00:00:00"/>
    <d v="2026-05-19T00:00:00"/>
    <d v="2026-05-19T00:00:00"/>
    <m/>
    <m/>
    <s v="VU-LB006"/>
    <m/>
    <s v="V8"/>
    <x v="2"/>
    <n v="21428"/>
    <m/>
    <s v="LAZ002"/>
    <s v="LAY002"/>
    <n v="3241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4"/>
    <s v="000402048"/>
    <s v="N社（Ｎ）"/>
    <m/>
    <s v="VU-LB006"/>
    <s v="V8-4BH"/>
    <s v="VU-LB006"/>
    <s v="2206082-6"/>
    <s v="単体"/>
    <n v="1"/>
    <m/>
    <n v="1"/>
    <d v="2026-05-08T00:00:00"/>
    <d v="2026-05-20T00:00:00"/>
    <d v="2026-05-19T00:00:00"/>
    <d v="2026-05-19T00:00:00"/>
    <m/>
    <m/>
    <s v="VU-LB006"/>
    <m/>
    <s v="V8"/>
    <x v="2"/>
    <n v="21429"/>
    <m/>
    <s v="LAZ002"/>
    <s v="LAY002"/>
    <n v="3242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83"/>
    <s v="000402050"/>
    <s v="N社（Ｎ）"/>
    <m/>
    <s v="VU-LB006"/>
    <s v="V8-4BH"/>
    <s v="VU-LB006"/>
    <s v="2206082-6"/>
    <s v="単体"/>
    <n v="1"/>
    <m/>
    <n v="1"/>
    <d v="2026-05-08T00:00:00"/>
    <d v="2026-05-20T00:00:00"/>
    <d v="2026-05-19T00:00:00"/>
    <d v="2026-05-19T00:00:00"/>
    <m/>
    <m/>
    <s v="VU-LB006"/>
    <m/>
    <s v="V8"/>
    <x v="2"/>
    <n v="21430"/>
    <m/>
    <s v="LAZ002"/>
    <s v="LAY002"/>
    <n v="3243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0"/>
    <s v="000402047"/>
    <s v="N社（Ｎ）"/>
    <m/>
    <s v="VU-LB006"/>
    <s v="V8-4BH"/>
    <s v="VU-LB006"/>
    <s v="2206082-6"/>
    <s v="単体"/>
    <n v="1"/>
    <m/>
    <n v="1"/>
    <d v="2026-05-11T00:00:00"/>
    <d v="2026-05-21T00:00:00"/>
    <d v="2026-05-20T00:00:00"/>
    <d v="2026-05-20T00:00:00"/>
    <m/>
    <m/>
    <s v="VU-LB006"/>
    <m/>
    <s v="V8"/>
    <x v="2"/>
    <n v="21431"/>
    <m/>
    <s v="LAZ002"/>
    <s v="LAY002"/>
    <n v="3244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192"/>
    <s v="000402052"/>
    <s v="N社（Ｎ）"/>
    <m/>
    <s v="VU-LC002"/>
    <s v="V8-4BH"/>
    <s v="VU-LC002"/>
    <s v="9709179-4"/>
    <s v="単体"/>
    <n v="1"/>
    <m/>
    <n v="1"/>
    <d v="2026-05-11T00:00:00"/>
    <d v="2026-05-21T00:00:00"/>
    <d v="2026-05-20T00:00:00"/>
    <d v="2026-05-20T00:00:00"/>
    <m/>
    <m/>
    <s v="VU-LC002"/>
    <m/>
    <s v="V8"/>
    <x v="2"/>
    <n v="21432"/>
    <m/>
    <s v="LAZ002"/>
    <s v="LAY002"/>
    <n v="3245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91"/>
    <s v="000402054"/>
    <s v="N社（Ｎ）"/>
    <m/>
    <s v="VU-LC002"/>
    <s v="V8-4BH"/>
    <s v="VU-LC002"/>
    <s v="9709179-4"/>
    <s v="単体"/>
    <n v="1"/>
    <m/>
    <n v="1"/>
    <d v="2026-05-11T00:00:00"/>
    <d v="2026-05-21T00:00:00"/>
    <d v="2026-05-20T00:00:00"/>
    <d v="2026-05-20T00:00:00"/>
    <m/>
    <m/>
    <s v="VU-LC002"/>
    <m/>
    <s v="V8"/>
    <x v="2"/>
    <n v="21433"/>
    <m/>
    <s v="LAZ002"/>
    <s v="LAY002"/>
    <n v="3246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98"/>
    <s v="000395161"/>
    <s v="N社（Ｎ）"/>
    <m/>
    <s v="VU-LC002"/>
    <s v="V8-4BH"/>
    <s v="VU-LC002"/>
    <s v="9709179-4"/>
    <s v="単体"/>
    <n v="1"/>
    <m/>
    <n v="1"/>
    <d v="2026-05-12T00:00:00"/>
    <d v="2026-05-22T00:00:00"/>
    <d v="2026-05-21T00:00:00"/>
    <d v="2026-05-21T00:00:00"/>
    <m/>
    <m/>
    <s v="VU-LC002"/>
    <m/>
    <s v="V8"/>
    <x v="2"/>
    <n v="21434"/>
    <m/>
    <s v="LAZ002"/>
    <s v="LAY002"/>
    <n v="3247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199"/>
    <s v="000402051"/>
    <s v="N社（Ｎ）"/>
    <m/>
    <s v="VU-LC002"/>
    <s v="V8-4BH"/>
    <s v="VU-LC002"/>
    <s v="9709179-4"/>
    <s v="単体"/>
    <n v="1"/>
    <m/>
    <n v="1"/>
    <d v="2026-05-12T00:00:00"/>
    <d v="2026-05-22T00:00:00"/>
    <d v="2026-05-21T00:00:00"/>
    <d v="2026-05-21T00:00:00"/>
    <m/>
    <m/>
    <s v="VU-LC002"/>
    <m/>
    <s v="V8"/>
    <x v="2"/>
    <n v="21435"/>
    <m/>
    <s v="LAZ002"/>
    <s v="LAY002"/>
    <n v="3248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00"/>
    <s v="000402053"/>
    <s v="N社（Ｎ）"/>
    <m/>
    <s v="VU-LC002"/>
    <s v="V8-4BH"/>
    <s v="VU-LC002"/>
    <s v="9709179-4"/>
    <s v="単体"/>
    <n v="1"/>
    <m/>
    <n v="1"/>
    <d v="2026-05-12T00:00:00"/>
    <d v="2026-05-22T00:00:00"/>
    <d v="2026-05-21T00:00:00"/>
    <d v="2026-05-21T00:00:00"/>
    <m/>
    <m/>
    <s v="VU-LC002"/>
    <m/>
    <s v="V8"/>
    <x v="2"/>
    <n v="21436"/>
    <m/>
    <s v="LAZ002"/>
    <s v="LAY002"/>
    <n v="3249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237"/>
    <s v="000397210"/>
    <s v="JR西"/>
    <s v="中百舌鳥"/>
    <s v="西口"/>
    <s v="V8-4BH"/>
    <s v="VU-LB112"/>
    <s v="5613530-2"/>
    <s v="単体"/>
    <n v="0"/>
    <s v="M社クロス用BH"/>
    <n v="1"/>
    <d v="2026-05-21T00:00:00"/>
    <d v="2026-06-02T00:00:00"/>
    <d v="2026-06-01T00:00:00"/>
    <d v="2026-06-01T00:00:00"/>
    <m/>
    <m/>
    <s v="VU-LB112"/>
    <m/>
    <s v="V8"/>
    <x v="3"/>
    <n v="21437"/>
    <m/>
    <s v="LAZ102"/>
    <s v="LAY001"/>
    <m/>
    <m/>
    <m/>
    <m/>
    <n v="127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43"/>
    <s v="000401865"/>
    <s v="JR西"/>
    <s v="和泉鳥取"/>
    <s v="西口"/>
    <s v="V8-4BH"/>
    <s v="VU-LB112"/>
    <s v="5613530-2"/>
    <s v="単体"/>
    <n v="0"/>
    <s v="M社クロス用BH"/>
    <n v="1"/>
    <d v="2026-05-22T00:00:00"/>
    <d v="2026-06-03T00:00:00"/>
    <d v="2026-06-02T00:00:00"/>
    <d v="2026-06-02T00:00:00"/>
    <m/>
    <m/>
    <s v="VU-LB112"/>
    <m/>
    <s v="V8"/>
    <x v="3"/>
    <n v="21438"/>
    <m/>
    <s v="LAZ102"/>
    <s v="LAY001"/>
    <m/>
    <m/>
    <m/>
    <m/>
    <n v="127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50"/>
    <s v="000403496"/>
    <s v="N社（Ｎ）"/>
    <m/>
    <s v="VU-LA007"/>
    <s v="V8-4BH"/>
    <s v="VU-LA007"/>
    <s v="3251849-9"/>
    <s v="単体"/>
    <n v="1"/>
    <m/>
    <n v="1"/>
    <d v="2026-05-25T00:00:00"/>
    <d v="2026-06-04T00:00:00"/>
    <d v="2026-06-03T00:00:00"/>
    <d v="2026-06-03T00:00:00"/>
    <m/>
    <m/>
    <s v="VU-LA007"/>
    <m/>
    <s v="V8"/>
    <x v="3"/>
    <n v="21439"/>
    <m/>
    <s v="LAZ002"/>
    <s v="LAY002"/>
    <n v="325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56"/>
    <s v="000403495"/>
    <s v="N社（Ｎ）"/>
    <m/>
    <s v="VU-LA007"/>
    <s v="V8-4BH"/>
    <s v="VU-LA007"/>
    <s v="3251849-9"/>
    <s v="単体"/>
    <n v="1"/>
    <m/>
    <n v="1"/>
    <d v="2026-05-26T00:00:00"/>
    <d v="2026-06-05T00:00:00"/>
    <d v="2026-06-04T00:00:00"/>
    <d v="2026-06-04T00:00:00"/>
    <m/>
    <m/>
    <s v="VU-LA007"/>
    <m/>
    <s v="V8"/>
    <x v="3"/>
    <n v="21440"/>
    <m/>
    <s v="LAZ002"/>
    <s v="LAY002"/>
    <n v="325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63"/>
    <s v="000403494"/>
    <s v="N社（Ｎ）"/>
    <m/>
    <s v="VU-LA007"/>
    <s v="V8-4BH"/>
    <s v="VU-LA007"/>
    <s v="3251849-9"/>
    <s v="単体"/>
    <n v="1"/>
    <m/>
    <n v="1"/>
    <d v="2026-05-27T00:00:00"/>
    <d v="2026-06-08T00:00:00"/>
    <d v="2026-06-05T00:00:00"/>
    <d v="2026-06-05T00:00:00"/>
    <m/>
    <m/>
    <s v="VU-LA007"/>
    <m/>
    <s v="V8"/>
    <x v="3"/>
    <n v="21441"/>
    <m/>
    <s v="LAZ002"/>
    <s v="LAY002"/>
    <n v="325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62"/>
    <s v="000403497"/>
    <s v="N社（Ｎ）"/>
    <m/>
    <s v="VU-LA007"/>
    <s v="V8-4BH"/>
    <s v="VU-LA007"/>
    <s v="3251849-9"/>
    <s v="単体"/>
    <n v="1"/>
    <m/>
    <n v="1"/>
    <d v="2026-05-27T00:00:00"/>
    <d v="2026-06-08T00:00:00"/>
    <d v="2026-06-05T00:00:00"/>
    <d v="2026-06-05T00:00:00"/>
    <m/>
    <m/>
    <s v="VU-LA007"/>
    <m/>
    <s v="V8"/>
    <x v="3"/>
    <n v="21442"/>
    <m/>
    <s v="LAZ002"/>
    <s v="LAY002"/>
    <n v="325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74"/>
    <s v="000397377"/>
    <s v="N社（Ｎ）"/>
    <m/>
    <s v="VU-LA007"/>
    <s v="V8-4BH"/>
    <s v="VU-LA007"/>
    <s v="3251849-9"/>
    <s v="単体"/>
    <n v="1"/>
    <m/>
    <n v="1"/>
    <d v="2026-05-29T00:00:00"/>
    <d v="2026-06-10T00:00:00"/>
    <d v="2026-06-09T00:00:00"/>
    <d v="2026-06-09T00:00:00"/>
    <m/>
    <m/>
    <s v="VU-LA007"/>
    <m/>
    <s v="V8"/>
    <x v="3"/>
    <n v="21443"/>
    <m/>
    <s v="LAZ002"/>
    <s v="LAY002"/>
    <n v="325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81"/>
    <s v="000401248"/>
    <s v="N社（Ｎ）"/>
    <m/>
    <s v="VU-LA007"/>
    <s v="V8-4BH"/>
    <s v="VU-LA007"/>
    <s v="3251849-9"/>
    <s v="単体"/>
    <n v="1"/>
    <m/>
    <n v="1"/>
    <d v="2026-06-01T00:00:00"/>
    <d v="2026-06-11T00:00:00"/>
    <d v="2026-06-10T00:00:00"/>
    <d v="2026-06-10T00:00:00"/>
    <m/>
    <m/>
    <s v="VU-LA007"/>
    <m/>
    <s v="V8"/>
    <x v="3"/>
    <n v="21444"/>
    <m/>
    <s v="LAZ002"/>
    <s v="LAY002"/>
    <n v="325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87"/>
    <s v="000403498"/>
    <s v="N社（Ｎ）"/>
    <m/>
    <s v="VU-LA007"/>
    <s v="V8-4BH"/>
    <s v="VU-LA007"/>
    <s v="3251849-9"/>
    <s v="単体"/>
    <n v="1"/>
    <m/>
    <n v="1"/>
    <d v="2026-06-02T00:00:00"/>
    <d v="2026-06-12T00:00:00"/>
    <d v="2026-06-11T00:00:00"/>
    <d v="2026-06-11T00:00:00"/>
    <m/>
    <m/>
    <s v="VU-LA007"/>
    <m/>
    <s v="V8"/>
    <x v="3"/>
    <n v="21445"/>
    <m/>
    <s v="LAZ002"/>
    <s v="LAY002"/>
    <n v="325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92"/>
    <s v="000403493"/>
    <s v="N社（Ｎ）"/>
    <m/>
    <s v="VU-LA007"/>
    <s v="V8-4BH"/>
    <s v="VU-LA007"/>
    <s v="3251849-9"/>
    <s v="単体"/>
    <n v="1"/>
    <m/>
    <n v="1"/>
    <d v="2026-06-03T00:00:00"/>
    <d v="2026-06-15T00:00:00"/>
    <d v="2026-06-12T00:00:00"/>
    <d v="2026-06-12T00:00:00"/>
    <m/>
    <m/>
    <s v="VU-LA007"/>
    <m/>
    <s v="V8"/>
    <x v="3"/>
    <n v="21446"/>
    <m/>
    <s v="LAZ002"/>
    <s v="LAY002"/>
    <n v="325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296"/>
    <s v="000403502"/>
    <s v="N社（Ｎ）"/>
    <m/>
    <s v="VU-LB006"/>
    <s v="V8-4BH"/>
    <s v="VU-LB006"/>
    <s v="2206082-6"/>
    <s v="単体"/>
    <n v="1"/>
    <m/>
    <n v="1"/>
    <d v="2026-06-04T00:00:00"/>
    <d v="2026-06-16T00:00:00"/>
    <d v="2026-06-15T00:00:00"/>
    <d v="2026-06-15T00:00:00"/>
    <m/>
    <m/>
    <s v="VU-LB006"/>
    <m/>
    <s v="V8"/>
    <x v="3"/>
    <n v="21447"/>
    <m/>
    <s v="LAZ002"/>
    <s v="LAY002"/>
    <n v="3258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01"/>
    <s v="000403500"/>
    <s v="N社（Ｎ）"/>
    <m/>
    <s v="VU-LB006"/>
    <s v="V8-4BH"/>
    <s v="VU-LB006"/>
    <s v="2206082-6"/>
    <s v="単体"/>
    <n v="1"/>
    <m/>
    <n v="1"/>
    <d v="2026-06-05T00:00:00"/>
    <d v="2026-06-17T00:00:00"/>
    <d v="2026-06-16T00:00:00"/>
    <d v="2026-06-16T00:00:00"/>
    <m/>
    <m/>
    <s v="VU-LB006"/>
    <m/>
    <s v="V8"/>
    <x v="3"/>
    <n v="21448"/>
    <m/>
    <s v="LAZ002"/>
    <s v="LAY002"/>
    <n v="3259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07"/>
    <s v="000403499"/>
    <s v="N社（Ｎ）"/>
    <m/>
    <s v="VU-LB006"/>
    <s v="V8-4BH"/>
    <s v="VU-LB006"/>
    <s v="2206082-6"/>
    <s v="単体"/>
    <n v="1"/>
    <m/>
    <n v="1"/>
    <d v="2026-06-08T00:00:00"/>
    <d v="2026-06-18T00:00:00"/>
    <d v="2026-06-17T00:00:00"/>
    <d v="2026-06-17T00:00:00"/>
    <m/>
    <m/>
    <s v="VU-LB006"/>
    <m/>
    <s v="V8"/>
    <x v="3"/>
    <n v="21449"/>
    <m/>
    <s v="LAZ002"/>
    <s v="LAY002"/>
    <n v="3260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12"/>
    <s v="000403504"/>
    <s v="N社（Ｎ）"/>
    <m/>
    <s v="VU-LB006"/>
    <s v="V8-4BH"/>
    <s v="VU-LB006"/>
    <s v="2206082-6"/>
    <s v="単体"/>
    <n v="1"/>
    <m/>
    <n v="1"/>
    <d v="2026-06-09T00:00:00"/>
    <d v="2026-06-19T00:00:00"/>
    <d v="2026-06-18T00:00:00"/>
    <d v="2026-06-18T00:00:00"/>
    <m/>
    <m/>
    <s v="VU-LB006"/>
    <m/>
    <s v="V8"/>
    <x v="3"/>
    <n v="21450"/>
    <m/>
    <s v="LAZ002"/>
    <s v="LAY002"/>
    <n v="3261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17"/>
    <s v="000403503"/>
    <s v="N社（Ｎ）"/>
    <m/>
    <s v="VU-LB006"/>
    <s v="V8-4BH"/>
    <s v="VU-LB006"/>
    <s v="2206082-6"/>
    <s v="単体"/>
    <n v="1"/>
    <m/>
    <n v="1"/>
    <d v="2026-06-10T00:00:00"/>
    <d v="2026-06-22T00:00:00"/>
    <d v="2026-06-19T00:00:00"/>
    <d v="2026-06-19T00:00:00"/>
    <m/>
    <m/>
    <s v="VU-LB006"/>
    <m/>
    <s v="V8"/>
    <x v="3"/>
    <n v="21451"/>
    <m/>
    <s v="LAZ002"/>
    <s v="LAY002"/>
    <n v="3262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22"/>
    <s v="000403501"/>
    <s v="N社（Ｎ）"/>
    <m/>
    <s v="VU-LB006"/>
    <s v="V8-4BH"/>
    <s v="VU-LB006"/>
    <s v="2206082-6"/>
    <s v="単体"/>
    <n v="1"/>
    <m/>
    <n v="1"/>
    <d v="2026-06-11T00:00:00"/>
    <d v="2026-06-23T00:00:00"/>
    <d v="2026-06-22T00:00:00"/>
    <d v="2026-06-22T00:00:00"/>
    <m/>
    <m/>
    <s v="VU-LB006"/>
    <m/>
    <s v="V8"/>
    <x v="3"/>
    <n v="21452"/>
    <m/>
    <s v="LAZ002"/>
    <s v="LAY002"/>
    <n v="3263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27"/>
    <s v="000397376"/>
    <s v="N社（Ｎ）"/>
    <m/>
    <s v="VU-LB006"/>
    <s v="V8-4BH"/>
    <s v="VU-LB006"/>
    <s v="2206082-6"/>
    <s v="単体"/>
    <n v="1"/>
    <m/>
    <n v="1"/>
    <d v="2026-06-12T00:00:00"/>
    <d v="2026-06-24T00:00:00"/>
    <d v="2026-06-23T00:00:00"/>
    <d v="2026-06-23T00:00:00"/>
    <m/>
    <m/>
    <s v="VU-LB006"/>
    <m/>
    <s v="V8"/>
    <x v="3"/>
    <n v="21453"/>
    <m/>
    <s v="LAZ002"/>
    <s v="LAY002"/>
    <n v="3264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33"/>
    <s v="000398792"/>
    <s v="N社（Ｎ）"/>
    <m/>
    <s v="VU-LB006"/>
    <s v="V8-4BH"/>
    <s v="VU-LB006"/>
    <s v="2206082-6"/>
    <s v="単体"/>
    <n v="1"/>
    <m/>
    <n v="1"/>
    <d v="2026-06-15T00:00:00"/>
    <d v="2026-06-25T00:00:00"/>
    <d v="2026-06-24T00:00:00"/>
    <d v="2026-06-24T00:00:00"/>
    <m/>
    <m/>
    <s v="VU-LB006"/>
    <m/>
    <s v="V8"/>
    <x v="3"/>
    <n v="21454"/>
    <m/>
    <s v="LAZ002"/>
    <s v="LAY002"/>
    <n v="3265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50"/>
    <s v="000397069"/>
    <s v="JR西"/>
    <s v="東淀川"/>
    <m/>
    <s v="JR西FA70(EXV)"/>
    <s v="3S2EU-RDP-0001"/>
    <s v="2874359-3"/>
    <s v="機器"/>
    <n v="0"/>
    <m/>
    <n v="1"/>
    <d v="2026-06-11T00:00:00"/>
    <d v="2026-06-26T00:00:00"/>
    <d v="2026-06-25T00:00:00"/>
    <d v="2026-06-30T00:00:00"/>
    <m/>
    <m/>
    <s v="VU-LB112"/>
    <m/>
    <s v="V8"/>
    <x v="3"/>
    <n v="21455"/>
    <m/>
    <s v="LAZ102"/>
    <s v="LAY001"/>
    <m/>
    <m/>
    <m/>
    <m/>
    <n v="127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55"/>
    <s v="000397211"/>
    <s v="JR西"/>
    <s v="今宮"/>
    <m/>
    <s v="V8-4BH"/>
    <s v="VU-LB112"/>
    <s v="5613530-2"/>
    <s v="単体"/>
    <n v="0"/>
    <s v="M社クロス用BH"/>
    <n v="1"/>
    <d v="2026-06-22T00:00:00"/>
    <d v="2026-07-02T00:00:00"/>
    <d v="2026-07-01T00:00:00"/>
    <d v="2026-07-01T00:00:00"/>
    <m/>
    <m/>
    <s v="VU-LB112"/>
    <m/>
    <s v="V8"/>
    <x v="4"/>
    <n v="21456"/>
    <m/>
    <s v="LAZ102"/>
    <s v="LAY001"/>
    <m/>
    <m/>
    <m/>
    <m/>
    <n v="127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61"/>
    <s v="000401867"/>
    <s v="JR西"/>
    <s v="東部市場前"/>
    <m/>
    <s v="V8-4BH"/>
    <s v="VU-LB112"/>
    <s v="5613530-2"/>
    <s v="単体"/>
    <n v="0"/>
    <s v="M社クロス用BH"/>
    <n v="1"/>
    <d v="2026-06-23T00:00:00"/>
    <d v="2026-07-03T00:00:00"/>
    <d v="2026-07-02T00:00:00"/>
    <d v="2026-07-02T00:00:00"/>
    <m/>
    <m/>
    <s v="VU-LB112"/>
    <m/>
    <s v="V8"/>
    <x v="4"/>
    <n v="21457"/>
    <m/>
    <s v="LAZ102"/>
    <s v="LAY001"/>
    <m/>
    <m/>
    <m/>
    <m/>
    <n v="127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66"/>
    <s v="000401866"/>
    <s v="JR西"/>
    <s v="六十谷"/>
    <m/>
    <s v="V8-4BH"/>
    <s v="VU-LB112"/>
    <s v="5613530-2"/>
    <s v="単体"/>
    <n v="0"/>
    <s v="M社クロス用BH"/>
    <n v="1"/>
    <d v="2026-06-24T00:00:00"/>
    <d v="2026-07-06T00:00:00"/>
    <d v="2026-07-03T00:00:00"/>
    <d v="2026-07-03T00:00:00"/>
    <m/>
    <m/>
    <s v="VU-LB112"/>
    <m/>
    <s v="V8"/>
    <x v="4"/>
    <n v="21458"/>
    <m/>
    <s v="LAZ102"/>
    <s v="LAY001"/>
    <m/>
    <m/>
    <m/>
    <m/>
    <n v="127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71"/>
    <s v="000403505"/>
    <s v="N社（Ｎ）"/>
    <m/>
    <s v="VU-LA007"/>
    <s v="V8-4BH"/>
    <s v="VU-LA007"/>
    <s v="3251849-9"/>
    <s v="単体"/>
    <n v="0"/>
    <m/>
    <n v="1"/>
    <d v="2026-06-25T00:00:00"/>
    <d v="2026-07-07T00:00:00"/>
    <d v="2026-07-06T00:00:00"/>
    <d v="2026-07-06T00:00:00"/>
    <m/>
    <m/>
    <s v="VU-LA007"/>
    <m/>
    <s v="V8"/>
    <x v="4"/>
    <n v="21459"/>
    <m/>
    <s v="LAZ002"/>
    <s v="LAY002"/>
    <n v="326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376"/>
    <s v="000399411"/>
    <s v="N社（Ｎ）"/>
    <m/>
    <s v="VU-LA007"/>
    <s v="V8-4BH"/>
    <s v="VU-LA007"/>
    <s v="3251849-9"/>
    <s v="単体"/>
    <n v="0"/>
    <m/>
    <n v="1"/>
    <d v="2026-06-26T00:00:00"/>
    <d v="2026-07-08T00:00:00"/>
    <d v="2026-07-07T00:00:00"/>
    <d v="2026-07-07T00:00:00"/>
    <m/>
    <m/>
    <s v="VU-LA007"/>
    <m/>
    <s v="V8"/>
    <x v="4"/>
    <n v="21460"/>
    <m/>
    <s v="LAZ002"/>
    <s v="LAY002"/>
    <n v="326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05"/>
    <s v="000401534"/>
    <s v="あいの風とやま（西）"/>
    <m/>
    <m/>
    <s v="V8-4BH"/>
    <s v="VU-LB102"/>
    <s v="9909170-8"/>
    <s v="単体"/>
    <n v="0"/>
    <m/>
    <n v="1"/>
    <d v="2026-07-06T00:00:00"/>
    <d v="2026-07-16T00:00:00"/>
    <d v="2026-07-15T00:00:00"/>
    <d v="2026-07-15T00:00:00"/>
    <m/>
    <m/>
    <s v="VU-LB102"/>
    <m/>
    <s v="V8"/>
    <x v="4"/>
    <n v="21461"/>
    <m/>
    <s v="LAZ102"/>
    <s v="LAY001"/>
    <m/>
    <m/>
    <m/>
    <m/>
    <n v="127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04"/>
    <s v="000403506"/>
    <s v="あいの風とやま（西）"/>
    <m/>
    <m/>
    <s v="V8-4BH"/>
    <s v="VU-LB102"/>
    <s v="9909170-8"/>
    <s v="単体"/>
    <n v="0"/>
    <m/>
    <n v="1"/>
    <d v="2026-07-06T00:00:00"/>
    <d v="2026-07-16T00:00:00"/>
    <d v="2026-07-15T00:00:00"/>
    <d v="2026-07-15T00:00:00"/>
    <m/>
    <m/>
    <s v="VU-LB102"/>
    <m/>
    <s v="V8"/>
    <x v="4"/>
    <n v="21462"/>
    <m/>
    <s v="LAZ102"/>
    <s v="LAY001"/>
    <m/>
    <m/>
    <m/>
    <m/>
    <n v="127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03"/>
    <s v="000403507"/>
    <s v="あいの風とやま（西）"/>
    <m/>
    <m/>
    <s v="V8-4BH"/>
    <s v="VU-LB102"/>
    <s v="9909170-8"/>
    <s v="単体"/>
    <n v="0"/>
    <m/>
    <n v="1"/>
    <d v="2026-07-06T00:00:00"/>
    <d v="2026-07-16T00:00:00"/>
    <d v="2026-07-15T00:00:00"/>
    <d v="2026-07-15T00:00:00"/>
    <m/>
    <m/>
    <s v="VU-LB102"/>
    <m/>
    <s v="V8"/>
    <x v="4"/>
    <n v="21463"/>
    <m/>
    <s v="LAZ102"/>
    <s v="LAY001"/>
    <m/>
    <m/>
    <m/>
    <m/>
    <n v="128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19"/>
    <s v="000397070"/>
    <s v="JR西"/>
    <s v="中百舌鳥"/>
    <s v="東口"/>
    <s v="JR西FA70(EXV)"/>
    <s v="3S2EU-RDP-0001"/>
    <s v="2874359-3"/>
    <s v="機器"/>
    <n v="0"/>
    <m/>
    <n v="1"/>
    <d v="2026-07-03T00:00:00"/>
    <d v="2026-07-20T00:00:00"/>
    <d v="2026-07-17T00:00:00"/>
    <d v="2026-07-23T00:00:00"/>
    <m/>
    <m/>
    <s v="VU-LB112"/>
    <m/>
    <s v="V8"/>
    <x v="4"/>
    <n v="21464"/>
    <m/>
    <s v="LAZ102"/>
    <s v="LAY001"/>
    <m/>
    <m/>
    <m/>
    <m/>
    <n v="128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39"/>
    <s v="000397591"/>
    <s v="JREM"/>
    <m/>
    <m/>
    <s v="JR東EV20総(IC専用)"/>
    <s v="3S2VU-RBS-0001"/>
    <s v="5346501-8"/>
    <s v="機器"/>
    <n v="0"/>
    <m/>
    <n v="1"/>
    <m/>
    <d v="2026-08-03T00:00:00"/>
    <d v="2026-07-31T00:00:00"/>
    <d v="2026-08-03T00:00:00"/>
    <m/>
    <m/>
    <s v="VU-LD091"/>
    <m/>
    <s v="V8"/>
    <x v="5"/>
    <n v="21465"/>
    <m/>
    <s v="LAZ201"/>
    <s v="LAY001"/>
    <m/>
    <m/>
    <m/>
    <m/>
    <m/>
    <m/>
    <n v="3542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0"/>
    <s v="000397593"/>
    <s v="JREM"/>
    <m/>
    <m/>
    <s v="JR東EV20総(多機能)"/>
    <s v="3S2VU-RBP-5003"/>
    <s v="3140524-0"/>
    <s v="機器"/>
    <n v="0"/>
    <m/>
    <n v="1"/>
    <m/>
    <d v="2026-08-03T00:00:00"/>
    <d v="2026-07-31T00:00:00"/>
    <d v="2026-08-03T00:00:00"/>
    <m/>
    <m/>
    <s v="VU-LD091"/>
    <m/>
    <s v="V8"/>
    <x v="5"/>
    <n v="21466"/>
    <m/>
    <s v="LAZ201"/>
    <s v="LAY001"/>
    <m/>
    <m/>
    <m/>
    <m/>
    <m/>
    <m/>
    <n v="3543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5"/>
    <s v="000397594"/>
    <s v="JREM"/>
    <m/>
    <m/>
    <s v="JR東EX20総（V）"/>
    <s v="3S2EU-RBP-0001"/>
    <s v="5647075-6"/>
    <s v="機器"/>
    <n v="0"/>
    <m/>
    <n v="1"/>
    <m/>
    <d v="2026-08-03T00:00:00"/>
    <d v="2026-07-31T00:00:00"/>
    <d v="2026-08-03T00:00:00"/>
    <m/>
    <m/>
    <s v="VU-LD091"/>
    <m/>
    <s v="V8"/>
    <x v="5"/>
    <n v="21467"/>
    <m/>
    <s v="LAZ201"/>
    <s v="LAY001"/>
    <m/>
    <m/>
    <m/>
    <m/>
    <m/>
    <m/>
    <n v="3544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4"/>
    <s v="000399600"/>
    <s v="JREM"/>
    <m/>
    <m/>
    <s v="東モノEX20総（V）"/>
    <s v="3S2EU-KRP-0001"/>
    <s v="5821604-0"/>
    <s v="機器"/>
    <n v="0"/>
    <m/>
    <n v="1"/>
    <m/>
    <d v="2026-08-03T00:00:00"/>
    <d v="2026-07-31T00:00:00"/>
    <d v="2026-08-03T00:00:00"/>
    <m/>
    <m/>
    <s v="VU-LD091"/>
    <m/>
    <s v="V8"/>
    <x v="5"/>
    <n v="21468"/>
    <m/>
    <s v="LAZ201"/>
    <s v="LAY001"/>
    <m/>
    <m/>
    <m/>
    <m/>
    <m/>
    <m/>
    <n v="3545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3"/>
    <s v="000403476"/>
    <s v="JREM"/>
    <m/>
    <m/>
    <s v="東モノEX20総（V）"/>
    <s v="3S2EU-KRP-0001"/>
    <s v="5821604-0"/>
    <s v="機器"/>
    <n v="0"/>
    <m/>
    <n v="1"/>
    <m/>
    <d v="2026-08-03T00:00:00"/>
    <d v="2026-07-31T00:00:00"/>
    <d v="2026-08-03T00:00:00"/>
    <m/>
    <m/>
    <s v="VU-LD091"/>
    <m/>
    <s v="V8"/>
    <x v="5"/>
    <n v="21469"/>
    <m/>
    <s v="LAZ201"/>
    <s v="LAY001"/>
    <m/>
    <m/>
    <m/>
    <m/>
    <m/>
    <m/>
    <n v="3546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38"/>
    <s v="000403483"/>
    <s v="JREM"/>
    <m/>
    <m/>
    <s v="JR東EV20総(多機能)"/>
    <s v="3S2VU-RBP-5003"/>
    <s v="3140524-0"/>
    <s v="機器"/>
    <n v="0"/>
    <m/>
    <n v="1"/>
    <m/>
    <d v="2026-08-03T00:00:00"/>
    <d v="2026-07-31T00:00:00"/>
    <d v="2026-08-03T00:00:00"/>
    <m/>
    <m/>
    <s v="VU-LD091"/>
    <m/>
    <s v="V8"/>
    <x v="5"/>
    <n v="21470"/>
    <m/>
    <s v="LAZ201"/>
    <s v="LAY001"/>
    <m/>
    <m/>
    <m/>
    <m/>
    <m/>
    <m/>
    <n v="3547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2"/>
    <s v="000403484"/>
    <s v="JREM"/>
    <m/>
    <m/>
    <s v="JR東EV20総(IC専用)"/>
    <s v="3S2VU-RBS-0001"/>
    <s v="5346501-8"/>
    <s v="機器"/>
    <n v="0"/>
    <m/>
    <n v="1"/>
    <m/>
    <d v="2026-08-03T00:00:00"/>
    <d v="2026-07-31T00:00:00"/>
    <d v="2026-08-03T00:00:00"/>
    <m/>
    <m/>
    <s v="VU-LD091"/>
    <m/>
    <s v="V8"/>
    <x v="5"/>
    <n v="21471"/>
    <m/>
    <s v="LAZ201"/>
    <s v="LAY001"/>
    <m/>
    <m/>
    <m/>
    <m/>
    <m/>
    <m/>
    <n v="3548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1"/>
    <s v="000403485"/>
    <s v="JREM"/>
    <m/>
    <m/>
    <s v="JR東EV20総(IC専用)"/>
    <s v="3S2VU-RBS-0001"/>
    <s v="5346501-8"/>
    <s v="機器"/>
    <n v="0"/>
    <m/>
    <n v="1"/>
    <m/>
    <d v="2026-08-03T00:00:00"/>
    <d v="2026-07-31T00:00:00"/>
    <d v="2026-08-03T00:00:00"/>
    <m/>
    <m/>
    <s v="VU-LD091"/>
    <m/>
    <s v="V8"/>
    <x v="5"/>
    <n v="21472"/>
    <m/>
    <s v="LAZ201"/>
    <s v="LAY001"/>
    <m/>
    <m/>
    <m/>
    <m/>
    <m/>
    <m/>
    <n v="3549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n v="447"/>
    <s v="000397071"/>
    <s v="JR西"/>
    <s v="大和小泉"/>
    <m/>
    <s v="JR西FA70(EXV)"/>
    <s v="3S2EU-RDP-0001"/>
    <s v="2874359-3"/>
    <s v="機器"/>
    <n v="0"/>
    <m/>
    <n v="1"/>
    <m/>
    <d v="2026-08-03T00:00:00"/>
    <d v="2026-07-31T00:00:00"/>
    <d v="2026-08-03T00:00:00"/>
    <m/>
    <m/>
    <s v="VU-LB112"/>
    <m/>
    <s v="V8"/>
    <x v="5"/>
    <n v="21473"/>
    <m/>
    <s v="LAZ102"/>
    <s v="LAY001"/>
    <m/>
    <m/>
    <m/>
    <m/>
    <n v="128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49"/>
    <s v="000397212"/>
    <s v="JR西"/>
    <m/>
    <s v="VU-LB112"/>
    <s v="V8-4BH"/>
    <s v="VU-LB112"/>
    <s v="5613530-2"/>
    <s v="単体"/>
    <n v="0"/>
    <s v="M社クロス用BH"/>
    <n v="1"/>
    <d v="2026-07-23T00:00:00"/>
    <d v="2026-08-04T00:00:00"/>
    <d v="2026-08-03T00:00:00"/>
    <d v="2026-08-03T00:00:00"/>
    <m/>
    <m/>
    <s v="VU-LB112"/>
    <m/>
    <s v="V8"/>
    <x v="5"/>
    <n v="21474"/>
    <m/>
    <s v="LAZ102"/>
    <s v="LAY001"/>
    <m/>
    <m/>
    <m/>
    <m/>
    <n v="128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0"/>
    <s v="000403508"/>
    <s v="JR西"/>
    <m/>
    <s v="VU-LB112"/>
    <s v="V8-4BH"/>
    <s v="VU-LB112"/>
    <s v="5613530-2"/>
    <s v="単体"/>
    <n v="0"/>
    <s v="M社クロス用BH"/>
    <n v="1"/>
    <d v="2026-07-23T00:00:00"/>
    <d v="2026-08-04T00:00:00"/>
    <d v="2026-08-03T00:00:00"/>
    <d v="2026-08-03T00:00:00"/>
    <m/>
    <m/>
    <s v="VU-LB112"/>
    <m/>
    <s v="V8"/>
    <x v="5"/>
    <n v="21475"/>
    <m/>
    <s v="LAZ102"/>
    <s v="LAY001"/>
    <m/>
    <m/>
    <m/>
    <m/>
    <n v="128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2"/>
    <s v="000403509"/>
    <s v="JR西"/>
    <m/>
    <s v="VU-LB112"/>
    <s v="V8-4BH"/>
    <s v="VU-LB112"/>
    <s v="5613530-2"/>
    <s v="単体"/>
    <n v="0"/>
    <s v="M社クロス用BH"/>
    <n v="1"/>
    <d v="2026-07-23T00:00:00"/>
    <d v="2026-08-04T00:00:00"/>
    <d v="2026-08-03T00:00:00"/>
    <d v="2026-08-03T00:00:00"/>
    <m/>
    <m/>
    <s v="VU-LB112"/>
    <m/>
    <s v="V8"/>
    <x v="5"/>
    <n v="21476"/>
    <m/>
    <s v="LAZ102"/>
    <s v="LAY001"/>
    <m/>
    <m/>
    <m/>
    <m/>
    <n v="128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1"/>
    <s v="000403510"/>
    <s v="JR西"/>
    <m/>
    <s v="VU-LB112"/>
    <s v="V8-4BH"/>
    <s v="VU-LB112"/>
    <s v="5613530-2"/>
    <s v="単体"/>
    <n v="0"/>
    <s v="M社クロス用BH"/>
    <n v="1"/>
    <d v="2026-07-23T00:00:00"/>
    <d v="2026-08-04T00:00:00"/>
    <d v="2026-08-03T00:00:00"/>
    <d v="2026-08-03T00:00:00"/>
    <m/>
    <m/>
    <s v="VU-LB112"/>
    <m/>
    <s v="V8"/>
    <x v="5"/>
    <n v="21477"/>
    <m/>
    <s v="LAZ102"/>
    <s v="LAY001"/>
    <m/>
    <m/>
    <m/>
    <m/>
    <n v="128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48"/>
    <s v="000403511"/>
    <s v="JR西"/>
    <m/>
    <s v="VU-LB112"/>
    <s v="V8-4BH"/>
    <s v="VU-LB112"/>
    <s v="5613530-2"/>
    <s v="単体"/>
    <n v="0"/>
    <s v="M社クロス用BH"/>
    <n v="1"/>
    <d v="2026-07-23T00:00:00"/>
    <d v="2026-08-04T00:00:00"/>
    <d v="2026-08-03T00:00:00"/>
    <d v="2026-08-03T00:00:00"/>
    <m/>
    <m/>
    <s v="VU-LB112"/>
    <m/>
    <s v="V8"/>
    <x v="5"/>
    <n v="21478"/>
    <m/>
    <s v="LAZ102"/>
    <s v="LAY001"/>
    <m/>
    <m/>
    <m/>
    <m/>
    <n v="128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5"/>
    <s v="000401356"/>
    <s v="N社（Ｎ）"/>
    <m/>
    <s v="VU-LB002"/>
    <s v="V8-4BH"/>
    <s v="VU-LB002"/>
    <s v="1889259-0"/>
    <s v="単体"/>
    <n v="1"/>
    <m/>
    <n v="1"/>
    <d v="2026-07-23T00:00:00"/>
    <d v="2026-08-04T00:00:00"/>
    <d v="2026-08-03T00:00:00"/>
    <d v="2026-08-03T00:00:00"/>
    <m/>
    <m/>
    <s v="VU-LB002"/>
    <m/>
    <s v="V8"/>
    <x v="5"/>
    <n v="21479"/>
    <m/>
    <s v="LAZ002"/>
    <s v="LAY002"/>
    <n v="3268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4"/>
    <s v="000403512"/>
    <s v="N社（Ｎ）"/>
    <m/>
    <s v="VU-LB002"/>
    <s v="V8-4BH"/>
    <s v="VU-LB002"/>
    <s v="1889259-0"/>
    <s v="単体"/>
    <n v="1"/>
    <m/>
    <n v="1"/>
    <d v="2026-07-23T00:00:00"/>
    <d v="2026-08-04T00:00:00"/>
    <d v="2026-08-03T00:00:00"/>
    <d v="2026-08-03T00:00:00"/>
    <m/>
    <m/>
    <s v="VU-LB002"/>
    <m/>
    <s v="V8"/>
    <x v="5"/>
    <n v="21480"/>
    <m/>
    <s v="LAZ002"/>
    <s v="LAY002"/>
    <n v="3269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9"/>
    <s v="000397312"/>
    <s v="あいの風とやま（西）"/>
    <m/>
    <m/>
    <s v="V8-4BH"/>
    <s v="VU-LB102"/>
    <s v="9909170-8"/>
    <s v="単体"/>
    <n v="0"/>
    <m/>
    <n v="1"/>
    <d v="2026-07-23T00:00:00"/>
    <d v="2026-08-04T00:00:00"/>
    <d v="2026-08-03T00:00:00"/>
    <d v="2026-08-03T00:00:00"/>
    <m/>
    <m/>
    <s v="VU-LB102"/>
    <m/>
    <s v="V8"/>
    <x v="5"/>
    <n v="21481"/>
    <m/>
    <s v="LAZ102"/>
    <s v="LAY001"/>
    <m/>
    <m/>
    <m/>
    <m/>
    <n v="128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7"/>
    <s v="000403513"/>
    <s v="あいの風とやま（西）"/>
    <m/>
    <m/>
    <s v="V8-4BH"/>
    <s v="VU-LB102"/>
    <s v="9909170-8"/>
    <s v="単体"/>
    <n v="0"/>
    <m/>
    <n v="1"/>
    <d v="2026-07-23T00:00:00"/>
    <d v="2026-08-04T00:00:00"/>
    <d v="2026-08-03T00:00:00"/>
    <d v="2026-08-03T00:00:00"/>
    <m/>
    <m/>
    <s v="VU-LB102"/>
    <m/>
    <s v="V8"/>
    <x v="5"/>
    <n v="21482"/>
    <m/>
    <s v="LAZ102"/>
    <s v="LAY001"/>
    <m/>
    <m/>
    <m/>
    <m/>
    <n v="128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6"/>
    <s v="000403514"/>
    <s v="あいの風とやま（西）"/>
    <m/>
    <m/>
    <s v="V8-4BH"/>
    <s v="VU-LB102"/>
    <s v="9909170-8"/>
    <s v="単体"/>
    <n v="0"/>
    <m/>
    <n v="1"/>
    <d v="2026-07-23T00:00:00"/>
    <d v="2026-08-04T00:00:00"/>
    <d v="2026-08-03T00:00:00"/>
    <d v="2026-08-03T00:00:00"/>
    <m/>
    <m/>
    <s v="VU-LB102"/>
    <m/>
    <s v="V8"/>
    <x v="5"/>
    <n v="21483"/>
    <m/>
    <s v="LAZ102"/>
    <s v="LAY001"/>
    <m/>
    <m/>
    <m/>
    <m/>
    <n v="129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458"/>
    <s v="000403515"/>
    <s v="あいの風とやま（西）"/>
    <m/>
    <m/>
    <s v="V8-4BH"/>
    <s v="VU-LB102"/>
    <s v="9909170-8"/>
    <s v="単体"/>
    <n v="0"/>
    <m/>
    <n v="1"/>
    <d v="2026-07-23T00:00:00"/>
    <d v="2026-08-04T00:00:00"/>
    <d v="2026-08-03T00:00:00"/>
    <d v="2026-08-03T00:00:00"/>
    <m/>
    <m/>
    <s v="VU-LB102"/>
    <m/>
    <s v="V8"/>
    <x v="5"/>
    <n v="21484"/>
    <m/>
    <s v="LAZ102"/>
    <s v="LAY001"/>
    <m/>
    <m/>
    <m/>
    <m/>
    <n v="129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53"/>
    <s v="000385304"/>
    <s v="南海"/>
    <s v="浜寺公園"/>
    <s v="東"/>
    <s v="南海V8EXV"/>
    <s v="3S2EU-FBP-0001"/>
    <s v="2800663-7"/>
    <s v="機器"/>
    <n v="0"/>
    <s v="はめこみ"/>
    <n v="1"/>
    <d v="2026-07-22T00:00:00"/>
    <d v="2026-08-06T00:00:00"/>
    <d v="2026-08-05T00:00:00"/>
    <d v="2026-08-17T00:00:00"/>
    <m/>
    <m/>
    <s v="VU-LB106"/>
    <m/>
    <s v="V8"/>
    <x v="5"/>
    <n v="21485"/>
    <m/>
    <s v="LAZ101"/>
    <s v="LAY001"/>
    <m/>
    <m/>
    <m/>
    <n v="8241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70"/>
    <s v="000397384"/>
    <s v="N社（Ｎ）"/>
    <m/>
    <s v="VU-LC002"/>
    <s v="V8-4BH"/>
    <s v="VU-LC002"/>
    <s v="9709179-4"/>
    <s v="単体"/>
    <n v="1"/>
    <m/>
    <n v="6"/>
    <m/>
    <d v="2026-09-01T00:00:00"/>
    <d v="2026-08-31T00:00:00"/>
    <d v="2026-09-01T00:00:00"/>
    <m/>
    <m/>
    <s v="VU-LC002"/>
    <m/>
    <s v="V8"/>
    <x v="6"/>
    <n v="21486"/>
    <m/>
    <s v="LAZ002"/>
    <s v="LAY002"/>
    <n v="3270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6"/>
    <n v="6"/>
    <n v="0"/>
    <n v="0"/>
    <n v="6"/>
    <n v="0"/>
    <n v="6"/>
    <n v="0"/>
    <n v="0"/>
    <n v="0"/>
    <n v="0"/>
    <n v="6"/>
    <n v="0"/>
    <n v="0"/>
    <n v="6"/>
    <n v="0"/>
    <n v="0"/>
    <n v="0"/>
    <n v="6"/>
    <n v="0"/>
    <n v="0"/>
    <n v="0"/>
    <n v="6"/>
    <n v="6"/>
    <n v="0"/>
    <n v="0"/>
    <n v="0"/>
    <n v="0"/>
    <n v="0"/>
    <n v="0"/>
    <n v="0"/>
    <n v="0"/>
    <n v="0"/>
  </r>
  <r>
    <n v="558"/>
    <s v="000397072"/>
    <s v="JR西"/>
    <m/>
    <m/>
    <s v="JR西FA70(EXV)"/>
    <s v="3S2EU-RDP-0001"/>
    <s v="2874359-3"/>
    <s v="機器"/>
    <n v="0"/>
    <m/>
    <n v="3"/>
    <m/>
    <d v="2026-09-01T00:00:00"/>
    <d v="2026-08-31T00:00:00"/>
    <d v="2026-09-01T00:00:00"/>
    <m/>
    <m/>
    <s v="VU-LB112"/>
    <m/>
    <s v="V8"/>
    <x v="6"/>
    <n v="21487"/>
    <m/>
    <s v="LAZ102"/>
    <s v="LAY001"/>
    <m/>
    <m/>
    <m/>
    <m/>
    <n v="129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0"/>
    <n v="3"/>
    <n v="0"/>
    <n v="0"/>
    <n v="3"/>
    <n v="0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n v="626"/>
    <s v="000397758"/>
    <s v="小田急"/>
    <m/>
    <m/>
    <s v="小田急V8EXV"/>
    <s v="3S2EU-FFP-0001"/>
    <s v="2840946-4"/>
    <s v="機器"/>
    <n v="0"/>
    <s v="はめこみ"/>
    <n v="5"/>
    <m/>
    <d v="2026-09-01T00:00:00"/>
    <d v="2026-08-31T00:00:00"/>
    <d v="2026-09-01T00:00:00"/>
    <m/>
    <m/>
    <s v="VU-LA012"/>
    <m/>
    <s v="V8"/>
    <x v="6"/>
    <n v="21488"/>
    <m/>
    <s v="LAZ101"/>
    <s v="LAY001"/>
    <m/>
    <m/>
    <m/>
    <n v="824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5"/>
    <n v="5"/>
    <n v="0"/>
    <n v="0"/>
    <n v="5"/>
    <n v="0"/>
    <n v="5"/>
    <n v="0"/>
    <n v="0"/>
    <n v="0"/>
    <n v="0"/>
    <n v="5"/>
    <n v="5"/>
    <n v="0"/>
    <n v="0"/>
    <n v="5"/>
    <n v="0"/>
    <n v="0"/>
    <n v="0"/>
    <n v="5"/>
    <n v="0"/>
    <n v="0"/>
    <n v="0"/>
    <n v="5"/>
    <n v="0"/>
    <n v="0"/>
    <n v="0"/>
    <n v="0"/>
    <n v="0"/>
    <n v="0"/>
    <n v="0"/>
    <n v="0"/>
    <n v="0"/>
  </r>
  <r>
    <n v="629"/>
    <s v="000397759"/>
    <s v="小田急"/>
    <m/>
    <m/>
    <s v="小田急V8EXV"/>
    <s v="3S2EU-FFP-1001"/>
    <s v="2841859-5"/>
    <s v="機器"/>
    <n v="0"/>
    <s v="ｽﾀﾝﾄﾞ"/>
    <n v="1"/>
    <m/>
    <d v="2026-09-01T00:00:00"/>
    <d v="2026-08-31T00:00:00"/>
    <d v="2026-09-01T00:00:00"/>
    <m/>
    <m/>
    <s v="VU-LA012"/>
    <m/>
    <s v="V8"/>
    <x v="6"/>
    <n v="21489"/>
    <m/>
    <s v="LAZ101"/>
    <s v="LAY001"/>
    <m/>
    <m/>
    <m/>
    <n v="8243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57"/>
    <s v="000397213"/>
    <s v="JR西"/>
    <m/>
    <s v="VU-LB112"/>
    <s v="V8-4BH"/>
    <s v="VU-LB112"/>
    <s v="5613530-2"/>
    <s v="単体"/>
    <n v="0"/>
    <s v="M社クロス用BH"/>
    <n v="1"/>
    <d v="2026-08-21T00:00:00"/>
    <d v="2026-09-02T00:00:00"/>
    <d v="2026-09-01T00:00:00"/>
    <d v="2026-09-01T00:00:00"/>
    <m/>
    <m/>
    <s v="VU-LB112"/>
    <m/>
    <s v="V8"/>
    <x v="6"/>
    <n v="21490"/>
    <m/>
    <s v="LAZ102"/>
    <s v="LAY001"/>
    <m/>
    <m/>
    <m/>
    <m/>
    <n v="129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0"/>
    <s v="000397368"/>
    <s v="M社（Ｎ）"/>
    <m/>
    <s v="VU-LA004"/>
    <s v="V8-4BH"/>
    <s v="VU-LA004"/>
    <s v="1892581-2"/>
    <s v="単体"/>
    <n v="1"/>
    <s v="名鉄"/>
    <n v="1"/>
    <d v="2026-08-21T00:00:00"/>
    <d v="2026-09-02T00:00:00"/>
    <d v="2026-09-01T00:00:00"/>
    <d v="2026-09-01T00:00:00"/>
    <m/>
    <m/>
    <s v="VU-LA004"/>
    <m/>
    <s v="V8"/>
    <x v="6"/>
    <n v="21491"/>
    <m/>
    <s v="LAZ101"/>
    <s v="LAY001"/>
    <m/>
    <m/>
    <m/>
    <n v="824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59"/>
    <s v="000403516"/>
    <s v="M社（Ｎ）"/>
    <m/>
    <s v="VU-LA004"/>
    <s v="V8-4BH"/>
    <s v="VU-LA004"/>
    <s v="1892581-2"/>
    <s v="単体"/>
    <n v="1"/>
    <s v="名鉄"/>
    <n v="1"/>
    <d v="2026-08-21T00:00:00"/>
    <d v="2026-09-02T00:00:00"/>
    <d v="2026-09-01T00:00:00"/>
    <d v="2026-09-01T00:00:00"/>
    <m/>
    <m/>
    <s v="VU-LA004"/>
    <m/>
    <s v="V8"/>
    <x v="6"/>
    <n v="21492"/>
    <m/>
    <s v="LAZ101"/>
    <s v="LAY001"/>
    <m/>
    <m/>
    <m/>
    <n v="824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9"/>
    <s v="000397379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3"/>
    <m/>
    <s v="LAZ002"/>
    <s v="LAY002"/>
    <n v="327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8"/>
    <s v="000403517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4"/>
    <m/>
    <s v="LAZ002"/>
    <s v="LAY002"/>
    <n v="327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2"/>
    <s v="000403518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5"/>
    <m/>
    <s v="LAZ002"/>
    <s v="LAY002"/>
    <n v="327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4"/>
    <s v="000403519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6"/>
    <m/>
    <s v="LAZ002"/>
    <s v="LAY002"/>
    <n v="327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6"/>
    <s v="000403520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7"/>
    <m/>
    <s v="LAZ002"/>
    <s v="LAY002"/>
    <n v="327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7"/>
    <s v="000403521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8"/>
    <m/>
    <s v="LAZ002"/>
    <s v="LAY002"/>
    <n v="327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5"/>
    <s v="000403522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499"/>
    <m/>
    <s v="LAZ002"/>
    <s v="LAY002"/>
    <n v="327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563"/>
    <s v="000403523"/>
    <s v="N社（Ｎ）"/>
    <m/>
    <s v="VU-LA007"/>
    <s v="V8-4BH"/>
    <s v="VU-LA007"/>
    <s v="3251849-9"/>
    <s v="単体"/>
    <n v="1"/>
    <m/>
    <n v="1"/>
    <d v="2026-08-21T00:00:00"/>
    <d v="2026-09-02T00:00:00"/>
    <d v="2026-09-01T00:00:00"/>
    <d v="2026-09-01T00:00:00"/>
    <m/>
    <m/>
    <s v="VU-LA007"/>
    <m/>
    <s v="V8"/>
    <x v="6"/>
    <n v="21500"/>
    <m/>
    <s v="LAZ002"/>
    <s v="LAY002"/>
    <n v="327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654"/>
    <s v="000397369"/>
    <s v="N社（Ｎ）"/>
    <m/>
    <s v="VU-LB002"/>
    <s v="V8-4BH"/>
    <s v="VU-LB002"/>
    <s v="1889259-0"/>
    <s v="単体"/>
    <n v="1"/>
    <m/>
    <n v="10"/>
    <m/>
    <d v="2026-10-01T00:00:00"/>
    <d v="2026-09-30T00:00:00"/>
    <d v="2026-10-01T00:00:00"/>
    <m/>
    <m/>
    <s v="VU-LB002"/>
    <m/>
    <s v="V8"/>
    <x v="7"/>
    <n v="21501"/>
    <m/>
    <s v="LAZ002"/>
    <s v="LAY002"/>
    <n v="3279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10"/>
    <n v="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n v="653"/>
    <s v="000397380"/>
    <s v="N社（Ｎ）"/>
    <m/>
    <s v="VU-LA007"/>
    <s v="V8-4BH"/>
    <s v="VU-LA007"/>
    <s v="3251849-9"/>
    <s v="単体"/>
    <n v="1"/>
    <m/>
    <n v="9"/>
    <m/>
    <d v="2026-10-01T00:00:00"/>
    <d v="2026-09-30T00:00:00"/>
    <d v="2026-10-01T00:00:00"/>
    <m/>
    <m/>
    <s v="VU-LA007"/>
    <m/>
    <s v="V8"/>
    <x v="7"/>
    <n v="21502"/>
    <m/>
    <s v="LAZ002"/>
    <s v="LAY002"/>
    <n v="328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9"/>
    <n v="9"/>
    <n v="0"/>
    <n v="0"/>
    <n v="9"/>
    <n v="0"/>
    <n v="9"/>
    <n v="0"/>
    <n v="0"/>
    <n v="0"/>
    <n v="0"/>
    <n v="9"/>
    <n v="9"/>
    <n v="0"/>
    <n v="0"/>
    <n v="9"/>
    <n v="0"/>
    <n v="0"/>
    <n v="0"/>
    <n v="9"/>
    <n v="0"/>
    <n v="0"/>
    <n v="0"/>
    <n v="9"/>
    <n v="0"/>
    <n v="0"/>
    <n v="0"/>
    <n v="0"/>
    <n v="0"/>
    <n v="0"/>
    <n v="0"/>
    <n v="0"/>
    <n v="0"/>
  </r>
  <r>
    <n v="735"/>
    <s v="000401357"/>
    <s v="N社（Ｎ）"/>
    <m/>
    <s v="VU-LB006"/>
    <s v="V8-4BH"/>
    <s v="VU-LB006"/>
    <s v="2206082-6"/>
    <s v="単体"/>
    <n v="1"/>
    <m/>
    <n v="1"/>
    <m/>
    <d v="2026-11-02T00:00:00"/>
    <d v="2026-10-30T00:00:00"/>
    <d v="2026-11-02T00:00:00"/>
    <m/>
    <m/>
    <s v="VU-LB006"/>
    <m/>
    <s v="V8"/>
    <x v="8"/>
    <n v="21503"/>
    <m/>
    <s v="LAZ002"/>
    <s v="LAY002"/>
    <n v="3281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36"/>
    <s v="000401361"/>
    <s v="N社（Ｎ）"/>
    <m/>
    <s v="VU-LC002"/>
    <s v="V8-4BH"/>
    <s v="VU-LC002"/>
    <s v="9709179-4"/>
    <s v="単体"/>
    <n v="1"/>
    <m/>
    <n v="6"/>
    <m/>
    <d v="2026-11-02T00:00:00"/>
    <d v="2026-10-30T00:00:00"/>
    <d v="2026-11-02T00:00:00"/>
    <m/>
    <m/>
    <s v="VU-LC002"/>
    <m/>
    <s v="V8"/>
    <x v="8"/>
    <n v="21504"/>
    <m/>
    <s v="LAZ002"/>
    <s v="LAY002"/>
    <n v="3282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6"/>
    <n v="6"/>
    <n v="0"/>
    <n v="0"/>
    <n v="6"/>
    <n v="0"/>
    <n v="6"/>
    <n v="0"/>
    <n v="0"/>
    <n v="0"/>
    <n v="0"/>
    <n v="6"/>
    <n v="0"/>
    <n v="0"/>
    <n v="6"/>
    <n v="0"/>
    <n v="0"/>
    <n v="0"/>
    <n v="6"/>
    <n v="0"/>
    <n v="0"/>
    <n v="0"/>
    <n v="6"/>
    <n v="6"/>
    <n v="0"/>
    <n v="0"/>
    <n v="0"/>
    <n v="0"/>
    <n v="0"/>
    <n v="0"/>
    <n v="0"/>
    <n v="0"/>
    <n v="0"/>
  </r>
  <r>
    <n v="774"/>
    <s v="000397365"/>
    <s v="M社（Ｎ）"/>
    <m/>
    <s v="VU-LA004"/>
    <s v="V8-4BH"/>
    <s v="VU-LA004"/>
    <s v="1892581-2"/>
    <s v="単体"/>
    <n v="1"/>
    <m/>
    <n v="4"/>
    <m/>
    <d v="2026-11-03T00:00:00"/>
    <d v="2026-11-02T00:00:00"/>
    <d v="2026-11-03T00:00:00"/>
    <m/>
    <m/>
    <s v="VU-LA004"/>
    <m/>
    <s v="V8"/>
    <x v="8"/>
    <n v="21505"/>
    <m/>
    <s v="LAZ101"/>
    <s v="LAY001"/>
    <m/>
    <m/>
    <m/>
    <n v="8246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0"/>
    <n v="0"/>
    <n v="4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n v="776"/>
    <s v="000397370"/>
    <s v="N社（Ｎ）"/>
    <m/>
    <s v="VU-LB002"/>
    <s v="V8-4BH"/>
    <s v="VU-LB002"/>
    <s v="1889259-0"/>
    <s v="単体"/>
    <n v="1"/>
    <m/>
    <n v="10"/>
    <m/>
    <d v="2026-11-04T00:00:00"/>
    <d v="2026-11-03T00:00:00"/>
    <d v="2026-11-04T00:00:00"/>
    <m/>
    <m/>
    <s v="VU-LB002"/>
    <m/>
    <s v="V8"/>
    <x v="8"/>
    <n v="21506"/>
    <m/>
    <s v="LAZ002"/>
    <s v="LAY002"/>
    <n v="3283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10"/>
    <n v="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n v="775"/>
    <s v="000397381"/>
    <s v="N社（Ｎ）"/>
    <m/>
    <s v="VU-LA007"/>
    <s v="V8-4BH"/>
    <s v="VU-LA007"/>
    <s v="3251849-9"/>
    <s v="単体"/>
    <n v="1"/>
    <m/>
    <n v="10"/>
    <m/>
    <d v="2026-11-04T00:00:00"/>
    <d v="2026-11-03T00:00:00"/>
    <d v="2026-11-04T00:00:00"/>
    <m/>
    <m/>
    <s v="VU-LA007"/>
    <m/>
    <s v="V8"/>
    <x v="8"/>
    <n v="21507"/>
    <m/>
    <s v="LAZ002"/>
    <s v="LAY002"/>
    <n v="328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0"/>
    <n v="1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n v="781"/>
    <s v="000397216"/>
    <s v="JR西"/>
    <m/>
    <s v="VU-LB112"/>
    <s v="V8-4BH"/>
    <s v="VU-LB112"/>
    <s v="5613530-2"/>
    <s v="単体"/>
    <n v="0"/>
    <s v="M社クロス用BH"/>
    <n v="1"/>
    <m/>
    <d v="2026-12-01T00:00:00"/>
    <d v="2026-11-30T00:00:00"/>
    <d v="2026-12-01T00:00:00"/>
    <m/>
    <m/>
    <s v="VU-LB112"/>
    <m/>
    <s v="V8"/>
    <x v="9"/>
    <n v="21508"/>
    <m/>
    <s v="LAZ102"/>
    <s v="LAY001"/>
    <m/>
    <m/>
    <m/>
    <m/>
    <n v="129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783"/>
    <s v="000397363"/>
    <s v="M社（Ｎ）"/>
    <m/>
    <s v="VU-LB101"/>
    <s v="V8-4BH"/>
    <s v="VU-LB101"/>
    <s v="0184425-8"/>
    <s v="単体"/>
    <n v="1"/>
    <m/>
    <n v="3"/>
    <m/>
    <d v="2026-12-01T00:00:00"/>
    <d v="2026-11-30T00:00:00"/>
    <d v="2026-12-01T00:00:00"/>
    <m/>
    <m/>
    <s v="VU-LB101"/>
    <m/>
    <s v="V8"/>
    <x v="9"/>
    <n v="21509"/>
    <m/>
    <s v="LAZ101"/>
    <s v="LAY001"/>
    <m/>
    <m/>
    <m/>
    <n v="8247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3"/>
    <n v="0"/>
    <n v="0"/>
    <n v="0"/>
    <n v="3"/>
    <n v="0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n v="782"/>
    <s v="000397366"/>
    <s v="M社（Ｎ）"/>
    <m/>
    <s v="VU-LA004"/>
    <s v="V8-4BH"/>
    <s v="VU-LA004"/>
    <s v="1892581-2"/>
    <s v="単体"/>
    <n v="1"/>
    <m/>
    <n v="3"/>
    <m/>
    <d v="2026-12-01T00:00:00"/>
    <d v="2026-11-30T00:00:00"/>
    <d v="2026-12-01T00:00:00"/>
    <m/>
    <m/>
    <s v="VU-LA004"/>
    <m/>
    <s v="V8"/>
    <x v="9"/>
    <n v="21510"/>
    <m/>
    <s v="LAZ101"/>
    <s v="LAY001"/>
    <m/>
    <m/>
    <m/>
    <n v="8248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3"/>
    <n v="0"/>
    <n v="0"/>
    <n v="0"/>
    <n v="0"/>
    <n v="3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n v="785"/>
    <s v="000397371"/>
    <s v="N社（Ｎ）"/>
    <m/>
    <s v="VU-LB002"/>
    <s v="V8-4BH"/>
    <s v="VU-LB002"/>
    <s v="1889259-0"/>
    <s v="単体"/>
    <n v="1"/>
    <m/>
    <n v="20"/>
    <m/>
    <d v="2026-12-01T00:00:00"/>
    <d v="2026-11-30T00:00:00"/>
    <d v="2026-12-01T00:00:00"/>
    <m/>
    <m/>
    <s v="VU-LB002"/>
    <m/>
    <s v="V8"/>
    <x v="9"/>
    <n v="21511"/>
    <m/>
    <s v="LAZ002"/>
    <s v="LAY002"/>
    <n v="3285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n v="809"/>
    <s v="000397364"/>
    <s v="M社（Ｎ）"/>
    <m/>
    <s v="VU-LB101"/>
    <s v="V8-4BH"/>
    <s v="VU-LB101"/>
    <s v="0184425-8"/>
    <s v="単体"/>
    <n v="1"/>
    <m/>
    <n v="11"/>
    <m/>
    <d v="2027-01-01T00:00:00"/>
    <d v="2026-12-31T00:00:00"/>
    <d v="2027-01-01T00:00:00"/>
    <m/>
    <m/>
    <s v="VU-LB101"/>
    <m/>
    <s v="V8"/>
    <x v="10"/>
    <n v="21512"/>
    <m/>
    <s v="LAZ101"/>
    <s v="LAY001"/>
    <m/>
    <m/>
    <m/>
    <n v="8249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1"/>
    <n v="11"/>
    <n v="0"/>
    <n v="0"/>
    <n v="11"/>
    <n v="0"/>
    <n v="11"/>
    <n v="0"/>
    <n v="0"/>
    <n v="0"/>
    <n v="11"/>
    <n v="0"/>
    <n v="11"/>
    <n v="0"/>
    <n v="0"/>
    <n v="11"/>
    <n v="0"/>
    <n v="0"/>
    <n v="0"/>
    <n v="11"/>
    <n v="0"/>
    <n v="0"/>
    <n v="0"/>
    <n v="11"/>
    <n v="0"/>
    <n v="0"/>
    <n v="0"/>
    <n v="0"/>
    <n v="0"/>
    <n v="0"/>
    <n v="0"/>
    <n v="0"/>
    <n v="0"/>
  </r>
  <r>
    <n v="811"/>
    <s v="000397367"/>
    <s v="M社（Ｎ）"/>
    <m/>
    <s v="VU-LA004"/>
    <s v="V8-4BH"/>
    <s v="VU-LA004"/>
    <s v="1892581-2"/>
    <s v="単体"/>
    <n v="1"/>
    <m/>
    <n v="35"/>
    <m/>
    <d v="2027-01-04T00:00:00"/>
    <d v="2027-01-01T00:00:00"/>
    <d v="2027-01-04T00:00:00"/>
    <m/>
    <m/>
    <s v="VU-LA004"/>
    <m/>
    <s v="V8"/>
    <x v="10"/>
    <n v="21513"/>
    <m/>
    <s v="LAZ101"/>
    <s v="LAY001"/>
    <m/>
    <m/>
    <m/>
    <n v="825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5"/>
    <n v="35"/>
    <n v="0"/>
    <n v="0"/>
    <n v="35"/>
    <n v="0"/>
    <n v="35"/>
    <n v="0"/>
    <n v="0"/>
    <n v="0"/>
    <n v="0"/>
    <n v="35"/>
    <n v="35"/>
    <n v="0"/>
    <n v="0"/>
    <n v="35"/>
    <n v="0"/>
    <n v="0"/>
    <n v="0"/>
    <n v="35"/>
    <n v="0"/>
    <n v="0"/>
    <n v="0"/>
    <n v="35"/>
    <n v="0"/>
    <n v="0"/>
    <n v="0"/>
    <n v="0"/>
    <n v="0"/>
    <n v="0"/>
    <n v="0"/>
    <n v="0"/>
    <n v="0"/>
  </r>
  <r>
    <n v="813"/>
    <s v="000397372"/>
    <s v="N社（Ｎ）"/>
    <m/>
    <s v="VU-LB002"/>
    <s v="V8-4BH"/>
    <s v="VU-LB002"/>
    <s v="1889259-0"/>
    <s v="単体"/>
    <n v="1"/>
    <m/>
    <n v="20"/>
    <m/>
    <d v="2027-01-04T00:00:00"/>
    <d v="2027-01-01T00:00:00"/>
    <d v="2027-01-04T00:00:00"/>
    <m/>
    <m/>
    <s v="VU-LB002"/>
    <m/>
    <s v="V8"/>
    <x v="10"/>
    <n v="21514"/>
    <m/>
    <s v="LAZ002"/>
    <s v="LAY002"/>
    <n v="3286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n v="812"/>
    <s v="000397382"/>
    <s v="N社（Ｎ）"/>
    <m/>
    <s v="VU-LA007"/>
    <s v="V8-4BH"/>
    <s v="VU-LA007"/>
    <s v="3251849-9"/>
    <s v="単体"/>
    <n v="1"/>
    <m/>
    <n v="2"/>
    <m/>
    <d v="2027-01-04T00:00:00"/>
    <d v="2027-01-01T00:00:00"/>
    <d v="2027-01-04T00:00:00"/>
    <m/>
    <m/>
    <s v="VU-LA007"/>
    <m/>
    <s v="V8"/>
    <x v="10"/>
    <n v="21515"/>
    <m/>
    <s v="LAZ002"/>
    <s v="LAY002"/>
    <n v="328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2"/>
    <n v="0"/>
    <n v="0"/>
    <n v="2"/>
    <n v="0"/>
    <n v="0"/>
    <n v="0"/>
    <n v="2"/>
    <n v="0"/>
    <n v="0"/>
    <n v="0"/>
    <n v="2"/>
    <n v="0"/>
    <n v="0"/>
    <n v="0"/>
    <n v="0"/>
    <n v="0"/>
    <n v="0"/>
    <n v="0"/>
    <n v="0"/>
    <n v="0"/>
  </r>
  <r>
    <n v="814"/>
    <s v="000397385"/>
    <s v="N社（Ｎ）"/>
    <m/>
    <s v="VU-LC002"/>
    <s v="V8-4BH"/>
    <s v="VU-LC002"/>
    <s v="9709179-4"/>
    <s v="単体"/>
    <n v="1"/>
    <m/>
    <n v="14"/>
    <m/>
    <d v="2027-01-04T00:00:00"/>
    <d v="2027-01-01T00:00:00"/>
    <d v="2027-01-04T00:00:00"/>
    <m/>
    <m/>
    <s v="VU-LC002"/>
    <m/>
    <s v="V8"/>
    <x v="10"/>
    <n v="21516"/>
    <m/>
    <s v="LAZ002"/>
    <s v="LAY002"/>
    <n v="3288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4"/>
    <n v="14"/>
    <n v="0"/>
    <n v="0"/>
    <n v="14"/>
    <n v="0"/>
    <n v="14"/>
    <n v="0"/>
    <n v="0"/>
    <n v="0"/>
    <n v="0"/>
    <n v="14"/>
    <n v="0"/>
    <n v="0"/>
    <n v="14"/>
    <n v="0"/>
    <n v="0"/>
    <n v="0"/>
    <n v="14"/>
    <n v="0"/>
    <n v="0"/>
    <n v="0"/>
    <n v="14"/>
    <n v="14"/>
    <n v="0"/>
    <n v="0"/>
    <n v="0"/>
    <n v="0"/>
    <n v="0"/>
    <n v="0"/>
    <n v="0"/>
    <n v="0"/>
    <n v="0"/>
  </r>
  <r>
    <n v="836"/>
    <s v="000397076"/>
    <s v="JR西"/>
    <m/>
    <m/>
    <s v="JR西FA70(EXV)"/>
    <s v="3S2EU-RDP-0001"/>
    <s v="2874359-3"/>
    <s v="機器"/>
    <n v="0"/>
    <m/>
    <n v="1"/>
    <m/>
    <d v="2027-01-05T00:00:00"/>
    <d v="2027-01-04T00:00:00"/>
    <d v="2027-01-05T00:00:00"/>
    <m/>
    <m/>
    <s v="VU-LB112"/>
    <m/>
    <s v="V8"/>
    <x v="10"/>
    <n v="21517"/>
    <m/>
    <s v="LAZ102"/>
    <s v="LAY001"/>
    <m/>
    <m/>
    <m/>
    <m/>
    <n v="129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n v="845"/>
    <s v="000397373"/>
    <s v="N社（Ｎ）"/>
    <m/>
    <s v="VU-LB002"/>
    <s v="V8-4BH"/>
    <s v="VU-LB002"/>
    <s v="1889259-0"/>
    <s v="単体"/>
    <n v="1"/>
    <m/>
    <n v="20"/>
    <m/>
    <d v="2027-02-01T00:00:00"/>
    <d v="2027-01-29T00:00:00"/>
    <d v="2027-02-01T00:00:00"/>
    <m/>
    <m/>
    <s v="VU-LB002"/>
    <m/>
    <s v="V8"/>
    <x v="11"/>
    <n v="21518"/>
    <m/>
    <s v="LAZ002"/>
    <s v="LAY002"/>
    <n v="3289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n v="844"/>
    <s v="000397383"/>
    <s v="N社（Ｎ）"/>
    <m/>
    <s v="VU-LA007"/>
    <s v="V8-4BH"/>
    <s v="VU-LA007"/>
    <s v="3251849-9"/>
    <s v="単体"/>
    <n v="1"/>
    <m/>
    <n v="15"/>
    <m/>
    <d v="2027-02-01T00:00:00"/>
    <d v="2027-01-29T00:00:00"/>
    <d v="2027-02-01T00:00:00"/>
    <m/>
    <m/>
    <s v="VU-LA007"/>
    <m/>
    <s v="V8"/>
    <x v="11"/>
    <n v="21519"/>
    <m/>
    <s v="LAZ002"/>
    <s v="LAY002"/>
    <n v="329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5"/>
    <n v="15"/>
    <n v="0"/>
    <n v="0"/>
    <n v="15"/>
    <n v="0"/>
    <n v="15"/>
    <n v="0"/>
    <n v="0"/>
    <n v="0"/>
    <n v="0"/>
    <n v="15"/>
    <n v="15"/>
    <n v="0"/>
    <n v="0"/>
    <n v="15"/>
    <n v="0"/>
    <n v="0"/>
    <n v="0"/>
    <n v="15"/>
    <n v="0"/>
    <n v="0"/>
    <n v="0"/>
    <n v="15"/>
    <n v="0"/>
    <n v="0"/>
    <n v="0"/>
    <n v="0"/>
    <n v="0"/>
    <n v="0"/>
    <n v="0"/>
    <n v="0"/>
    <n v="0"/>
  </r>
  <r>
    <n v="846"/>
    <s v="000397386"/>
    <s v="N社（Ｎ）"/>
    <m/>
    <s v="VU-LC002"/>
    <s v="V8-4BH"/>
    <s v="VU-LC002"/>
    <s v="9709179-4"/>
    <s v="単体"/>
    <n v="1"/>
    <m/>
    <n v="2"/>
    <m/>
    <d v="2027-02-01T00:00:00"/>
    <d v="2027-01-29T00:00:00"/>
    <d v="2027-02-01T00:00:00"/>
    <m/>
    <m/>
    <s v="VU-LC002"/>
    <m/>
    <s v="V8"/>
    <x v="11"/>
    <n v="21520"/>
    <m/>
    <s v="LAZ002"/>
    <s v="LAY002"/>
    <n v="3291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n v="853"/>
    <s v="000397374"/>
    <s v="N社（Ｎ）"/>
    <m/>
    <s v="VU-LB002"/>
    <s v="V8-4BH"/>
    <s v="VU-LB002"/>
    <s v="1889259-0"/>
    <s v="単体"/>
    <n v="1"/>
    <m/>
    <n v="25"/>
    <m/>
    <d v="2027-03-01T00:00:00"/>
    <d v="2027-02-26T00:00:00"/>
    <d v="2027-03-01T00:00:00"/>
    <m/>
    <m/>
    <s v="VU-LB002"/>
    <m/>
    <s v="V8"/>
    <x v="12"/>
    <n v="21521"/>
    <m/>
    <s v="LAZ002"/>
    <s v="LAY002"/>
    <n v="3292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0"/>
    <n v="25"/>
    <n v="0"/>
    <n v="0"/>
    <n v="0"/>
    <n v="25"/>
    <n v="0"/>
    <n v="0"/>
    <n v="0"/>
    <n v="25"/>
    <n v="0"/>
    <n v="0"/>
    <n v="0"/>
    <n v="0"/>
    <n v="0"/>
    <n v="0"/>
    <n v="0"/>
    <n v="0"/>
    <n v="0"/>
  </r>
  <r>
    <n v="852"/>
    <s v="000401358"/>
    <s v="N社（Ｎ）"/>
    <m/>
    <s v="VU-LA007"/>
    <s v="V8-4BH"/>
    <s v="VU-LA007"/>
    <s v="3251849-9"/>
    <s v="単体"/>
    <n v="1"/>
    <m/>
    <n v="8"/>
    <m/>
    <d v="2027-03-01T00:00:00"/>
    <d v="2027-02-26T00:00:00"/>
    <d v="2027-03-01T00:00:00"/>
    <m/>
    <m/>
    <s v="VU-LA007"/>
    <m/>
    <s v="V8"/>
    <x v="12"/>
    <n v="21522"/>
    <m/>
    <s v="LAZ002"/>
    <s v="LAY002"/>
    <n v="329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n v="854"/>
    <s v="000401364"/>
    <s v="N社（Ｎ）"/>
    <m/>
    <s v="VU-LC002"/>
    <s v="V8-4BH"/>
    <s v="VU-LC002"/>
    <s v="9709179-4"/>
    <s v="単体"/>
    <n v="1"/>
    <m/>
    <n v="2"/>
    <m/>
    <d v="2027-03-01T00:00:00"/>
    <d v="2027-02-26T00:00:00"/>
    <d v="2027-03-01T00:00:00"/>
    <m/>
    <m/>
    <s v="VU-LC002"/>
    <m/>
    <s v="V8"/>
    <x v="12"/>
    <n v="21523"/>
    <m/>
    <s v="LAZ002"/>
    <s v="LAY002"/>
    <n v="3294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n v="856"/>
    <s v="000401359"/>
    <s v="N社（Ｎ）"/>
    <m/>
    <s v="VU-LA007"/>
    <s v="V8-4BH"/>
    <s v="VU-LA007"/>
    <s v="3251849-9"/>
    <s v="単体"/>
    <n v="1"/>
    <m/>
    <n v="8"/>
    <m/>
    <d v="2027-04-01T00:00:00"/>
    <d v="2027-03-31T00:00:00"/>
    <d v="2027-04-01T00:00:00"/>
    <m/>
    <m/>
    <s v="VU-LA007"/>
    <m/>
    <s v="V8"/>
    <x v="13"/>
    <n v="21524"/>
    <m/>
    <s v="LAZ002"/>
    <s v="LAY002"/>
    <n v="329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n v="857"/>
    <s v="000401365"/>
    <s v="N社（Ｎ）"/>
    <m/>
    <s v="VU-LC002"/>
    <s v="V8-4BH"/>
    <s v="VU-LC002"/>
    <s v="9709179-4"/>
    <s v="単体"/>
    <n v="1"/>
    <m/>
    <n v="2"/>
    <m/>
    <d v="2027-04-01T00:00:00"/>
    <d v="2027-03-31T00:00:00"/>
    <d v="2027-04-01T00:00:00"/>
    <m/>
    <m/>
    <s v="VU-LC002"/>
    <m/>
    <s v="V8"/>
    <x v="13"/>
    <n v="21525"/>
    <m/>
    <s v="LAZ002"/>
    <s v="LAY002"/>
    <n v="3296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n v="866"/>
    <s v="000397375"/>
    <s v="N社（Ｎ）"/>
    <m/>
    <s v="VU-LB002"/>
    <s v="V8-4BH"/>
    <s v="VU-LB002"/>
    <s v="1889259-0"/>
    <s v="単体"/>
    <n v="1"/>
    <m/>
    <n v="25"/>
    <m/>
    <d v="2027-04-06T00:00:00"/>
    <d v="2027-04-05T00:00:00"/>
    <d v="2027-04-06T00:00:00"/>
    <m/>
    <m/>
    <s v="VU-LB002"/>
    <m/>
    <s v="V8"/>
    <x v="13"/>
    <n v="21526"/>
    <m/>
    <s v="LAZ002"/>
    <s v="LAY002"/>
    <n v="3297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0"/>
    <n v="25"/>
    <n v="0"/>
    <n v="0"/>
    <n v="0"/>
    <n v="25"/>
    <n v="0"/>
    <n v="0"/>
    <n v="0"/>
    <n v="25"/>
    <n v="0"/>
    <n v="0"/>
    <n v="0"/>
    <n v="0"/>
    <n v="0"/>
    <n v="0"/>
    <n v="0"/>
    <n v="0"/>
    <n v="0"/>
  </r>
  <r>
    <n v="42"/>
    <s v="000389428-05"/>
    <s v="先行生産"/>
    <m/>
    <s v="YB-LA001"/>
    <s v="V9-BH　計画生産"/>
    <s v="YB-LA001"/>
    <s v="5685000-1"/>
    <s v="単体"/>
    <n v="0"/>
    <m/>
    <n v="1"/>
    <d v="2026-02-06T00:00:00"/>
    <d v="2026-03-02T00:00:00"/>
    <d v="2026-02-20T00:00:00"/>
    <d v="2026-02-24T00:00:00"/>
    <m/>
    <s v="MC-52048"/>
    <s v="YB-LA001"/>
    <m/>
    <s v="V9"/>
    <x v="0"/>
    <n v="1528"/>
    <m/>
    <m/>
    <m/>
    <n v="882"/>
    <m/>
    <n v="9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42"/>
    <s v="000389428-06"/>
    <s v="先行生産"/>
    <m/>
    <s v="YB-LA001"/>
    <s v="V9-BH　計画生産"/>
    <s v="YB-LA001"/>
    <s v="5685000-1"/>
    <s v="単体"/>
    <n v="0"/>
    <m/>
    <n v="1"/>
    <d v="2026-02-06T00:00:00"/>
    <d v="2026-03-03T00:00:00"/>
    <d v="2026-02-20T00:00:00"/>
    <d v="2026-02-24T00:00:00"/>
    <m/>
    <s v="MC-52048"/>
    <s v="YB-LA001"/>
    <m/>
    <s v="V9"/>
    <x v="0"/>
    <n v="1529"/>
    <m/>
    <m/>
    <m/>
    <n v="883"/>
    <m/>
    <n v="9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1"/>
    <s v="先行生産"/>
    <m/>
    <s v="YB-LA001"/>
    <s v="V9-BH　計画生産"/>
    <s v="YB-LA001"/>
    <s v="5685000-1"/>
    <s v="単体"/>
    <n v="0"/>
    <m/>
    <n v="1"/>
    <d v="2026-02-27T00:00:00"/>
    <d v="2026-03-23T00:00:00"/>
    <d v="2026-03-19T00:00:00"/>
    <d v="2026-03-19T00:00:00"/>
    <m/>
    <s v="MC-52160"/>
    <s v="YB-LA001"/>
    <m/>
    <s v="V9"/>
    <x v="0"/>
    <n v="1530"/>
    <m/>
    <m/>
    <m/>
    <n v="884"/>
    <m/>
    <n v="9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2"/>
    <s v="先行生産"/>
    <m/>
    <s v="YB-LA001"/>
    <s v="V9-BH　計画生産"/>
    <s v="YB-LA001"/>
    <s v="5685000-1"/>
    <s v="単体"/>
    <n v="0"/>
    <m/>
    <n v="1"/>
    <d v="2026-02-27T00:00:00"/>
    <d v="2026-03-23T00:00:00"/>
    <d v="2026-03-19T00:00:00"/>
    <d v="2026-03-19T00:00:00"/>
    <m/>
    <s v="MC-52160"/>
    <s v="YB-LA001"/>
    <m/>
    <s v="V9"/>
    <x v="0"/>
    <n v="1531"/>
    <m/>
    <m/>
    <m/>
    <n v="885"/>
    <m/>
    <n v="9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3"/>
    <s v="先行生産"/>
    <m/>
    <s v="YB-LA001"/>
    <s v="V9-BH　計画生産"/>
    <s v="YB-LA001"/>
    <s v="5685000-1"/>
    <s v="単体"/>
    <n v="0"/>
    <m/>
    <n v="1"/>
    <d v="2026-02-27T00:00:00"/>
    <d v="2026-03-23T00:00:00"/>
    <d v="2026-03-19T00:00:00"/>
    <d v="2026-03-19T00:00:00"/>
    <m/>
    <s v="MC-52160"/>
    <s v="YB-LA001"/>
    <m/>
    <s v="V9"/>
    <x v="0"/>
    <n v="1532"/>
    <m/>
    <m/>
    <m/>
    <n v="886"/>
    <m/>
    <n v="9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4"/>
    <s v="先行生産"/>
    <m/>
    <s v="YB-LA001"/>
    <s v="V9-BH　計画生産"/>
    <s v="YB-LA001"/>
    <s v="5685000-1"/>
    <s v="単体"/>
    <n v="0"/>
    <m/>
    <n v="1"/>
    <d v="2026-02-27T00:00:00"/>
    <d v="2026-03-24T00:00:00"/>
    <d v="2026-03-19T00:00:00"/>
    <d v="2026-03-19T00:00:00"/>
    <m/>
    <s v="MC-52160"/>
    <s v="YB-LA001"/>
    <m/>
    <s v="V9"/>
    <x v="0"/>
    <n v="1533"/>
    <m/>
    <m/>
    <m/>
    <n v="887"/>
    <m/>
    <n v="9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5"/>
    <s v="先行生産"/>
    <m/>
    <s v="YB-LA001"/>
    <s v="V9-BH　計画生産"/>
    <s v="YB-LA001"/>
    <s v="5685000-1"/>
    <s v="単体"/>
    <n v="0"/>
    <m/>
    <n v="1"/>
    <d v="2026-02-27T00:00:00"/>
    <d v="2026-03-24T00:00:00"/>
    <d v="2026-03-19T00:00:00"/>
    <d v="2026-03-19T00:00:00"/>
    <m/>
    <s v="MC-52160"/>
    <s v="YB-LA001"/>
    <m/>
    <s v="V9"/>
    <x v="0"/>
    <n v="1534"/>
    <m/>
    <m/>
    <m/>
    <n v="888"/>
    <m/>
    <n v="9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6"/>
    <s v="先行生産"/>
    <m/>
    <s v="YB-LA001"/>
    <s v="V9-BH　計画生産"/>
    <s v="YB-LA001"/>
    <s v="5685000-1"/>
    <s v="単体"/>
    <n v="0"/>
    <m/>
    <n v="1"/>
    <d v="2026-02-27T00:00:00"/>
    <d v="2026-03-24T00:00:00"/>
    <d v="2026-03-19T00:00:00"/>
    <d v="2026-03-19T00:00:00"/>
    <m/>
    <s v="MC-52160"/>
    <s v="YB-LA001"/>
    <m/>
    <s v="V9"/>
    <x v="0"/>
    <n v="1535"/>
    <m/>
    <m/>
    <m/>
    <n v="889"/>
    <m/>
    <n v="9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7"/>
    <s v="先行生産"/>
    <m/>
    <s v="YB-LA001"/>
    <s v="V9-BH　計画生産"/>
    <s v="YB-LA001"/>
    <s v="5685000-1"/>
    <s v="単体"/>
    <n v="0"/>
    <m/>
    <n v="1"/>
    <d v="2026-02-27T00:00:00"/>
    <d v="2026-03-25T00:00:00"/>
    <d v="2026-03-19T00:00:00"/>
    <d v="2026-03-19T00:00:00"/>
    <m/>
    <s v="MC-52160"/>
    <s v="YB-LA001"/>
    <m/>
    <s v="V9"/>
    <x v="0"/>
    <n v="1536"/>
    <m/>
    <m/>
    <m/>
    <n v="890"/>
    <m/>
    <n v="9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8"/>
    <s v="先行生産"/>
    <m/>
    <s v="YB-LA001"/>
    <s v="V9-BH　計画生産"/>
    <s v="YB-LA001"/>
    <s v="5685000-1"/>
    <s v="単体"/>
    <n v="0"/>
    <m/>
    <n v="1"/>
    <d v="2026-02-27T00:00:00"/>
    <d v="2026-03-25T00:00:00"/>
    <d v="2026-03-19T00:00:00"/>
    <d v="2026-03-19T00:00:00"/>
    <m/>
    <s v="MC-52160"/>
    <s v="YB-LA001"/>
    <m/>
    <s v="V9"/>
    <x v="0"/>
    <n v="1537"/>
    <m/>
    <m/>
    <m/>
    <n v="891"/>
    <m/>
    <n v="9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09"/>
    <s v="先行生産"/>
    <m/>
    <s v="YB-LA001"/>
    <s v="V9-BH　計画生産"/>
    <s v="YB-LA001"/>
    <s v="5685000-1"/>
    <s v="単体"/>
    <n v="0"/>
    <m/>
    <n v="1"/>
    <d v="2026-02-27T00:00:00"/>
    <d v="2026-03-26T00:00:00"/>
    <d v="2026-03-19T00:00:00"/>
    <d v="2026-03-19T00:00:00"/>
    <m/>
    <s v="MC-52160"/>
    <s v="YB-LA001"/>
    <m/>
    <s v="V9"/>
    <x v="0"/>
    <n v="1538"/>
    <m/>
    <m/>
    <m/>
    <n v="892"/>
    <m/>
    <n v="9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10"/>
    <s v="先行生産"/>
    <m/>
    <s v="YB-LA001"/>
    <s v="V9-BH　計画生産"/>
    <s v="YB-LA001"/>
    <s v="5685000-1"/>
    <s v="単体"/>
    <n v="0"/>
    <m/>
    <n v="1"/>
    <d v="2026-02-27T00:00:00"/>
    <d v="2026-03-26T00:00:00"/>
    <d v="2026-03-19T00:00:00"/>
    <d v="2026-03-19T00:00:00"/>
    <m/>
    <s v="MC-52160"/>
    <s v="YB-LA001"/>
    <m/>
    <s v="V9"/>
    <x v="0"/>
    <n v="1539"/>
    <m/>
    <m/>
    <m/>
    <n v="893"/>
    <m/>
    <n v="9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11"/>
    <s v="先行生産"/>
    <m/>
    <s v="YB-LA001"/>
    <s v="V9-BH　計画生産"/>
    <s v="YB-LA001"/>
    <s v="5685000-1"/>
    <s v="単体"/>
    <n v="0"/>
    <m/>
    <n v="1"/>
    <d v="2026-02-27T00:00:00"/>
    <d v="2026-03-31T00:00:00"/>
    <d v="2026-03-19T00:00:00"/>
    <d v="2026-03-19T00:00:00"/>
    <m/>
    <s v="MC-52160"/>
    <s v="YB-LA001"/>
    <m/>
    <s v="V9"/>
    <x v="0"/>
    <n v="1540"/>
    <m/>
    <m/>
    <m/>
    <n v="894"/>
    <m/>
    <n v="9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"/>
    <s v="000389430-12"/>
    <s v="先行生産"/>
    <m/>
    <s v="YB-LA001"/>
    <s v="V9-BH　計画生産"/>
    <s v="YB-LA001"/>
    <s v="5685000-1"/>
    <s v="単体"/>
    <n v="0"/>
    <m/>
    <n v="1"/>
    <d v="2026-02-27T00:00:00"/>
    <d v="2026-03-31T00:00:00"/>
    <d v="2026-03-19T00:00:00"/>
    <d v="2026-03-19T00:00:00"/>
    <m/>
    <s v="MC-52160"/>
    <s v="YB-LA001"/>
    <m/>
    <s v="V9"/>
    <x v="0"/>
    <n v="1541"/>
    <m/>
    <m/>
    <m/>
    <n v="895"/>
    <m/>
    <n v="9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1"/>
    <s v="先行生産"/>
    <m/>
    <s v="YB-LA001"/>
    <s v="V9-BH　計画生産"/>
    <s v="YB-LA001"/>
    <s v="5685000-1"/>
    <s v="単体"/>
    <n v="0"/>
    <m/>
    <n v="1"/>
    <d v="2026-02-27T00:00:00"/>
    <d v="2026-04-01T00:00:00"/>
    <d v="2026-03-26T00:00:00"/>
    <d v="2026-03-31T00:00:00"/>
    <m/>
    <s v="MC-52162"/>
    <s v="YB-LA001"/>
    <m/>
    <s v="V9"/>
    <x v="1"/>
    <n v="1542"/>
    <m/>
    <m/>
    <m/>
    <n v="896"/>
    <m/>
    <n v="9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2"/>
    <s v="先行生産"/>
    <m/>
    <s v="YB-LA001"/>
    <s v="V9-BH　計画生産"/>
    <s v="YB-LA001"/>
    <s v="5685000-1"/>
    <s v="単体"/>
    <n v="0"/>
    <m/>
    <n v="1"/>
    <d v="2026-02-27T00:00:00"/>
    <d v="2026-04-01T00:00:00"/>
    <d v="2026-03-26T00:00:00"/>
    <d v="2026-03-31T00:00:00"/>
    <m/>
    <s v="MC-52162"/>
    <s v="YB-LA001"/>
    <m/>
    <s v="V9"/>
    <x v="1"/>
    <n v="1543"/>
    <m/>
    <m/>
    <m/>
    <n v="897"/>
    <m/>
    <n v="9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3"/>
    <s v="先行生産"/>
    <m/>
    <s v="YB-LA001"/>
    <s v="V9-BH　計画生産"/>
    <s v="YB-LA001"/>
    <s v="5685000-1"/>
    <s v="単体"/>
    <n v="0"/>
    <m/>
    <n v="1"/>
    <d v="2026-02-27T00:00:00"/>
    <d v="2026-04-01T00:00:00"/>
    <d v="2026-03-26T00:00:00"/>
    <d v="2026-03-31T00:00:00"/>
    <m/>
    <s v="MC-52162"/>
    <s v="YB-LA001"/>
    <m/>
    <s v="V9"/>
    <x v="1"/>
    <n v="1544"/>
    <m/>
    <m/>
    <m/>
    <n v="898"/>
    <m/>
    <n v="9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4"/>
    <s v="先行生産"/>
    <m/>
    <s v="YB-LA001"/>
    <s v="V9-BH　計画生産"/>
    <s v="YB-LA001"/>
    <s v="5685000-1"/>
    <s v="単体"/>
    <n v="0"/>
    <m/>
    <n v="1"/>
    <d v="2026-02-27T00:00:00"/>
    <d v="2026-04-02T00:00:00"/>
    <d v="2026-03-26T00:00:00"/>
    <d v="2026-03-31T00:00:00"/>
    <m/>
    <s v="MC-52162"/>
    <s v="YB-LA001"/>
    <m/>
    <s v="V9"/>
    <x v="1"/>
    <n v="1545"/>
    <m/>
    <m/>
    <m/>
    <n v="899"/>
    <m/>
    <n v="9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5"/>
    <s v="先行生産"/>
    <m/>
    <s v="YB-LA001"/>
    <s v="V9-BH　計画生産"/>
    <s v="YB-LA001"/>
    <s v="5685000-1"/>
    <s v="単体"/>
    <n v="0"/>
    <m/>
    <n v="1"/>
    <d v="2026-02-27T00:00:00"/>
    <d v="2026-04-02T00:00:00"/>
    <d v="2026-03-26T00:00:00"/>
    <d v="2026-03-31T00:00:00"/>
    <m/>
    <s v="MC-52162"/>
    <s v="YB-LA001"/>
    <m/>
    <s v="V9"/>
    <x v="1"/>
    <n v="1546"/>
    <m/>
    <m/>
    <m/>
    <n v="900"/>
    <m/>
    <n v="9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6"/>
    <s v="先行生産"/>
    <m/>
    <s v="YB-LA001"/>
    <s v="V9-BH　計画生産"/>
    <s v="YB-LA001"/>
    <s v="5685000-1"/>
    <s v="単体"/>
    <n v="0"/>
    <m/>
    <n v="1"/>
    <d v="2026-02-27T00:00:00"/>
    <d v="2026-04-02T00:00:00"/>
    <d v="2026-03-26T00:00:00"/>
    <d v="2026-03-31T00:00:00"/>
    <m/>
    <s v="MC-52162"/>
    <s v="YB-LA001"/>
    <m/>
    <s v="V9"/>
    <x v="1"/>
    <n v="1547"/>
    <m/>
    <m/>
    <m/>
    <n v="901"/>
    <m/>
    <n v="9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7"/>
    <s v="先行生産"/>
    <m/>
    <s v="YB-LA001"/>
    <s v="V9-BH　計画生産"/>
    <s v="YB-LA001"/>
    <s v="5685000-1"/>
    <s v="単体"/>
    <n v="0"/>
    <m/>
    <n v="1"/>
    <d v="2026-02-27T00:00:00"/>
    <d v="2026-04-03T00:00:00"/>
    <d v="2026-03-26T00:00:00"/>
    <d v="2026-03-31T00:00:00"/>
    <m/>
    <s v="MC-52162"/>
    <s v="YB-LA001"/>
    <m/>
    <s v="V9"/>
    <x v="1"/>
    <n v="1548"/>
    <m/>
    <m/>
    <m/>
    <n v="902"/>
    <m/>
    <n v="9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8"/>
    <s v="先行生産"/>
    <m/>
    <s v="YB-LA001"/>
    <s v="V9-BH　計画生産"/>
    <s v="YB-LA001"/>
    <s v="5685000-1"/>
    <s v="単体"/>
    <n v="0"/>
    <m/>
    <n v="1"/>
    <d v="2026-02-27T00:00:00"/>
    <d v="2026-04-03T00:00:00"/>
    <d v="2026-03-26T00:00:00"/>
    <d v="2026-03-31T00:00:00"/>
    <m/>
    <s v="MC-52162"/>
    <s v="YB-LA001"/>
    <m/>
    <s v="V9"/>
    <x v="1"/>
    <n v="1549"/>
    <m/>
    <m/>
    <m/>
    <n v="903"/>
    <m/>
    <n v="9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09"/>
    <s v="先行生産"/>
    <m/>
    <s v="YB-LA001"/>
    <s v="V9-BH　計画生産"/>
    <s v="YB-LA001"/>
    <s v="5685000-1"/>
    <s v="単体"/>
    <n v="0"/>
    <m/>
    <n v="1"/>
    <d v="2026-02-27T00:00:00"/>
    <d v="2026-04-06T00:00:00"/>
    <d v="2026-03-26T00:00:00"/>
    <d v="2026-03-31T00:00:00"/>
    <m/>
    <s v="MC-52162"/>
    <s v="YB-LA001"/>
    <m/>
    <s v="V9"/>
    <x v="1"/>
    <n v="1550"/>
    <m/>
    <m/>
    <m/>
    <n v="904"/>
    <m/>
    <n v="9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10"/>
    <s v="先行生産"/>
    <m/>
    <s v="YB-LA001"/>
    <s v="V9-BH　計画生産"/>
    <s v="YB-LA001"/>
    <s v="5685000-1"/>
    <s v="単体"/>
    <n v="0"/>
    <m/>
    <n v="1"/>
    <d v="2026-02-27T00:00:00"/>
    <d v="2026-04-06T00:00:00"/>
    <d v="2026-03-26T00:00:00"/>
    <d v="2026-03-31T00:00:00"/>
    <m/>
    <s v="MC-52162"/>
    <s v="YB-LA001"/>
    <m/>
    <s v="V9"/>
    <x v="1"/>
    <n v="1551"/>
    <m/>
    <m/>
    <m/>
    <n v="905"/>
    <m/>
    <n v="9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11"/>
    <s v="先行生産"/>
    <m/>
    <s v="YB-LA001"/>
    <s v="V9-BH　計画生産"/>
    <s v="YB-LA001"/>
    <s v="5685000-1"/>
    <s v="単体"/>
    <n v="0"/>
    <m/>
    <n v="1"/>
    <d v="2026-02-27T00:00:00"/>
    <d v="2026-04-07T00:00:00"/>
    <d v="2026-03-26T00:00:00"/>
    <d v="2026-03-31T00:00:00"/>
    <m/>
    <s v="MC-52162"/>
    <s v="YB-LA001"/>
    <m/>
    <s v="V9"/>
    <x v="1"/>
    <n v="1552"/>
    <m/>
    <m/>
    <m/>
    <n v="906"/>
    <m/>
    <n v="9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1"/>
    <s v="000391137-12"/>
    <s v="先行生産"/>
    <m/>
    <s v="YB-LA001"/>
    <s v="V9-BH　計画生産"/>
    <s v="YB-LA001"/>
    <s v="5685000-1"/>
    <s v="単体"/>
    <n v="0"/>
    <m/>
    <n v="1"/>
    <d v="2026-02-27T00:00:00"/>
    <d v="2026-04-07T00:00:00"/>
    <d v="2026-03-26T00:00:00"/>
    <d v="2026-03-31T00:00:00"/>
    <m/>
    <s v="MC-52162"/>
    <s v="YB-LA001"/>
    <m/>
    <s v="V9"/>
    <x v="1"/>
    <n v="1553"/>
    <m/>
    <m/>
    <m/>
    <n v="907"/>
    <m/>
    <n v="9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1"/>
    <s v="先行生産"/>
    <m/>
    <s v="YB-LA001"/>
    <s v="V9-BH　計画生産"/>
    <s v="YB-LA001"/>
    <s v="5685000-1"/>
    <s v="単体"/>
    <n v="0"/>
    <m/>
    <n v="1"/>
    <d v="2026-03-23T00:00:00"/>
    <d v="2026-04-08T00:00:00"/>
    <d v="2026-04-06T00:00:00"/>
    <d v="2026-04-07T00:00:00"/>
    <m/>
    <m/>
    <s v="YB-LA001"/>
    <m/>
    <s v="V9"/>
    <x v="1"/>
    <n v="1554"/>
    <m/>
    <m/>
    <m/>
    <n v="908"/>
    <m/>
    <n v="9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2"/>
    <s v="先行生産"/>
    <m/>
    <s v="YB-LA001"/>
    <s v="V9-BH　計画生産"/>
    <s v="YB-LA001"/>
    <s v="5685000-1"/>
    <s v="単体"/>
    <n v="0"/>
    <m/>
    <n v="1"/>
    <d v="2026-03-23T00:00:00"/>
    <d v="2026-04-08T00:00:00"/>
    <d v="2026-04-06T00:00:00"/>
    <d v="2026-04-07T00:00:00"/>
    <m/>
    <m/>
    <s v="YB-LA001"/>
    <m/>
    <s v="V9"/>
    <x v="1"/>
    <n v="1555"/>
    <m/>
    <m/>
    <m/>
    <n v="909"/>
    <m/>
    <n v="9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3"/>
    <s v="先行生産"/>
    <m/>
    <s v="YB-LA001"/>
    <s v="V9-BH　計画生産"/>
    <s v="YB-LA001"/>
    <s v="5685000-1"/>
    <s v="単体"/>
    <n v="0"/>
    <m/>
    <n v="1"/>
    <d v="2026-03-23T00:00:00"/>
    <d v="2026-04-08T00:00:00"/>
    <d v="2026-04-06T00:00:00"/>
    <d v="2026-04-07T00:00:00"/>
    <m/>
    <m/>
    <s v="YB-LA001"/>
    <m/>
    <s v="V9"/>
    <x v="1"/>
    <n v="1556"/>
    <m/>
    <m/>
    <m/>
    <n v="910"/>
    <m/>
    <n v="9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4"/>
    <s v="先行生産"/>
    <m/>
    <s v="YB-LA001"/>
    <s v="V9-BH　計画生産"/>
    <s v="YB-LA001"/>
    <s v="5685000-1"/>
    <s v="単体"/>
    <n v="0"/>
    <m/>
    <n v="1"/>
    <d v="2026-03-23T00:00:00"/>
    <d v="2026-04-09T00:00:00"/>
    <d v="2026-04-06T00:00:00"/>
    <d v="2026-04-07T00:00:00"/>
    <m/>
    <m/>
    <s v="YB-LA001"/>
    <m/>
    <s v="V9"/>
    <x v="1"/>
    <n v="1557"/>
    <m/>
    <m/>
    <m/>
    <n v="911"/>
    <m/>
    <n v="9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5"/>
    <s v="先行生産"/>
    <m/>
    <s v="YB-LA001"/>
    <s v="V9-BH　計画生産"/>
    <s v="YB-LA001"/>
    <s v="5685000-1"/>
    <s v="単体"/>
    <n v="0"/>
    <m/>
    <n v="1"/>
    <d v="2026-03-23T00:00:00"/>
    <d v="2026-04-09T00:00:00"/>
    <d v="2026-04-06T00:00:00"/>
    <d v="2026-04-07T00:00:00"/>
    <m/>
    <m/>
    <s v="YB-LA001"/>
    <m/>
    <s v="V9"/>
    <x v="1"/>
    <n v="1558"/>
    <m/>
    <m/>
    <m/>
    <n v="912"/>
    <m/>
    <n v="9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6"/>
    <s v="先行生産"/>
    <m/>
    <s v="YB-LA001"/>
    <s v="V9-BH　計画生産"/>
    <s v="YB-LA001"/>
    <s v="5685000-1"/>
    <s v="単体"/>
    <n v="0"/>
    <m/>
    <n v="1"/>
    <d v="2026-03-23T00:00:00"/>
    <d v="2026-04-10T00:00:00"/>
    <d v="2026-04-06T00:00:00"/>
    <d v="2026-04-07T00:00:00"/>
    <m/>
    <m/>
    <s v="YB-LA001"/>
    <m/>
    <s v="V9"/>
    <x v="1"/>
    <n v="1559"/>
    <m/>
    <m/>
    <m/>
    <n v="913"/>
    <m/>
    <n v="9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7"/>
    <s v="先行生産"/>
    <m/>
    <s v="YB-LA001"/>
    <s v="V9-BH　計画生産"/>
    <s v="YB-LA001"/>
    <s v="5685000-1"/>
    <s v="単体"/>
    <n v="0"/>
    <m/>
    <n v="1"/>
    <d v="2026-03-23T00:00:00"/>
    <d v="2026-04-10T00:00:00"/>
    <d v="2026-04-06T00:00:00"/>
    <d v="2026-04-07T00:00:00"/>
    <m/>
    <m/>
    <s v="YB-LA001"/>
    <m/>
    <s v="V9"/>
    <x v="1"/>
    <n v="1560"/>
    <m/>
    <m/>
    <m/>
    <n v="914"/>
    <m/>
    <n v="9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8"/>
    <s v="先行生産"/>
    <m/>
    <s v="YB-LA001"/>
    <s v="V9-BH　計画生産"/>
    <s v="YB-LA001"/>
    <s v="5685000-1"/>
    <s v="単体"/>
    <n v="0"/>
    <m/>
    <n v="1"/>
    <d v="2026-03-23T00:00:00"/>
    <d v="2026-04-13T00:00:00"/>
    <d v="2026-04-06T00:00:00"/>
    <d v="2026-04-07T00:00:00"/>
    <m/>
    <m/>
    <s v="YB-LA001"/>
    <m/>
    <s v="V9"/>
    <x v="1"/>
    <n v="1561"/>
    <m/>
    <m/>
    <m/>
    <n v="915"/>
    <m/>
    <n v="9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09"/>
    <s v="先行生産"/>
    <m/>
    <s v="YB-LA001"/>
    <s v="V9-BH　計画生産"/>
    <s v="YB-LA001"/>
    <s v="5685000-1"/>
    <s v="単体"/>
    <n v="0"/>
    <m/>
    <n v="1"/>
    <d v="2026-03-23T00:00:00"/>
    <d v="2026-04-13T00:00:00"/>
    <d v="2026-04-06T00:00:00"/>
    <d v="2026-04-07T00:00:00"/>
    <m/>
    <m/>
    <s v="YB-LA001"/>
    <m/>
    <s v="V9"/>
    <x v="1"/>
    <n v="1562"/>
    <m/>
    <m/>
    <m/>
    <n v="916"/>
    <m/>
    <n v="9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10"/>
    <s v="先行生産"/>
    <m/>
    <s v="YB-LA001"/>
    <s v="V9-BH　計画生産"/>
    <s v="YB-LA001"/>
    <s v="5685000-1"/>
    <s v="単体"/>
    <n v="0"/>
    <m/>
    <n v="1"/>
    <d v="2026-03-23T00:00:00"/>
    <d v="2026-04-14T00:00:00"/>
    <d v="2026-04-06T00:00:00"/>
    <d v="2026-04-07T00:00:00"/>
    <m/>
    <m/>
    <s v="YB-LA001"/>
    <m/>
    <s v="V9"/>
    <x v="1"/>
    <n v="1563"/>
    <m/>
    <m/>
    <m/>
    <n v="917"/>
    <m/>
    <n v="9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5"/>
    <s v="000391138-11"/>
    <s v="先行生産"/>
    <m/>
    <s v="YB-LA001"/>
    <s v="V9-BH　計画生産"/>
    <s v="YB-LA001"/>
    <s v="5685000-1"/>
    <s v="単体"/>
    <n v="0"/>
    <m/>
    <n v="1"/>
    <d v="2026-03-23T00:00:00"/>
    <d v="2026-04-14T00:00:00"/>
    <d v="2026-04-06T00:00:00"/>
    <d v="2026-04-07T00:00:00"/>
    <m/>
    <m/>
    <s v="YB-LA001"/>
    <m/>
    <s v="V9"/>
    <x v="1"/>
    <n v="1564"/>
    <m/>
    <m/>
    <m/>
    <n v="918"/>
    <m/>
    <n v="9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1"/>
    <s v="先行生産"/>
    <m/>
    <s v="YB-LA001"/>
    <s v="V9-BH　計画生産"/>
    <s v="YB-LA001"/>
    <s v="5685000-1"/>
    <s v="単体"/>
    <n v="0"/>
    <m/>
    <n v="1"/>
    <d v="2026-03-23T00:00:00"/>
    <d v="2026-04-15T00:00:00"/>
    <d v="2026-04-13T00:00:00"/>
    <d v="2026-04-14T00:00:00"/>
    <m/>
    <m/>
    <s v="YB-LA001"/>
    <m/>
    <s v="V9"/>
    <x v="1"/>
    <n v="1565"/>
    <m/>
    <m/>
    <m/>
    <n v="919"/>
    <m/>
    <n v="9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2"/>
    <s v="先行生産"/>
    <m/>
    <s v="YB-LA001"/>
    <s v="V9-BH　計画生産"/>
    <s v="YB-LA001"/>
    <s v="5685000-1"/>
    <s v="単体"/>
    <n v="0"/>
    <m/>
    <n v="1"/>
    <d v="2026-03-23T00:00:00"/>
    <d v="2026-04-15T00:00:00"/>
    <d v="2026-04-13T00:00:00"/>
    <d v="2026-04-14T00:00:00"/>
    <m/>
    <m/>
    <s v="YB-LA001"/>
    <m/>
    <s v="V9"/>
    <x v="1"/>
    <n v="1566"/>
    <m/>
    <m/>
    <m/>
    <n v="920"/>
    <m/>
    <n v="9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3"/>
    <s v="先行生産"/>
    <m/>
    <s v="YB-LA001"/>
    <s v="V9-BH　計画生産"/>
    <s v="YB-LA001"/>
    <s v="5685000-1"/>
    <s v="単体"/>
    <n v="0"/>
    <m/>
    <n v="1"/>
    <d v="2026-03-23T00:00:00"/>
    <d v="2026-04-15T00:00:00"/>
    <d v="2026-04-13T00:00:00"/>
    <d v="2026-04-14T00:00:00"/>
    <m/>
    <m/>
    <s v="YB-LA001"/>
    <m/>
    <s v="V9"/>
    <x v="1"/>
    <n v="1567"/>
    <m/>
    <m/>
    <m/>
    <n v="921"/>
    <m/>
    <n v="9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4"/>
    <s v="先行生産"/>
    <m/>
    <s v="YB-LA001"/>
    <s v="V9-BH　計画生産"/>
    <s v="YB-LA001"/>
    <s v="5685000-1"/>
    <s v="単体"/>
    <n v="0"/>
    <m/>
    <n v="1"/>
    <d v="2026-03-23T00:00:00"/>
    <d v="2026-04-16T00:00:00"/>
    <d v="2026-04-13T00:00:00"/>
    <d v="2026-04-14T00:00:00"/>
    <m/>
    <m/>
    <s v="YB-LA001"/>
    <m/>
    <s v="V9"/>
    <x v="1"/>
    <n v="1568"/>
    <m/>
    <m/>
    <m/>
    <n v="922"/>
    <m/>
    <n v="9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5"/>
    <s v="先行生産"/>
    <m/>
    <s v="YB-LA001"/>
    <s v="V9-BH　計画生産"/>
    <s v="YB-LA001"/>
    <s v="5685000-1"/>
    <s v="単体"/>
    <n v="0"/>
    <m/>
    <n v="1"/>
    <d v="2026-03-23T00:00:00"/>
    <d v="2026-04-16T00:00:00"/>
    <d v="2026-04-13T00:00:00"/>
    <d v="2026-04-14T00:00:00"/>
    <m/>
    <m/>
    <s v="YB-LA001"/>
    <m/>
    <s v="V9"/>
    <x v="1"/>
    <n v="1569"/>
    <m/>
    <m/>
    <m/>
    <n v="923"/>
    <m/>
    <n v="9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6"/>
    <s v="先行生産"/>
    <m/>
    <s v="YB-LA001"/>
    <s v="V9-BH　計画生産"/>
    <s v="YB-LA001"/>
    <s v="5685000-1"/>
    <s v="単体"/>
    <n v="0"/>
    <m/>
    <n v="1"/>
    <d v="2026-03-23T00:00:00"/>
    <d v="2026-04-16T00:00:00"/>
    <d v="2026-04-13T00:00:00"/>
    <d v="2026-04-14T00:00:00"/>
    <m/>
    <m/>
    <s v="YB-LA001"/>
    <m/>
    <s v="V9"/>
    <x v="1"/>
    <n v="1570"/>
    <m/>
    <m/>
    <m/>
    <n v="924"/>
    <m/>
    <n v="9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7"/>
    <s v="先行生産"/>
    <m/>
    <s v="YB-LA001"/>
    <s v="V9-BH　計画生産"/>
    <s v="YB-LA001"/>
    <s v="5685000-1"/>
    <s v="単体"/>
    <n v="0"/>
    <m/>
    <n v="1"/>
    <d v="2026-03-23T00:00:00"/>
    <d v="2026-04-17T00:00:00"/>
    <d v="2026-04-13T00:00:00"/>
    <d v="2026-04-14T00:00:00"/>
    <m/>
    <m/>
    <s v="YB-LA001"/>
    <m/>
    <s v="V9"/>
    <x v="1"/>
    <n v="1571"/>
    <m/>
    <m/>
    <m/>
    <n v="925"/>
    <m/>
    <n v="9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8"/>
    <s v="先行生産"/>
    <m/>
    <s v="YB-LA001"/>
    <s v="V9-BH　計画生産"/>
    <s v="YB-LA001"/>
    <s v="5685000-1"/>
    <s v="単体"/>
    <n v="0"/>
    <m/>
    <n v="1"/>
    <d v="2026-03-23T00:00:00"/>
    <d v="2026-04-17T00:00:00"/>
    <d v="2026-04-13T00:00:00"/>
    <d v="2026-04-14T00:00:00"/>
    <m/>
    <m/>
    <s v="YB-LA001"/>
    <m/>
    <s v="V9"/>
    <x v="1"/>
    <n v="1572"/>
    <m/>
    <m/>
    <m/>
    <n v="926"/>
    <m/>
    <n v="9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09"/>
    <s v="先行生産"/>
    <m/>
    <s v="YB-LA001"/>
    <s v="V9-BH　計画生産"/>
    <s v="YB-LA001"/>
    <s v="5685000-1"/>
    <s v="単体"/>
    <n v="0"/>
    <m/>
    <n v="1"/>
    <d v="2026-03-23T00:00:00"/>
    <d v="2026-04-17T00:00:00"/>
    <d v="2026-04-13T00:00:00"/>
    <d v="2026-04-14T00:00:00"/>
    <m/>
    <m/>
    <s v="YB-LA001"/>
    <m/>
    <s v="V9"/>
    <x v="1"/>
    <n v="1573"/>
    <m/>
    <m/>
    <m/>
    <n v="927"/>
    <m/>
    <n v="9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10"/>
    <s v="先行生産"/>
    <m/>
    <s v="YB-LA001"/>
    <s v="V9-BH　計画生産"/>
    <s v="YB-LA001"/>
    <s v="5685000-1"/>
    <s v="単体"/>
    <n v="0"/>
    <m/>
    <n v="1"/>
    <d v="2026-03-23T00:00:00"/>
    <d v="2026-04-20T00:00:00"/>
    <d v="2026-04-13T00:00:00"/>
    <d v="2026-04-14T00:00:00"/>
    <m/>
    <m/>
    <s v="YB-LA001"/>
    <m/>
    <s v="V9"/>
    <x v="1"/>
    <n v="1574"/>
    <m/>
    <m/>
    <m/>
    <n v="928"/>
    <m/>
    <n v="9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87"/>
    <s v="000391139-11"/>
    <s v="先行生産"/>
    <m/>
    <s v="YB-LA001"/>
    <s v="V9-BH　計画生産"/>
    <s v="YB-LA001"/>
    <s v="5685000-1"/>
    <s v="単体"/>
    <n v="0"/>
    <m/>
    <n v="1"/>
    <d v="2026-03-23T00:00:00"/>
    <d v="2026-04-20T00:00:00"/>
    <d v="2026-04-13T00:00:00"/>
    <d v="2026-04-14T00:00:00"/>
    <m/>
    <m/>
    <s v="YB-LA001"/>
    <m/>
    <s v="V9"/>
    <x v="1"/>
    <n v="1575"/>
    <m/>
    <m/>
    <m/>
    <n v="929"/>
    <m/>
    <n v="9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1"/>
    <s v="先行生産"/>
    <m/>
    <s v="YB-LA001"/>
    <s v="V9-BH　計画生産"/>
    <s v="YB-LA001"/>
    <s v="5685000-1"/>
    <s v="単体"/>
    <n v="0"/>
    <m/>
    <n v="1"/>
    <d v="2026-03-23T00:00:00"/>
    <d v="2026-04-21T00:00:00"/>
    <d v="2026-04-17T00:00:00"/>
    <d v="2026-04-20T00:00:00"/>
    <m/>
    <m/>
    <s v="YB-LA001"/>
    <m/>
    <s v="V9"/>
    <x v="1"/>
    <n v="1576"/>
    <m/>
    <m/>
    <m/>
    <n v="930"/>
    <m/>
    <n v="9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2"/>
    <s v="先行生産"/>
    <m/>
    <s v="YB-LA001"/>
    <s v="V9-BH　計画生産"/>
    <s v="YB-LA001"/>
    <s v="5685000-1"/>
    <s v="単体"/>
    <n v="0"/>
    <m/>
    <n v="1"/>
    <d v="2026-03-23T00:00:00"/>
    <d v="2026-04-21T00:00:00"/>
    <d v="2026-04-17T00:00:00"/>
    <d v="2026-04-20T00:00:00"/>
    <m/>
    <m/>
    <s v="YB-LA001"/>
    <m/>
    <s v="V9"/>
    <x v="1"/>
    <n v="1577"/>
    <m/>
    <m/>
    <m/>
    <n v="931"/>
    <m/>
    <n v="9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3"/>
    <s v="先行生産"/>
    <m/>
    <s v="YB-LA001"/>
    <s v="V9-BH　計画生産"/>
    <s v="YB-LA001"/>
    <s v="5685000-1"/>
    <s v="単体"/>
    <n v="0"/>
    <m/>
    <n v="1"/>
    <d v="2026-03-23T00:00:00"/>
    <d v="2026-04-21T00:00:00"/>
    <d v="2026-04-17T00:00:00"/>
    <d v="2026-04-20T00:00:00"/>
    <m/>
    <m/>
    <s v="YB-LA001"/>
    <m/>
    <s v="V9"/>
    <x v="1"/>
    <n v="1578"/>
    <m/>
    <m/>
    <m/>
    <n v="932"/>
    <m/>
    <n v="9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4"/>
    <s v="先行生産"/>
    <m/>
    <s v="YB-LA001"/>
    <s v="V9-BH　計画生産"/>
    <s v="YB-LA001"/>
    <s v="5685000-1"/>
    <s v="単体"/>
    <n v="0"/>
    <m/>
    <n v="1"/>
    <d v="2026-03-23T00:00:00"/>
    <d v="2026-04-21T00:00:00"/>
    <d v="2026-04-17T00:00:00"/>
    <d v="2026-04-20T00:00:00"/>
    <m/>
    <m/>
    <s v="YB-LA001"/>
    <m/>
    <s v="V9"/>
    <x v="1"/>
    <n v="1579"/>
    <m/>
    <m/>
    <m/>
    <n v="933"/>
    <m/>
    <n v="9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5"/>
    <s v="先行生産"/>
    <m/>
    <s v="YB-LA001"/>
    <s v="V9-BH　計画生産"/>
    <s v="YB-LA001"/>
    <s v="5685000-1"/>
    <s v="単体"/>
    <n v="0"/>
    <m/>
    <n v="1"/>
    <d v="2026-03-23T00:00:00"/>
    <d v="2026-04-21T00:00:00"/>
    <d v="2026-04-17T00:00:00"/>
    <d v="2026-04-20T00:00:00"/>
    <m/>
    <m/>
    <s v="YB-LA001"/>
    <m/>
    <s v="V9"/>
    <x v="1"/>
    <n v="1580"/>
    <m/>
    <m/>
    <m/>
    <n v="934"/>
    <m/>
    <n v="9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6"/>
    <s v="先行生産"/>
    <m/>
    <s v="YB-LA001"/>
    <s v="V9-BH　計画生産"/>
    <s v="YB-LA001"/>
    <s v="5685000-1"/>
    <s v="単体"/>
    <n v="0"/>
    <m/>
    <n v="1"/>
    <d v="2026-03-23T00:00:00"/>
    <d v="2026-04-21T00:00:00"/>
    <d v="2026-04-17T00:00:00"/>
    <d v="2026-04-20T00:00:00"/>
    <m/>
    <m/>
    <s v="YB-LA001"/>
    <m/>
    <s v="V9"/>
    <x v="1"/>
    <n v="1581"/>
    <m/>
    <m/>
    <m/>
    <n v="935"/>
    <m/>
    <n v="9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7"/>
    <s v="先行生産"/>
    <m/>
    <s v="YB-LA001"/>
    <s v="V9-BH　計画生産"/>
    <s v="YB-LA001"/>
    <s v="5685000-1"/>
    <s v="単体"/>
    <n v="0"/>
    <m/>
    <n v="1"/>
    <d v="2026-03-23T00:00:00"/>
    <d v="2026-04-22T00:00:00"/>
    <d v="2026-04-17T00:00:00"/>
    <d v="2026-04-20T00:00:00"/>
    <m/>
    <m/>
    <s v="YB-LA001"/>
    <m/>
    <s v="V9"/>
    <x v="1"/>
    <n v="1582"/>
    <m/>
    <m/>
    <m/>
    <n v="936"/>
    <m/>
    <n v="9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8"/>
    <s v="先行生産"/>
    <m/>
    <s v="YB-LA001"/>
    <s v="V9-BH　計画生産"/>
    <s v="YB-LA001"/>
    <s v="5685000-1"/>
    <s v="単体"/>
    <n v="0"/>
    <m/>
    <n v="1"/>
    <d v="2026-03-23T00:00:00"/>
    <d v="2026-04-22T00:00:00"/>
    <d v="2026-04-17T00:00:00"/>
    <d v="2026-04-20T00:00:00"/>
    <m/>
    <m/>
    <s v="YB-LA001"/>
    <m/>
    <s v="V9"/>
    <x v="1"/>
    <n v="1583"/>
    <m/>
    <m/>
    <m/>
    <n v="937"/>
    <m/>
    <n v="9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09"/>
    <s v="先行生産"/>
    <m/>
    <s v="YB-LA001"/>
    <s v="V9-BH　計画生産"/>
    <s v="YB-LA001"/>
    <s v="5685000-1"/>
    <s v="単体"/>
    <n v="0"/>
    <m/>
    <n v="1"/>
    <d v="2026-03-23T00:00:00"/>
    <d v="2026-04-22T00:00:00"/>
    <d v="2026-04-17T00:00:00"/>
    <d v="2026-04-20T00:00:00"/>
    <m/>
    <m/>
    <s v="YB-LA001"/>
    <m/>
    <s v="V9"/>
    <x v="1"/>
    <n v="1584"/>
    <m/>
    <m/>
    <m/>
    <n v="938"/>
    <m/>
    <n v="9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0"/>
    <s v="先行生産"/>
    <m/>
    <s v="YB-LA001"/>
    <s v="V9-BH　計画生産"/>
    <s v="YB-LA001"/>
    <s v="5685000-1"/>
    <s v="単体"/>
    <n v="0"/>
    <m/>
    <n v="1"/>
    <d v="2026-03-23T00:00:00"/>
    <d v="2026-04-22T00:00:00"/>
    <d v="2026-04-17T00:00:00"/>
    <d v="2026-04-20T00:00:00"/>
    <m/>
    <m/>
    <s v="YB-LA001"/>
    <m/>
    <s v="V9"/>
    <x v="1"/>
    <n v="1585"/>
    <m/>
    <m/>
    <m/>
    <n v="939"/>
    <m/>
    <n v="9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1"/>
    <s v="先行生産"/>
    <m/>
    <s v="YB-LA001"/>
    <s v="V9-BH　計画生産"/>
    <s v="YB-LA001"/>
    <s v="5685000-1"/>
    <s v="単体"/>
    <n v="0"/>
    <m/>
    <n v="1"/>
    <d v="2026-03-23T00:00:00"/>
    <d v="2026-04-22T00:00:00"/>
    <d v="2026-04-17T00:00:00"/>
    <d v="2026-04-20T00:00:00"/>
    <m/>
    <m/>
    <s v="YB-LA001"/>
    <m/>
    <s v="V9"/>
    <x v="1"/>
    <n v="1586"/>
    <m/>
    <m/>
    <m/>
    <n v="940"/>
    <m/>
    <n v="9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2"/>
    <s v="先行生産"/>
    <m/>
    <s v="YB-LA001"/>
    <s v="V9-BH　計画生産"/>
    <s v="YB-LA001"/>
    <s v="5685000-1"/>
    <s v="単体"/>
    <n v="0"/>
    <m/>
    <n v="1"/>
    <d v="2026-03-23T00:00:00"/>
    <d v="2026-04-22T00:00:00"/>
    <d v="2026-04-17T00:00:00"/>
    <d v="2026-04-20T00:00:00"/>
    <m/>
    <m/>
    <s v="YB-LA001"/>
    <m/>
    <s v="V9"/>
    <x v="1"/>
    <n v="1587"/>
    <m/>
    <m/>
    <m/>
    <n v="941"/>
    <m/>
    <n v="9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3"/>
    <s v="先行生産"/>
    <m/>
    <s v="YB-LA001"/>
    <s v="V9-BH　計画生産"/>
    <s v="YB-LA001"/>
    <s v="5685000-1"/>
    <s v="単体"/>
    <n v="0"/>
    <m/>
    <n v="1"/>
    <d v="2026-03-23T00:00:00"/>
    <d v="2026-04-23T00:00:00"/>
    <d v="2026-04-17T00:00:00"/>
    <d v="2026-04-20T00:00:00"/>
    <m/>
    <m/>
    <s v="YB-LA001"/>
    <m/>
    <s v="V9"/>
    <x v="1"/>
    <n v="1588"/>
    <m/>
    <m/>
    <m/>
    <n v="942"/>
    <m/>
    <n v="9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4"/>
    <s v="先行生産"/>
    <m/>
    <s v="YB-LA001"/>
    <s v="V9-BH　計画生産"/>
    <s v="YB-LA001"/>
    <s v="5685000-1"/>
    <s v="単体"/>
    <n v="0"/>
    <m/>
    <n v="1"/>
    <d v="2026-03-23T00:00:00"/>
    <d v="2026-04-23T00:00:00"/>
    <d v="2026-04-17T00:00:00"/>
    <d v="2026-04-20T00:00:00"/>
    <m/>
    <m/>
    <s v="YB-LA001"/>
    <m/>
    <s v="V9"/>
    <x v="1"/>
    <n v="1589"/>
    <m/>
    <m/>
    <m/>
    <n v="943"/>
    <m/>
    <n v="9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5"/>
    <s v="先行生産"/>
    <m/>
    <s v="YB-LA001"/>
    <s v="V9-BH　計画生産"/>
    <s v="YB-LA001"/>
    <s v="5685000-1"/>
    <s v="単体"/>
    <n v="0"/>
    <m/>
    <n v="1"/>
    <d v="2026-03-23T00:00:00"/>
    <d v="2026-04-23T00:00:00"/>
    <d v="2026-04-17T00:00:00"/>
    <d v="2026-04-20T00:00:00"/>
    <m/>
    <m/>
    <s v="YB-LA001"/>
    <m/>
    <s v="V9"/>
    <x v="1"/>
    <n v="1590"/>
    <m/>
    <m/>
    <m/>
    <n v="944"/>
    <m/>
    <n v="9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6"/>
    <s v="先行生産"/>
    <m/>
    <s v="YB-LA001"/>
    <s v="V9-BH　計画生産"/>
    <s v="YB-LA001"/>
    <s v="5685000-1"/>
    <s v="単体"/>
    <n v="0"/>
    <m/>
    <n v="1"/>
    <d v="2026-03-23T00:00:00"/>
    <d v="2026-04-23T00:00:00"/>
    <d v="2026-04-17T00:00:00"/>
    <d v="2026-04-20T00:00:00"/>
    <m/>
    <m/>
    <s v="YB-LA001"/>
    <m/>
    <s v="V9"/>
    <x v="1"/>
    <n v="1591"/>
    <m/>
    <m/>
    <m/>
    <n v="945"/>
    <m/>
    <n v="9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7"/>
    <s v="先行生産"/>
    <m/>
    <s v="YB-LA001"/>
    <s v="V9-BH　計画生産"/>
    <s v="YB-LA001"/>
    <s v="5685000-1"/>
    <s v="単体"/>
    <n v="0"/>
    <m/>
    <n v="1"/>
    <d v="2026-03-23T00:00:00"/>
    <d v="2026-04-23T00:00:00"/>
    <d v="2026-04-17T00:00:00"/>
    <d v="2026-04-20T00:00:00"/>
    <m/>
    <m/>
    <s v="YB-LA001"/>
    <m/>
    <s v="V9"/>
    <x v="1"/>
    <n v="1592"/>
    <m/>
    <m/>
    <m/>
    <n v="946"/>
    <m/>
    <n v="9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8"/>
    <s v="先行生産"/>
    <m/>
    <s v="YB-LA001"/>
    <s v="V9-BH　計画生産"/>
    <s v="YB-LA001"/>
    <s v="5685000-1"/>
    <s v="単体"/>
    <n v="0"/>
    <m/>
    <n v="1"/>
    <d v="2026-03-23T00:00:00"/>
    <d v="2026-04-23T00:00:00"/>
    <d v="2026-04-17T00:00:00"/>
    <d v="2026-04-20T00:00:00"/>
    <m/>
    <m/>
    <s v="YB-LA001"/>
    <m/>
    <s v="V9"/>
    <x v="1"/>
    <n v="1593"/>
    <m/>
    <m/>
    <m/>
    <n v="947"/>
    <m/>
    <n v="1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19"/>
    <s v="先行生産"/>
    <m/>
    <s v="YB-LA001"/>
    <s v="V9-BH　計画生産"/>
    <s v="YB-LA001"/>
    <s v="5685000-1"/>
    <s v="単体"/>
    <n v="0"/>
    <m/>
    <n v="1"/>
    <d v="2026-03-23T00:00:00"/>
    <d v="2026-04-24T00:00:00"/>
    <d v="2026-04-17T00:00:00"/>
    <d v="2026-04-20T00:00:00"/>
    <m/>
    <m/>
    <s v="YB-LA001"/>
    <m/>
    <s v="V9"/>
    <x v="1"/>
    <n v="1594"/>
    <m/>
    <m/>
    <m/>
    <n v="948"/>
    <m/>
    <n v="10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0"/>
    <s v="先行生産"/>
    <m/>
    <s v="YB-LA001"/>
    <s v="V9-BH　計画生産"/>
    <s v="YB-LA001"/>
    <s v="5685000-1"/>
    <s v="単体"/>
    <n v="0"/>
    <m/>
    <n v="1"/>
    <d v="2026-03-23T00:00:00"/>
    <d v="2026-04-24T00:00:00"/>
    <d v="2026-04-17T00:00:00"/>
    <d v="2026-04-20T00:00:00"/>
    <m/>
    <m/>
    <s v="YB-LA001"/>
    <m/>
    <s v="V9"/>
    <x v="1"/>
    <n v="1595"/>
    <m/>
    <m/>
    <m/>
    <n v="949"/>
    <m/>
    <n v="10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1"/>
    <s v="先行生産"/>
    <m/>
    <s v="YB-LA001"/>
    <s v="V9-BH　計画生産"/>
    <s v="YB-LA001"/>
    <s v="5685000-1"/>
    <s v="単体"/>
    <n v="0"/>
    <m/>
    <n v="1"/>
    <d v="2026-03-23T00:00:00"/>
    <d v="2026-04-24T00:00:00"/>
    <d v="2026-04-17T00:00:00"/>
    <d v="2026-04-20T00:00:00"/>
    <m/>
    <m/>
    <s v="YB-LA001"/>
    <m/>
    <s v="V9"/>
    <x v="1"/>
    <n v="1596"/>
    <m/>
    <m/>
    <m/>
    <n v="950"/>
    <m/>
    <n v="10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2"/>
    <s v="先行生産"/>
    <m/>
    <s v="YB-LA001"/>
    <s v="V9-BH　計画生産"/>
    <s v="YB-LA001"/>
    <s v="5685000-1"/>
    <s v="単体"/>
    <n v="0"/>
    <m/>
    <n v="1"/>
    <d v="2026-03-23T00:00:00"/>
    <d v="2026-04-24T00:00:00"/>
    <d v="2026-04-17T00:00:00"/>
    <d v="2026-04-20T00:00:00"/>
    <m/>
    <m/>
    <s v="YB-LA001"/>
    <m/>
    <s v="V9"/>
    <x v="1"/>
    <n v="1597"/>
    <m/>
    <m/>
    <m/>
    <n v="951"/>
    <m/>
    <n v="10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3"/>
    <s v="先行生産"/>
    <m/>
    <s v="YB-LA001"/>
    <s v="V9-BH　計画生産"/>
    <s v="YB-LA001"/>
    <s v="5685000-1"/>
    <s v="単体"/>
    <n v="0"/>
    <m/>
    <n v="1"/>
    <d v="2026-03-23T00:00:00"/>
    <d v="2026-04-24T00:00:00"/>
    <d v="2026-04-17T00:00:00"/>
    <d v="2026-04-20T00:00:00"/>
    <m/>
    <m/>
    <s v="YB-LA001"/>
    <m/>
    <s v="V9"/>
    <x v="1"/>
    <n v="1598"/>
    <m/>
    <m/>
    <m/>
    <n v="952"/>
    <m/>
    <n v="10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4"/>
    <s v="先行生産"/>
    <m/>
    <s v="YB-LA001"/>
    <s v="V9-BH　計画生産"/>
    <s v="YB-LA001"/>
    <s v="5685000-1"/>
    <s v="単体"/>
    <n v="0"/>
    <m/>
    <n v="1"/>
    <d v="2026-03-23T00:00:00"/>
    <d v="2026-04-27T00:00:00"/>
    <d v="2026-04-17T00:00:00"/>
    <d v="2026-04-20T00:00:00"/>
    <m/>
    <m/>
    <s v="YB-LA001"/>
    <m/>
    <s v="V9"/>
    <x v="1"/>
    <n v="1599"/>
    <m/>
    <m/>
    <m/>
    <n v="953"/>
    <m/>
    <n v="10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5"/>
    <s v="先行生産"/>
    <m/>
    <s v="YB-LA001"/>
    <s v="V9-BH　計画生産"/>
    <s v="YB-LA001"/>
    <s v="5685000-1"/>
    <s v="単体"/>
    <n v="0"/>
    <m/>
    <n v="1"/>
    <d v="2026-03-23T00:00:00"/>
    <d v="2026-04-27T00:00:00"/>
    <d v="2026-04-17T00:00:00"/>
    <d v="2026-04-20T00:00:00"/>
    <m/>
    <m/>
    <s v="YB-LA001"/>
    <m/>
    <s v="V9"/>
    <x v="1"/>
    <n v="1600"/>
    <m/>
    <m/>
    <m/>
    <n v="954"/>
    <m/>
    <n v="10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6"/>
    <s v="先行生産"/>
    <m/>
    <s v="YB-LA001"/>
    <s v="V9-BH　計画生産"/>
    <s v="YB-LA001"/>
    <s v="5685000-1"/>
    <s v="単体"/>
    <n v="0"/>
    <m/>
    <n v="1"/>
    <d v="2026-03-23T00:00:00"/>
    <d v="2026-04-27T00:00:00"/>
    <d v="2026-04-17T00:00:00"/>
    <d v="2026-04-20T00:00:00"/>
    <m/>
    <m/>
    <s v="YB-LA001"/>
    <m/>
    <s v="V9"/>
    <x v="1"/>
    <n v="1601"/>
    <m/>
    <m/>
    <m/>
    <n v="955"/>
    <m/>
    <n v="10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7"/>
    <s v="先行生産"/>
    <m/>
    <s v="YB-LA001"/>
    <s v="V9-BH　計画生産"/>
    <s v="YB-LA001"/>
    <s v="5685000-1"/>
    <s v="単体"/>
    <n v="0"/>
    <m/>
    <n v="1"/>
    <d v="2026-03-23T00:00:00"/>
    <d v="2026-04-27T00:00:00"/>
    <d v="2026-04-17T00:00:00"/>
    <d v="2026-04-20T00:00:00"/>
    <m/>
    <m/>
    <s v="YB-LA001"/>
    <m/>
    <s v="V9"/>
    <x v="1"/>
    <n v="1602"/>
    <m/>
    <m/>
    <m/>
    <n v="956"/>
    <m/>
    <n v="10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02"/>
    <s v="000389419-28"/>
    <s v="先行生産"/>
    <m/>
    <s v="YB-LA001"/>
    <s v="V9-BH　計画生産"/>
    <s v="YB-LA001"/>
    <s v="5685000-1"/>
    <s v="単体"/>
    <n v="0"/>
    <m/>
    <n v="1"/>
    <d v="2026-03-23T00:00:00"/>
    <d v="2026-04-27T00:00:00"/>
    <d v="2026-04-17T00:00:00"/>
    <d v="2026-04-20T00:00:00"/>
    <m/>
    <m/>
    <s v="YB-LA001"/>
    <m/>
    <s v="V9"/>
    <x v="1"/>
    <n v="1603"/>
    <m/>
    <m/>
    <m/>
    <n v="957"/>
    <m/>
    <n v="10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1"/>
    <s v="先行生産"/>
    <m/>
    <s v="YB-LA001"/>
    <s v="V9-BH　計画生産"/>
    <s v="YB-LA001"/>
    <s v="5685000-1"/>
    <s v="単体"/>
    <n v="0"/>
    <m/>
    <n v="1"/>
    <d v="2026-03-23T00:00:00"/>
    <d v="2026-04-28T00:00:00"/>
    <d v="2026-04-24T00:00:00"/>
    <d v="2026-04-27T00:00:00"/>
    <m/>
    <m/>
    <s v="YB-LA001"/>
    <m/>
    <s v="V9"/>
    <x v="1"/>
    <n v="1604"/>
    <m/>
    <m/>
    <m/>
    <n v="958"/>
    <m/>
    <n v="10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2"/>
    <s v="先行生産"/>
    <m/>
    <s v="YB-LA001"/>
    <s v="V9-BH　計画生産"/>
    <s v="YB-LA001"/>
    <s v="5685000-1"/>
    <s v="単体"/>
    <n v="0"/>
    <m/>
    <n v="1"/>
    <d v="2026-03-23T00:00:00"/>
    <d v="2026-04-28T00:00:00"/>
    <d v="2026-04-24T00:00:00"/>
    <d v="2026-04-27T00:00:00"/>
    <m/>
    <m/>
    <s v="YB-LA001"/>
    <m/>
    <s v="V9"/>
    <x v="1"/>
    <n v="1605"/>
    <m/>
    <m/>
    <m/>
    <n v="959"/>
    <m/>
    <n v="10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3"/>
    <s v="先行生産"/>
    <m/>
    <s v="YB-LA001"/>
    <s v="V9-BH　計画生産"/>
    <s v="YB-LA001"/>
    <s v="5685000-1"/>
    <s v="単体"/>
    <n v="0"/>
    <m/>
    <n v="1"/>
    <d v="2026-03-23T00:00:00"/>
    <d v="2026-04-28T00:00:00"/>
    <d v="2026-04-24T00:00:00"/>
    <d v="2026-04-27T00:00:00"/>
    <m/>
    <m/>
    <s v="YB-LA001"/>
    <m/>
    <s v="V9"/>
    <x v="1"/>
    <n v="1606"/>
    <m/>
    <m/>
    <m/>
    <n v="960"/>
    <m/>
    <n v="10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4"/>
    <s v="先行生産"/>
    <m/>
    <s v="YB-LA001"/>
    <s v="V9-BH　計画生産"/>
    <s v="YB-LA001"/>
    <s v="5685000-1"/>
    <s v="単体"/>
    <n v="0"/>
    <m/>
    <n v="1"/>
    <d v="2026-03-23T00:00:00"/>
    <d v="2026-04-28T00:00:00"/>
    <d v="2026-04-24T00:00:00"/>
    <d v="2026-04-27T00:00:00"/>
    <m/>
    <m/>
    <s v="YB-LA001"/>
    <m/>
    <s v="V9"/>
    <x v="1"/>
    <n v="1607"/>
    <m/>
    <m/>
    <m/>
    <n v="961"/>
    <m/>
    <n v="10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5"/>
    <s v="先行生産"/>
    <m/>
    <s v="YB-LA001"/>
    <s v="V9-BH　計画生産"/>
    <s v="YB-LA001"/>
    <s v="5685000-1"/>
    <s v="単体"/>
    <n v="0"/>
    <m/>
    <n v="1"/>
    <d v="2026-03-23T00:00:00"/>
    <d v="2026-04-28T00:00:00"/>
    <d v="2026-04-24T00:00:00"/>
    <d v="2026-04-27T00:00:00"/>
    <m/>
    <m/>
    <s v="YB-LA001"/>
    <m/>
    <s v="V9"/>
    <x v="1"/>
    <n v="1608"/>
    <m/>
    <m/>
    <m/>
    <n v="962"/>
    <m/>
    <n v="10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6"/>
    <s v="先行生産"/>
    <m/>
    <s v="YB-LA001"/>
    <s v="V9-BH　計画生産"/>
    <s v="YB-LA001"/>
    <s v="5685000-1"/>
    <s v="単体"/>
    <n v="0"/>
    <m/>
    <n v="1"/>
    <d v="2026-03-23T00:00:00"/>
    <d v="2026-04-28T00:00:00"/>
    <d v="2026-04-24T00:00:00"/>
    <d v="2026-04-27T00:00:00"/>
    <m/>
    <m/>
    <s v="YB-LA001"/>
    <m/>
    <s v="V9"/>
    <x v="1"/>
    <n v="1609"/>
    <m/>
    <m/>
    <m/>
    <n v="963"/>
    <m/>
    <n v="10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7"/>
    <s v="先行生産"/>
    <m/>
    <s v="YB-LA001"/>
    <s v="V9-BH　計画生産"/>
    <s v="YB-LA001"/>
    <s v="5685000-1"/>
    <s v="単体"/>
    <n v="0"/>
    <m/>
    <n v="1"/>
    <d v="2026-03-23T00:00:00"/>
    <d v="2026-05-07T00:00:00"/>
    <d v="2026-04-24T00:00:00"/>
    <d v="2026-04-27T00:00:00"/>
    <m/>
    <m/>
    <s v="YB-LA001"/>
    <m/>
    <s v="V9"/>
    <x v="2"/>
    <n v="1610"/>
    <m/>
    <m/>
    <m/>
    <n v="964"/>
    <m/>
    <n v="10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8"/>
    <s v="先行生産"/>
    <m/>
    <s v="YB-LA001"/>
    <s v="V9-BH　計画生産"/>
    <s v="YB-LA001"/>
    <s v="5685000-1"/>
    <s v="単体"/>
    <n v="0"/>
    <m/>
    <n v="1"/>
    <d v="2026-03-23T00:00:00"/>
    <d v="2026-05-07T00:00:00"/>
    <d v="2026-04-24T00:00:00"/>
    <d v="2026-04-27T00:00:00"/>
    <m/>
    <m/>
    <s v="YB-LA001"/>
    <m/>
    <s v="V9"/>
    <x v="2"/>
    <n v="1611"/>
    <m/>
    <m/>
    <m/>
    <n v="965"/>
    <m/>
    <n v="10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09"/>
    <s v="先行生産"/>
    <m/>
    <s v="YB-LA001"/>
    <s v="V9-BH　計画生産"/>
    <s v="YB-LA001"/>
    <s v="5685000-1"/>
    <s v="単体"/>
    <n v="0"/>
    <m/>
    <n v="1"/>
    <d v="2026-03-23T00:00:00"/>
    <d v="2026-05-07T00:00:00"/>
    <d v="2026-04-24T00:00:00"/>
    <d v="2026-04-27T00:00:00"/>
    <m/>
    <m/>
    <s v="YB-LA001"/>
    <m/>
    <s v="V9"/>
    <x v="2"/>
    <n v="1612"/>
    <m/>
    <m/>
    <m/>
    <n v="966"/>
    <m/>
    <n v="10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0"/>
    <s v="先行生産"/>
    <m/>
    <s v="YB-LA001"/>
    <s v="V9-BH　計画生産"/>
    <s v="YB-LA001"/>
    <s v="5685000-1"/>
    <s v="単体"/>
    <n v="0"/>
    <m/>
    <n v="1"/>
    <d v="2026-03-23T00:00:00"/>
    <d v="2026-05-07T00:00:00"/>
    <d v="2026-04-24T00:00:00"/>
    <d v="2026-04-27T00:00:00"/>
    <m/>
    <m/>
    <s v="YB-LA001"/>
    <m/>
    <s v="V9"/>
    <x v="2"/>
    <n v="1613"/>
    <m/>
    <m/>
    <m/>
    <n v="967"/>
    <m/>
    <n v="10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1"/>
    <s v="先行生産"/>
    <m/>
    <s v="YB-LA001"/>
    <s v="V9-BH　計画生産"/>
    <s v="YB-LA001"/>
    <s v="5685000-1"/>
    <s v="単体"/>
    <n v="0"/>
    <m/>
    <n v="1"/>
    <d v="2026-03-23T00:00:00"/>
    <d v="2026-05-07T00:00:00"/>
    <d v="2026-04-24T00:00:00"/>
    <d v="2026-04-27T00:00:00"/>
    <m/>
    <m/>
    <s v="YB-LA001"/>
    <m/>
    <s v="V9"/>
    <x v="2"/>
    <n v="1614"/>
    <m/>
    <m/>
    <m/>
    <n v="968"/>
    <m/>
    <n v="10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2"/>
    <s v="先行生産"/>
    <m/>
    <s v="YB-LA001"/>
    <s v="V9-BH　計画生産"/>
    <s v="YB-LA001"/>
    <s v="5685000-1"/>
    <s v="単体"/>
    <n v="0"/>
    <m/>
    <n v="1"/>
    <d v="2026-03-23T00:00:00"/>
    <d v="2026-05-07T00:00:00"/>
    <d v="2026-04-24T00:00:00"/>
    <d v="2026-04-27T00:00:00"/>
    <m/>
    <m/>
    <s v="YB-LA001"/>
    <m/>
    <s v="V9"/>
    <x v="2"/>
    <n v="1615"/>
    <m/>
    <m/>
    <m/>
    <n v="969"/>
    <m/>
    <n v="10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3"/>
    <s v="先行生産"/>
    <m/>
    <s v="YB-LA001"/>
    <s v="V9-BH　計画生産"/>
    <s v="YB-LA001"/>
    <s v="5685000-1"/>
    <s v="単体"/>
    <n v="0"/>
    <m/>
    <n v="1"/>
    <d v="2026-03-23T00:00:00"/>
    <d v="2026-05-08T00:00:00"/>
    <d v="2026-04-24T00:00:00"/>
    <d v="2026-04-27T00:00:00"/>
    <m/>
    <m/>
    <s v="YB-LA001"/>
    <m/>
    <s v="V9"/>
    <x v="2"/>
    <n v="1616"/>
    <m/>
    <m/>
    <m/>
    <n v="970"/>
    <m/>
    <n v="10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4"/>
    <s v="先行生産"/>
    <m/>
    <s v="YB-LA001"/>
    <s v="V9-BH　計画生産"/>
    <s v="YB-LA001"/>
    <s v="5685000-1"/>
    <s v="単体"/>
    <n v="0"/>
    <m/>
    <n v="1"/>
    <d v="2026-03-23T00:00:00"/>
    <d v="2026-05-08T00:00:00"/>
    <d v="2026-04-24T00:00:00"/>
    <d v="2026-04-27T00:00:00"/>
    <m/>
    <m/>
    <s v="YB-LA001"/>
    <m/>
    <s v="V9"/>
    <x v="2"/>
    <n v="1617"/>
    <m/>
    <m/>
    <m/>
    <n v="971"/>
    <m/>
    <n v="10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5"/>
    <s v="先行生産"/>
    <m/>
    <s v="YB-LA001"/>
    <s v="V9-BH　計画生産"/>
    <s v="YB-LA001"/>
    <s v="5685000-1"/>
    <s v="単体"/>
    <n v="0"/>
    <m/>
    <n v="1"/>
    <d v="2026-03-23T00:00:00"/>
    <d v="2026-05-08T00:00:00"/>
    <d v="2026-04-24T00:00:00"/>
    <d v="2026-04-27T00:00:00"/>
    <m/>
    <m/>
    <s v="YB-LA001"/>
    <m/>
    <s v="V9"/>
    <x v="2"/>
    <n v="1618"/>
    <m/>
    <m/>
    <m/>
    <n v="972"/>
    <m/>
    <n v="10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6"/>
    <s v="先行生産"/>
    <m/>
    <s v="YB-LA001"/>
    <s v="V9-BH　計画生産"/>
    <s v="YB-LA001"/>
    <s v="5685000-1"/>
    <s v="単体"/>
    <n v="0"/>
    <m/>
    <n v="1"/>
    <d v="2026-03-23T00:00:00"/>
    <d v="2026-05-08T00:00:00"/>
    <d v="2026-04-24T00:00:00"/>
    <d v="2026-04-27T00:00:00"/>
    <m/>
    <m/>
    <s v="YB-LA001"/>
    <m/>
    <s v="V9"/>
    <x v="2"/>
    <n v="1619"/>
    <m/>
    <m/>
    <m/>
    <n v="973"/>
    <m/>
    <n v="10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7"/>
    <s v="先行生産"/>
    <m/>
    <s v="YB-LA001"/>
    <s v="V9-BH　計画生産"/>
    <s v="YB-LA001"/>
    <s v="5685000-1"/>
    <s v="単体"/>
    <n v="0"/>
    <m/>
    <n v="1"/>
    <d v="2026-03-23T00:00:00"/>
    <d v="2026-05-08T00:00:00"/>
    <d v="2026-04-24T00:00:00"/>
    <d v="2026-04-27T00:00:00"/>
    <m/>
    <m/>
    <s v="YB-LA001"/>
    <m/>
    <s v="V9"/>
    <x v="2"/>
    <n v="1620"/>
    <m/>
    <m/>
    <m/>
    <n v="974"/>
    <m/>
    <n v="10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8"/>
    <s v="先行生産"/>
    <m/>
    <s v="YB-LA001"/>
    <s v="V9-BH　計画生産"/>
    <s v="YB-LA001"/>
    <s v="5685000-1"/>
    <s v="単体"/>
    <n v="0"/>
    <m/>
    <n v="1"/>
    <d v="2026-03-23T00:00:00"/>
    <d v="2026-05-08T00:00:00"/>
    <d v="2026-04-24T00:00:00"/>
    <d v="2026-04-27T00:00:00"/>
    <m/>
    <m/>
    <s v="YB-LA001"/>
    <m/>
    <s v="V9"/>
    <x v="2"/>
    <n v="1621"/>
    <m/>
    <m/>
    <m/>
    <n v="975"/>
    <m/>
    <n v="10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19"/>
    <s v="先行生産"/>
    <m/>
    <s v="YB-LA001"/>
    <s v="V9-BH　計画生産"/>
    <s v="YB-LA001"/>
    <s v="5685000-1"/>
    <s v="単体"/>
    <n v="0"/>
    <m/>
    <n v="1"/>
    <d v="2026-03-23T00:00:00"/>
    <d v="2026-05-11T00:00:00"/>
    <d v="2026-04-24T00:00:00"/>
    <d v="2026-04-27T00:00:00"/>
    <m/>
    <m/>
    <s v="YB-LA001"/>
    <m/>
    <s v="V9"/>
    <x v="2"/>
    <n v="1622"/>
    <m/>
    <m/>
    <m/>
    <n v="976"/>
    <m/>
    <n v="10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0"/>
    <s v="先行生産"/>
    <m/>
    <s v="YB-LA001"/>
    <s v="V9-BH　計画生産"/>
    <s v="YB-LA001"/>
    <s v="5685000-1"/>
    <s v="単体"/>
    <n v="0"/>
    <m/>
    <n v="1"/>
    <d v="2026-03-23T00:00:00"/>
    <d v="2026-05-11T00:00:00"/>
    <d v="2026-04-24T00:00:00"/>
    <d v="2026-04-27T00:00:00"/>
    <m/>
    <m/>
    <s v="YB-LA001"/>
    <m/>
    <s v="V9"/>
    <x v="2"/>
    <n v="1623"/>
    <m/>
    <m/>
    <m/>
    <n v="977"/>
    <m/>
    <n v="10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1"/>
    <s v="先行生産"/>
    <m/>
    <s v="YB-LA001"/>
    <s v="V9-BH　計画生産"/>
    <s v="YB-LA001"/>
    <s v="5685000-1"/>
    <s v="単体"/>
    <n v="0"/>
    <m/>
    <n v="1"/>
    <d v="2026-03-23T00:00:00"/>
    <d v="2026-05-11T00:00:00"/>
    <d v="2026-04-24T00:00:00"/>
    <d v="2026-04-27T00:00:00"/>
    <m/>
    <m/>
    <s v="YB-LA001"/>
    <m/>
    <s v="V9"/>
    <x v="2"/>
    <n v="1624"/>
    <m/>
    <m/>
    <m/>
    <n v="978"/>
    <m/>
    <n v="10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2"/>
    <s v="先行生産"/>
    <m/>
    <s v="YB-LA001"/>
    <s v="V9-BH　計画生産"/>
    <s v="YB-LA001"/>
    <s v="5685000-1"/>
    <s v="単体"/>
    <n v="0"/>
    <m/>
    <n v="1"/>
    <d v="2026-03-23T00:00:00"/>
    <d v="2026-05-11T00:00:00"/>
    <d v="2026-04-24T00:00:00"/>
    <d v="2026-04-27T00:00:00"/>
    <m/>
    <m/>
    <s v="YB-LA001"/>
    <m/>
    <s v="V9"/>
    <x v="2"/>
    <n v="1625"/>
    <m/>
    <m/>
    <m/>
    <n v="979"/>
    <m/>
    <n v="10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3"/>
    <s v="先行生産"/>
    <m/>
    <s v="YB-LA001"/>
    <s v="V9-BH　計画生産"/>
    <s v="YB-LA001"/>
    <s v="5685000-1"/>
    <s v="単体"/>
    <n v="0"/>
    <m/>
    <n v="1"/>
    <d v="2026-03-23T00:00:00"/>
    <d v="2026-05-11T00:00:00"/>
    <d v="2026-04-24T00:00:00"/>
    <d v="2026-04-27T00:00:00"/>
    <m/>
    <m/>
    <s v="YB-LA001"/>
    <m/>
    <s v="V9"/>
    <x v="2"/>
    <n v="1626"/>
    <m/>
    <m/>
    <m/>
    <n v="980"/>
    <m/>
    <n v="10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4"/>
    <s v="先行生産"/>
    <m/>
    <s v="YB-LA001"/>
    <s v="V9-BH　計画生産"/>
    <s v="YB-LA001"/>
    <s v="5685000-1"/>
    <s v="単体"/>
    <n v="0"/>
    <m/>
    <n v="1"/>
    <d v="2026-03-23T00:00:00"/>
    <d v="2026-05-12T00:00:00"/>
    <d v="2026-04-24T00:00:00"/>
    <d v="2026-04-27T00:00:00"/>
    <m/>
    <m/>
    <s v="YB-LA001"/>
    <m/>
    <s v="V9"/>
    <x v="2"/>
    <n v="1627"/>
    <m/>
    <m/>
    <m/>
    <n v="981"/>
    <m/>
    <n v="10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5"/>
    <s v="先行生産"/>
    <m/>
    <s v="YB-LA001"/>
    <s v="V9-BH　計画生産"/>
    <s v="YB-LA001"/>
    <s v="5685000-1"/>
    <s v="単体"/>
    <n v="0"/>
    <m/>
    <n v="1"/>
    <d v="2026-03-23T00:00:00"/>
    <d v="2026-05-12T00:00:00"/>
    <d v="2026-04-24T00:00:00"/>
    <d v="2026-04-27T00:00:00"/>
    <m/>
    <m/>
    <s v="YB-LA001"/>
    <m/>
    <s v="V9"/>
    <x v="2"/>
    <n v="1628"/>
    <m/>
    <m/>
    <m/>
    <n v="982"/>
    <m/>
    <n v="10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6"/>
    <s v="先行生産"/>
    <m/>
    <s v="YB-LA001"/>
    <s v="V9-BH　計画生産"/>
    <s v="YB-LA001"/>
    <s v="5685000-1"/>
    <s v="単体"/>
    <n v="0"/>
    <m/>
    <n v="1"/>
    <d v="2026-03-23T00:00:00"/>
    <d v="2026-05-12T00:00:00"/>
    <d v="2026-04-24T00:00:00"/>
    <d v="2026-04-27T00:00:00"/>
    <m/>
    <m/>
    <s v="YB-LA001"/>
    <m/>
    <s v="V9"/>
    <x v="2"/>
    <n v="1629"/>
    <m/>
    <m/>
    <m/>
    <n v="983"/>
    <m/>
    <n v="10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7"/>
    <s v="先行生産"/>
    <m/>
    <s v="YB-LA001"/>
    <s v="V9-BH　計画生産"/>
    <s v="YB-LA001"/>
    <s v="5685000-1"/>
    <s v="単体"/>
    <n v="0"/>
    <m/>
    <n v="1"/>
    <d v="2026-03-23T00:00:00"/>
    <d v="2026-05-12T00:00:00"/>
    <d v="2026-04-24T00:00:00"/>
    <d v="2026-04-27T00:00:00"/>
    <m/>
    <m/>
    <s v="YB-LA001"/>
    <m/>
    <s v="V9"/>
    <x v="2"/>
    <n v="1630"/>
    <m/>
    <m/>
    <m/>
    <n v="984"/>
    <m/>
    <n v="10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15"/>
    <s v="000391140-28"/>
    <s v="先行生産"/>
    <m/>
    <s v="YB-LA001"/>
    <s v="V9-BH　計画生産"/>
    <s v="YB-LA001"/>
    <s v="5685000-1"/>
    <s v="単体"/>
    <n v="0"/>
    <m/>
    <n v="1"/>
    <d v="2026-03-23T00:00:00"/>
    <d v="2026-05-12T00:00:00"/>
    <d v="2026-04-24T00:00:00"/>
    <d v="2026-04-27T00:00:00"/>
    <m/>
    <m/>
    <s v="YB-LA001"/>
    <m/>
    <s v="V9"/>
    <x v="2"/>
    <n v="1631"/>
    <m/>
    <m/>
    <m/>
    <n v="985"/>
    <m/>
    <n v="10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1"/>
    <s v="先行生産"/>
    <m/>
    <s v="YB-LA001"/>
    <s v="V9-BH　計画生産"/>
    <s v="YB-LA001"/>
    <s v="5685000-1"/>
    <s v="単体"/>
    <n v="0"/>
    <m/>
    <n v="1"/>
    <d v="2026-04-23T00:00:00"/>
    <d v="2026-05-13T00:00:00"/>
    <d v="2026-05-11T00:00:00"/>
    <d v="2026-05-12T00:00:00"/>
    <m/>
    <m/>
    <s v="YB-LA001"/>
    <m/>
    <s v="V9"/>
    <x v="2"/>
    <n v="1632"/>
    <m/>
    <m/>
    <m/>
    <n v="986"/>
    <m/>
    <n v="10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2"/>
    <s v="先行生産"/>
    <m/>
    <s v="YB-LA001"/>
    <s v="V9-BH　計画生産"/>
    <s v="YB-LA001"/>
    <s v="5685000-1"/>
    <s v="単体"/>
    <n v="0"/>
    <m/>
    <n v="1"/>
    <d v="2026-04-23T00:00:00"/>
    <d v="2026-05-13T00:00:00"/>
    <d v="2026-05-11T00:00:00"/>
    <d v="2026-05-12T00:00:00"/>
    <m/>
    <m/>
    <s v="YB-LA001"/>
    <m/>
    <s v="V9"/>
    <x v="2"/>
    <n v="1633"/>
    <m/>
    <m/>
    <m/>
    <n v="987"/>
    <m/>
    <n v="10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3"/>
    <s v="先行生産"/>
    <m/>
    <s v="YB-LA001"/>
    <s v="V9-BH　計画生産"/>
    <s v="YB-LA001"/>
    <s v="5685000-1"/>
    <s v="単体"/>
    <n v="0"/>
    <m/>
    <n v="1"/>
    <d v="2026-04-23T00:00:00"/>
    <d v="2026-05-13T00:00:00"/>
    <d v="2026-05-11T00:00:00"/>
    <d v="2026-05-12T00:00:00"/>
    <m/>
    <m/>
    <s v="YB-LA001"/>
    <m/>
    <s v="V9"/>
    <x v="2"/>
    <n v="1634"/>
    <m/>
    <m/>
    <m/>
    <n v="988"/>
    <m/>
    <n v="10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4"/>
    <s v="先行生産"/>
    <m/>
    <s v="YB-LA001"/>
    <s v="V9-BH　計画生産"/>
    <s v="YB-LA001"/>
    <s v="5685000-1"/>
    <s v="単体"/>
    <n v="0"/>
    <m/>
    <n v="1"/>
    <d v="2026-04-23T00:00:00"/>
    <d v="2026-05-13T00:00:00"/>
    <d v="2026-05-11T00:00:00"/>
    <d v="2026-05-12T00:00:00"/>
    <m/>
    <m/>
    <s v="YB-LA001"/>
    <m/>
    <s v="V9"/>
    <x v="2"/>
    <n v="1635"/>
    <m/>
    <m/>
    <m/>
    <n v="989"/>
    <m/>
    <n v="10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5"/>
    <s v="先行生産"/>
    <m/>
    <s v="YB-LA001"/>
    <s v="V9-BH　計画生産"/>
    <s v="YB-LA001"/>
    <s v="5685000-1"/>
    <s v="単体"/>
    <n v="0"/>
    <m/>
    <n v="1"/>
    <d v="2026-04-23T00:00:00"/>
    <d v="2026-05-13T00:00:00"/>
    <d v="2026-05-11T00:00:00"/>
    <d v="2026-05-12T00:00:00"/>
    <m/>
    <m/>
    <s v="YB-LA001"/>
    <m/>
    <s v="V9"/>
    <x v="2"/>
    <n v="1636"/>
    <m/>
    <m/>
    <m/>
    <n v="990"/>
    <m/>
    <n v="10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6"/>
    <s v="先行生産"/>
    <m/>
    <s v="YB-LA001"/>
    <s v="V9-BH　計画生産"/>
    <s v="YB-LA001"/>
    <s v="5685000-1"/>
    <s v="単体"/>
    <n v="0"/>
    <m/>
    <n v="1"/>
    <d v="2026-04-23T00:00:00"/>
    <d v="2026-05-13T00:00:00"/>
    <d v="2026-05-11T00:00:00"/>
    <d v="2026-05-12T00:00:00"/>
    <m/>
    <m/>
    <s v="YB-LA001"/>
    <m/>
    <s v="V9"/>
    <x v="2"/>
    <n v="1637"/>
    <m/>
    <m/>
    <m/>
    <n v="991"/>
    <m/>
    <n v="10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7"/>
    <s v="先行生産"/>
    <m/>
    <s v="YB-LA001"/>
    <s v="V9-BH　計画生産"/>
    <s v="YB-LA001"/>
    <s v="5685000-1"/>
    <s v="単体"/>
    <n v="0"/>
    <m/>
    <n v="1"/>
    <d v="2026-04-23T00:00:00"/>
    <d v="2026-05-14T00:00:00"/>
    <d v="2026-05-11T00:00:00"/>
    <d v="2026-05-12T00:00:00"/>
    <m/>
    <m/>
    <s v="YB-LA001"/>
    <m/>
    <s v="V9"/>
    <x v="2"/>
    <n v="1638"/>
    <m/>
    <m/>
    <m/>
    <n v="992"/>
    <m/>
    <n v="10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8"/>
    <s v="先行生産"/>
    <m/>
    <s v="YB-LA001"/>
    <s v="V9-BH　計画生産"/>
    <s v="YB-LA001"/>
    <s v="5685000-1"/>
    <s v="単体"/>
    <n v="0"/>
    <m/>
    <n v="1"/>
    <d v="2026-04-23T00:00:00"/>
    <d v="2026-05-14T00:00:00"/>
    <d v="2026-05-11T00:00:00"/>
    <d v="2026-05-12T00:00:00"/>
    <m/>
    <m/>
    <s v="YB-LA001"/>
    <m/>
    <s v="V9"/>
    <x v="2"/>
    <n v="1639"/>
    <m/>
    <m/>
    <m/>
    <n v="993"/>
    <m/>
    <n v="10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09"/>
    <s v="先行生産"/>
    <m/>
    <s v="YB-LA001"/>
    <s v="V9-BH　計画生産"/>
    <s v="YB-LA001"/>
    <s v="5685000-1"/>
    <s v="単体"/>
    <n v="0"/>
    <m/>
    <n v="1"/>
    <d v="2026-04-23T00:00:00"/>
    <d v="2026-05-14T00:00:00"/>
    <d v="2026-05-11T00:00:00"/>
    <d v="2026-05-12T00:00:00"/>
    <m/>
    <m/>
    <s v="YB-LA001"/>
    <m/>
    <s v="V9"/>
    <x v="2"/>
    <n v="1640"/>
    <m/>
    <m/>
    <m/>
    <n v="994"/>
    <m/>
    <n v="10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0"/>
    <s v="先行生産"/>
    <m/>
    <s v="YB-LA001"/>
    <s v="V9-BH　計画生産"/>
    <s v="YB-LA001"/>
    <s v="5685000-1"/>
    <s v="単体"/>
    <n v="0"/>
    <m/>
    <n v="1"/>
    <d v="2026-04-23T00:00:00"/>
    <d v="2026-05-14T00:00:00"/>
    <d v="2026-05-11T00:00:00"/>
    <d v="2026-05-12T00:00:00"/>
    <m/>
    <m/>
    <s v="YB-LA001"/>
    <m/>
    <s v="V9"/>
    <x v="2"/>
    <n v="1641"/>
    <m/>
    <m/>
    <m/>
    <n v="995"/>
    <m/>
    <n v="10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1"/>
    <s v="先行生産"/>
    <m/>
    <s v="YB-LA001"/>
    <s v="V9-BH　計画生産"/>
    <s v="YB-LA001"/>
    <s v="5685000-1"/>
    <s v="単体"/>
    <n v="0"/>
    <m/>
    <n v="1"/>
    <d v="2026-04-23T00:00:00"/>
    <d v="2026-05-14T00:00:00"/>
    <d v="2026-05-11T00:00:00"/>
    <d v="2026-05-12T00:00:00"/>
    <m/>
    <m/>
    <s v="YB-LA001"/>
    <m/>
    <s v="V9"/>
    <x v="2"/>
    <n v="1642"/>
    <m/>
    <m/>
    <m/>
    <n v="996"/>
    <m/>
    <n v="10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2"/>
    <s v="先行生産"/>
    <m/>
    <s v="YB-LA001"/>
    <s v="V9-BH　計画生産"/>
    <s v="YB-LA001"/>
    <s v="5685000-1"/>
    <s v="単体"/>
    <n v="0"/>
    <m/>
    <n v="1"/>
    <d v="2026-04-23T00:00:00"/>
    <d v="2026-05-14T00:00:00"/>
    <d v="2026-05-11T00:00:00"/>
    <d v="2026-05-12T00:00:00"/>
    <m/>
    <m/>
    <s v="YB-LA001"/>
    <m/>
    <s v="V9"/>
    <x v="2"/>
    <n v="1643"/>
    <m/>
    <m/>
    <m/>
    <n v="997"/>
    <m/>
    <n v="10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3"/>
    <s v="先行生産"/>
    <m/>
    <s v="YB-LA001"/>
    <s v="V9-BH　計画生産"/>
    <s v="YB-LA001"/>
    <s v="5685000-1"/>
    <s v="単体"/>
    <n v="0"/>
    <m/>
    <n v="1"/>
    <d v="2026-04-23T00:00:00"/>
    <d v="2026-05-15T00:00:00"/>
    <d v="2026-05-11T00:00:00"/>
    <d v="2026-05-12T00:00:00"/>
    <m/>
    <m/>
    <s v="YB-LA001"/>
    <m/>
    <s v="V9"/>
    <x v="2"/>
    <n v="1644"/>
    <m/>
    <m/>
    <m/>
    <n v="998"/>
    <m/>
    <n v="10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4"/>
    <s v="先行生産"/>
    <m/>
    <s v="YB-LA001"/>
    <s v="V9-BH　計画生産"/>
    <s v="YB-LA001"/>
    <s v="5685000-1"/>
    <s v="単体"/>
    <n v="0"/>
    <m/>
    <n v="1"/>
    <d v="2026-04-23T00:00:00"/>
    <d v="2026-05-15T00:00:00"/>
    <d v="2026-05-11T00:00:00"/>
    <d v="2026-05-12T00:00:00"/>
    <m/>
    <m/>
    <s v="YB-LA001"/>
    <m/>
    <s v="V9"/>
    <x v="2"/>
    <n v="1645"/>
    <m/>
    <m/>
    <m/>
    <n v="999"/>
    <m/>
    <n v="10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5"/>
    <s v="先行生産"/>
    <m/>
    <s v="YB-LA001"/>
    <s v="V9-BH　計画生産"/>
    <s v="YB-LA001"/>
    <s v="5685000-1"/>
    <s v="単体"/>
    <n v="0"/>
    <m/>
    <n v="1"/>
    <d v="2026-04-23T00:00:00"/>
    <d v="2026-05-15T00:00:00"/>
    <d v="2026-05-11T00:00:00"/>
    <d v="2026-05-12T00:00:00"/>
    <m/>
    <m/>
    <s v="YB-LA001"/>
    <m/>
    <s v="V9"/>
    <x v="2"/>
    <n v="1646"/>
    <m/>
    <m/>
    <m/>
    <n v="1000"/>
    <m/>
    <n v="10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6"/>
    <s v="先行生産"/>
    <m/>
    <s v="YB-LA001"/>
    <s v="V9-BH　計画生産"/>
    <s v="YB-LA001"/>
    <s v="5685000-1"/>
    <s v="単体"/>
    <n v="0"/>
    <m/>
    <n v="1"/>
    <d v="2026-04-23T00:00:00"/>
    <d v="2026-05-15T00:00:00"/>
    <d v="2026-05-11T00:00:00"/>
    <d v="2026-05-12T00:00:00"/>
    <m/>
    <m/>
    <s v="YB-LA001"/>
    <m/>
    <s v="V9"/>
    <x v="2"/>
    <n v="1647"/>
    <m/>
    <m/>
    <m/>
    <n v="1001"/>
    <m/>
    <n v="10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7"/>
    <s v="先行生産"/>
    <m/>
    <s v="YB-LA001"/>
    <s v="V9-BH　計画生産"/>
    <s v="YB-LA001"/>
    <s v="5685000-1"/>
    <s v="単体"/>
    <n v="0"/>
    <m/>
    <n v="1"/>
    <d v="2026-04-23T00:00:00"/>
    <d v="2026-05-15T00:00:00"/>
    <d v="2026-05-11T00:00:00"/>
    <d v="2026-05-12T00:00:00"/>
    <m/>
    <m/>
    <s v="YB-LA001"/>
    <m/>
    <s v="V9"/>
    <x v="2"/>
    <n v="1648"/>
    <m/>
    <m/>
    <m/>
    <n v="1002"/>
    <m/>
    <n v="10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8"/>
    <s v="先行生産"/>
    <m/>
    <s v="YB-LA001"/>
    <s v="V9-BH　計画生産"/>
    <s v="YB-LA001"/>
    <s v="5685000-1"/>
    <s v="単体"/>
    <n v="0"/>
    <m/>
    <n v="1"/>
    <d v="2026-04-23T00:00:00"/>
    <d v="2026-05-18T00:00:00"/>
    <d v="2026-05-11T00:00:00"/>
    <d v="2026-05-12T00:00:00"/>
    <m/>
    <m/>
    <s v="YB-LA001"/>
    <m/>
    <s v="V9"/>
    <x v="2"/>
    <n v="1649"/>
    <m/>
    <m/>
    <m/>
    <n v="1003"/>
    <m/>
    <n v="10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19"/>
    <s v="先行生産"/>
    <m/>
    <s v="YB-LA001"/>
    <s v="V9-BH　計画生産"/>
    <s v="YB-LA001"/>
    <s v="5685000-1"/>
    <s v="単体"/>
    <n v="0"/>
    <m/>
    <n v="1"/>
    <d v="2026-04-23T00:00:00"/>
    <d v="2026-05-18T00:00:00"/>
    <d v="2026-05-11T00:00:00"/>
    <d v="2026-05-12T00:00:00"/>
    <m/>
    <m/>
    <s v="YB-LA001"/>
    <m/>
    <s v="V9"/>
    <x v="2"/>
    <n v="1650"/>
    <m/>
    <m/>
    <m/>
    <n v="1004"/>
    <m/>
    <n v="10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0"/>
    <s v="先行生産"/>
    <m/>
    <s v="YB-LA001"/>
    <s v="V9-BH　計画生産"/>
    <s v="YB-LA001"/>
    <s v="5685000-1"/>
    <s v="単体"/>
    <n v="0"/>
    <m/>
    <n v="1"/>
    <d v="2026-04-23T00:00:00"/>
    <d v="2026-05-18T00:00:00"/>
    <d v="2026-05-11T00:00:00"/>
    <d v="2026-05-12T00:00:00"/>
    <m/>
    <m/>
    <s v="YB-LA001"/>
    <m/>
    <s v="V9"/>
    <x v="2"/>
    <n v="1651"/>
    <m/>
    <m/>
    <m/>
    <n v="1005"/>
    <m/>
    <n v="10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1"/>
    <s v="先行生産"/>
    <m/>
    <s v="YB-LA001"/>
    <s v="V9-BH　計画生産"/>
    <s v="YB-LA001"/>
    <s v="5685000-1"/>
    <s v="単体"/>
    <n v="0"/>
    <m/>
    <n v="1"/>
    <d v="2026-04-23T00:00:00"/>
    <d v="2026-05-18T00:00:00"/>
    <d v="2026-05-11T00:00:00"/>
    <d v="2026-05-12T00:00:00"/>
    <m/>
    <m/>
    <s v="YB-LA001"/>
    <m/>
    <s v="V9"/>
    <x v="2"/>
    <n v="1652"/>
    <m/>
    <m/>
    <m/>
    <n v="1006"/>
    <m/>
    <n v="10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2"/>
    <s v="先行生産"/>
    <m/>
    <s v="YB-LA001"/>
    <s v="V9-BH　計画生産"/>
    <s v="YB-LA001"/>
    <s v="5685000-1"/>
    <s v="単体"/>
    <n v="0"/>
    <m/>
    <n v="1"/>
    <d v="2026-04-23T00:00:00"/>
    <d v="2026-05-18T00:00:00"/>
    <d v="2026-05-11T00:00:00"/>
    <d v="2026-05-12T00:00:00"/>
    <m/>
    <m/>
    <s v="YB-LA001"/>
    <m/>
    <s v="V9"/>
    <x v="2"/>
    <n v="1653"/>
    <m/>
    <m/>
    <m/>
    <n v="1007"/>
    <m/>
    <n v="10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3"/>
    <s v="先行生産"/>
    <m/>
    <s v="YB-LA001"/>
    <s v="V9-BH　計画生産"/>
    <s v="YB-LA001"/>
    <s v="5685000-1"/>
    <s v="単体"/>
    <n v="0"/>
    <m/>
    <n v="1"/>
    <d v="2026-04-23T00:00:00"/>
    <d v="2026-05-19T00:00:00"/>
    <d v="2026-05-11T00:00:00"/>
    <d v="2026-05-12T00:00:00"/>
    <m/>
    <m/>
    <s v="YB-LA001"/>
    <m/>
    <s v="V9"/>
    <x v="2"/>
    <n v="1654"/>
    <m/>
    <m/>
    <m/>
    <n v="1008"/>
    <m/>
    <n v="10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4"/>
    <s v="先行生産"/>
    <m/>
    <s v="YB-LA001"/>
    <s v="V9-BH　計画生産"/>
    <s v="YB-LA001"/>
    <s v="5685000-1"/>
    <s v="単体"/>
    <n v="0"/>
    <m/>
    <n v="1"/>
    <d v="2026-04-23T00:00:00"/>
    <d v="2026-05-19T00:00:00"/>
    <d v="2026-05-11T00:00:00"/>
    <d v="2026-05-12T00:00:00"/>
    <m/>
    <m/>
    <s v="YB-LA001"/>
    <m/>
    <s v="V9"/>
    <x v="2"/>
    <n v="1655"/>
    <m/>
    <m/>
    <m/>
    <n v="1009"/>
    <m/>
    <n v="10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5"/>
    <s v="先行生産"/>
    <m/>
    <s v="YB-LA001"/>
    <s v="V9-BH　計画生産"/>
    <s v="YB-LA001"/>
    <s v="5685000-1"/>
    <s v="単体"/>
    <n v="0"/>
    <m/>
    <n v="1"/>
    <d v="2026-04-23T00:00:00"/>
    <d v="2026-05-19T00:00:00"/>
    <d v="2026-05-11T00:00:00"/>
    <d v="2026-05-12T00:00:00"/>
    <m/>
    <m/>
    <s v="YB-LA001"/>
    <m/>
    <s v="V9"/>
    <x v="2"/>
    <n v="1656"/>
    <m/>
    <m/>
    <m/>
    <n v="1010"/>
    <m/>
    <n v="10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6"/>
    <s v="先行生産"/>
    <m/>
    <s v="YB-LA001"/>
    <s v="V9-BH　計画生産"/>
    <s v="YB-LA001"/>
    <s v="5685000-1"/>
    <s v="単体"/>
    <n v="0"/>
    <m/>
    <n v="1"/>
    <d v="2026-04-23T00:00:00"/>
    <d v="2026-05-19T00:00:00"/>
    <d v="2026-05-11T00:00:00"/>
    <d v="2026-05-12T00:00:00"/>
    <m/>
    <m/>
    <s v="YB-LA001"/>
    <m/>
    <s v="V9"/>
    <x v="2"/>
    <n v="1657"/>
    <m/>
    <m/>
    <m/>
    <n v="1011"/>
    <m/>
    <n v="10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51"/>
    <s v="000391141-27"/>
    <s v="先行生産"/>
    <m/>
    <s v="YB-LA001"/>
    <s v="V9-BH　計画生産"/>
    <s v="YB-LA001"/>
    <s v="5685000-1"/>
    <s v="単体"/>
    <n v="0"/>
    <m/>
    <n v="1"/>
    <d v="2026-04-23T00:00:00"/>
    <d v="2026-05-19T00:00:00"/>
    <d v="2026-05-11T00:00:00"/>
    <d v="2026-05-12T00:00:00"/>
    <m/>
    <m/>
    <s v="YB-LA001"/>
    <m/>
    <s v="V9"/>
    <x v="2"/>
    <n v="1658"/>
    <m/>
    <m/>
    <m/>
    <n v="1012"/>
    <m/>
    <n v="10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1"/>
    <s v="先行生産"/>
    <m/>
    <s v="YB-LA001"/>
    <s v="V9-BH　計画生産"/>
    <s v="YB-LA001"/>
    <s v="5685000-1"/>
    <s v="単体"/>
    <n v="0"/>
    <m/>
    <n v="1"/>
    <d v="2026-04-23T00:00:00"/>
    <d v="2026-05-20T00:00:00"/>
    <d v="2026-05-15T00:00:00"/>
    <d v="2026-05-18T00:00:00"/>
    <m/>
    <m/>
    <s v="YB-LA001"/>
    <m/>
    <s v="V9"/>
    <x v="2"/>
    <n v="1659"/>
    <m/>
    <m/>
    <m/>
    <n v="1013"/>
    <m/>
    <n v="10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2"/>
    <s v="先行生産"/>
    <m/>
    <s v="YB-LA001"/>
    <s v="V9-BH　計画生産"/>
    <s v="YB-LA001"/>
    <s v="5685000-1"/>
    <s v="単体"/>
    <n v="0"/>
    <m/>
    <n v="1"/>
    <d v="2026-04-23T00:00:00"/>
    <d v="2026-05-20T00:00:00"/>
    <d v="2026-05-15T00:00:00"/>
    <d v="2026-05-18T00:00:00"/>
    <m/>
    <m/>
    <s v="YB-LA001"/>
    <m/>
    <s v="V9"/>
    <x v="2"/>
    <n v="1660"/>
    <m/>
    <m/>
    <m/>
    <n v="1014"/>
    <m/>
    <n v="10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3"/>
    <s v="先行生産"/>
    <m/>
    <s v="YB-LA001"/>
    <s v="V9-BH　計画生産"/>
    <s v="YB-LA001"/>
    <s v="5685000-1"/>
    <s v="単体"/>
    <n v="0"/>
    <m/>
    <n v="1"/>
    <d v="2026-04-23T00:00:00"/>
    <d v="2026-05-20T00:00:00"/>
    <d v="2026-05-15T00:00:00"/>
    <d v="2026-05-18T00:00:00"/>
    <m/>
    <m/>
    <s v="YB-LA001"/>
    <m/>
    <s v="V9"/>
    <x v="2"/>
    <n v="1661"/>
    <m/>
    <m/>
    <m/>
    <n v="1015"/>
    <m/>
    <n v="10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4"/>
    <s v="先行生産"/>
    <m/>
    <s v="YB-LA001"/>
    <s v="V9-BH　計画生産"/>
    <s v="YB-LA001"/>
    <s v="5685000-1"/>
    <s v="単体"/>
    <n v="0"/>
    <m/>
    <n v="1"/>
    <d v="2026-04-23T00:00:00"/>
    <d v="2026-05-20T00:00:00"/>
    <d v="2026-05-15T00:00:00"/>
    <d v="2026-05-18T00:00:00"/>
    <m/>
    <m/>
    <s v="YB-LA001"/>
    <m/>
    <s v="V9"/>
    <x v="2"/>
    <n v="1662"/>
    <m/>
    <m/>
    <m/>
    <n v="1016"/>
    <m/>
    <n v="10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5"/>
    <s v="先行生産"/>
    <m/>
    <s v="YB-LA001"/>
    <s v="V9-BH　計画生産"/>
    <s v="YB-LA001"/>
    <s v="5685000-1"/>
    <s v="単体"/>
    <n v="0"/>
    <m/>
    <n v="1"/>
    <d v="2026-04-23T00:00:00"/>
    <d v="2026-05-20T00:00:00"/>
    <d v="2026-05-15T00:00:00"/>
    <d v="2026-05-18T00:00:00"/>
    <m/>
    <m/>
    <s v="YB-LA001"/>
    <m/>
    <s v="V9"/>
    <x v="2"/>
    <n v="1663"/>
    <m/>
    <m/>
    <m/>
    <n v="1017"/>
    <m/>
    <n v="10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6"/>
    <s v="先行生産"/>
    <m/>
    <s v="YB-LA001"/>
    <s v="V9-BH　計画生産"/>
    <s v="YB-LA001"/>
    <s v="5685000-1"/>
    <s v="単体"/>
    <n v="0"/>
    <m/>
    <n v="1"/>
    <d v="2026-04-23T00:00:00"/>
    <d v="2026-05-20T00:00:00"/>
    <d v="2026-05-15T00:00:00"/>
    <d v="2026-05-18T00:00:00"/>
    <m/>
    <m/>
    <s v="YB-LA001"/>
    <m/>
    <s v="V9"/>
    <x v="2"/>
    <n v="1664"/>
    <m/>
    <m/>
    <m/>
    <n v="1018"/>
    <m/>
    <n v="10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7"/>
    <s v="先行生産"/>
    <m/>
    <s v="YB-LA001"/>
    <s v="V9-BH　計画生産"/>
    <s v="YB-LA001"/>
    <s v="5685000-1"/>
    <s v="単体"/>
    <n v="0"/>
    <m/>
    <n v="1"/>
    <d v="2026-04-23T00:00:00"/>
    <d v="2026-05-21T00:00:00"/>
    <d v="2026-05-15T00:00:00"/>
    <d v="2026-05-18T00:00:00"/>
    <m/>
    <m/>
    <s v="YB-LA001"/>
    <m/>
    <s v="V9"/>
    <x v="2"/>
    <n v="1665"/>
    <m/>
    <m/>
    <m/>
    <n v="1019"/>
    <m/>
    <n v="10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8"/>
    <s v="先行生産"/>
    <m/>
    <s v="YB-LA001"/>
    <s v="V9-BH　計画生産"/>
    <s v="YB-LA001"/>
    <s v="5685000-1"/>
    <s v="単体"/>
    <n v="0"/>
    <m/>
    <n v="1"/>
    <d v="2026-04-23T00:00:00"/>
    <d v="2026-05-21T00:00:00"/>
    <d v="2026-05-15T00:00:00"/>
    <d v="2026-05-18T00:00:00"/>
    <m/>
    <m/>
    <s v="YB-LA001"/>
    <m/>
    <s v="V9"/>
    <x v="2"/>
    <n v="1666"/>
    <m/>
    <m/>
    <m/>
    <n v="1020"/>
    <m/>
    <n v="10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09"/>
    <s v="先行生産"/>
    <m/>
    <s v="YB-LA001"/>
    <s v="V9-BH　計画生産"/>
    <s v="YB-LA001"/>
    <s v="5685000-1"/>
    <s v="単体"/>
    <n v="0"/>
    <m/>
    <n v="1"/>
    <d v="2026-04-23T00:00:00"/>
    <d v="2026-05-21T00:00:00"/>
    <d v="2026-05-15T00:00:00"/>
    <d v="2026-05-18T00:00:00"/>
    <m/>
    <m/>
    <s v="YB-LA001"/>
    <m/>
    <s v="V9"/>
    <x v="2"/>
    <n v="1667"/>
    <m/>
    <m/>
    <m/>
    <n v="1021"/>
    <m/>
    <n v="10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0"/>
    <s v="先行生産"/>
    <m/>
    <s v="YB-LA001"/>
    <s v="V9-BH　計画生産"/>
    <s v="YB-LA001"/>
    <s v="5685000-1"/>
    <s v="単体"/>
    <n v="0"/>
    <m/>
    <n v="1"/>
    <d v="2026-04-23T00:00:00"/>
    <d v="2026-05-21T00:00:00"/>
    <d v="2026-05-15T00:00:00"/>
    <d v="2026-05-18T00:00:00"/>
    <m/>
    <m/>
    <s v="YB-LA001"/>
    <m/>
    <s v="V9"/>
    <x v="2"/>
    <n v="1668"/>
    <m/>
    <m/>
    <m/>
    <n v="1022"/>
    <m/>
    <n v="10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1"/>
    <s v="先行生産"/>
    <m/>
    <s v="YB-LA001"/>
    <s v="V9-BH　計画生産"/>
    <s v="YB-LA001"/>
    <s v="5685000-1"/>
    <s v="単体"/>
    <n v="0"/>
    <m/>
    <n v="1"/>
    <d v="2026-04-23T00:00:00"/>
    <d v="2026-05-21T00:00:00"/>
    <d v="2026-05-15T00:00:00"/>
    <d v="2026-05-18T00:00:00"/>
    <m/>
    <m/>
    <s v="YB-LA001"/>
    <m/>
    <s v="V9"/>
    <x v="2"/>
    <n v="1669"/>
    <m/>
    <m/>
    <m/>
    <n v="1023"/>
    <m/>
    <n v="10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2"/>
    <s v="先行生産"/>
    <m/>
    <s v="YB-LA001"/>
    <s v="V9-BH　計画生産"/>
    <s v="YB-LA001"/>
    <s v="5685000-1"/>
    <s v="単体"/>
    <n v="0"/>
    <m/>
    <n v="1"/>
    <d v="2026-04-23T00:00:00"/>
    <d v="2026-05-21T00:00:00"/>
    <d v="2026-05-15T00:00:00"/>
    <d v="2026-05-18T00:00:00"/>
    <m/>
    <m/>
    <s v="YB-LA001"/>
    <m/>
    <s v="V9"/>
    <x v="2"/>
    <n v="1670"/>
    <m/>
    <m/>
    <m/>
    <n v="1024"/>
    <m/>
    <n v="10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3"/>
    <s v="先行生産"/>
    <m/>
    <s v="YB-LA001"/>
    <s v="V9-BH　計画生産"/>
    <s v="YB-LA001"/>
    <s v="5685000-1"/>
    <s v="単体"/>
    <n v="0"/>
    <m/>
    <n v="1"/>
    <d v="2026-04-23T00:00:00"/>
    <d v="2026-05-22T00:00:00"/>
    <d v="2026-05-15T00:00:00"/>
    <d v="2026-05-18T00:00:00"/>
    <m/>
    <m/>
    <s v="YB-LA001"/>
    <m/>
    <s v="V9"/>
    <x v="2"/>
    <n v="1671"/>
    <m/>
    <m/>
    <m/>
    <n v="1025"/>
    <m/>
    <n v="10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4"/>
    <s v="先行生産"/>
    <m/>
    <s v="YB-LA001"/>
    <s v="V9-BH　計画生産"/>
    <s v="YB-LA001"/>
    <s v="5685000-1"/>
    <s v="単体"/>
    <n v="0"/>
    <m/>
    <n v="1"/>
    <d v="2026-04-23T00:00:00"/>
    <d v="2026-05-22T00:00:00"/>
    <d v="2026-05-15T00:00:00"/>
    <d v="2026-05-18T00:00:00"/>
    <m/>
    <m/>
    <s v="YB-LA001"/>
    <m/>
    <s v="V9"/>
    <x v="2"/>
    <n v="1672"/>
    <m/>
    <m/>
    <m/>
    <n v="1026"/>
    <m/>
    <n v="10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5"/>
    <s v="先行生産"/>
    <m/>
    <s v="YB-LA001"/>
    <s v="V9-BH　計画生産"/>
    <s v="YB-LA001"/>
    <s v="5685000-1"/>
    <s v="単体"/>
    <n v="0"/>
    <m/>
    <n v="1"/>
    <d v="2026-04-23T00:00:00"/>
    <d v="2026-05-22T00:00:00"/>
    <d v="2026-05-15T00:00:00"/>
    <d v="2026-05-18T00:00:00"/>
    <m/>
    <m/>
    <s v="YB-LA001"/>
    <m/>
    <s v="V9"/>
    <x v="2"/>
    <n v="1673"/>
    <m/>
    <m/>
    <m/>
    <n v="1027"/>
    <m/>
    <n v="10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6"/>
    <s v="先行生産"/>
    <m/>
    <s v="YB-LA001"/>
    <s v="V9-BH　計画生産"/>
    <s v="YB-LA001"/>
    <s v="5685000-1"/>
    <s v="単体"/>
    <n v="0"/>
    <m/>
    <n v="1"/>
    <d v="2026-04-23T00:00:00"/>
    <d v="2026-05-22T00:00:00"/>
    <d v="2026-05-15T00:00:00"/>
    <d v="2026-05-18T00:00:00"/>
    <m/>
    <m/>
    <s v="YB-LA001"/>
    <m/>
    <s v="V9"/>
    <x v="2"/>
    <n v="1674"/>
    <m/>
    <m/>
    <m/>
    <n v="1028"/>
    <m/>
    <n v="10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7"/>
    <s v="先行生産"/>
    <m/>
    <s v="YB-LA001"/>
    <s v="V9-BH　計画生産"/>
    <s v="YB-LA001"/>
    <s v="5685000-1"/>
    <s v="単体"/>
    <n v="0"/>
    <m/>
    <n v="1"/>
    <d v="2026-04-23T00:00:00"/>
    <d v="2026-05-22T00:00:00"/>
    <d v="2026-05-15T00:00:00"/>
    <d v="2026-05-18T00:00:00"/>
    <m/>
    <m/>
    <s v="YB-LA001"/>
    <m/>
    <s v="V9"/>
    <x v="2"/>
    <n v="1675"/>
    <m/>
    <m/>
    <m/>
    <n v="1029"/>
    <m/>
    <n v="10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8"/>
    <s v="先行生産"/>
    <m/>
    <s v="YB-LA001"/>
    <s v="V9-BH　計画生産"/>
    <s v="YB-LA001"/>
    <s v="5685000-1"/>
    <s v="単体"/>
    <n v="0"/>
    <m/>
    <n v="1"/>
    <d v="2026-04-23T00:00:00"/>
    <d v="2026-05-25T00:00:00"/>
    <d v="2026-05-15T00:00:00"/>
    <d v="2026-05-18T00:00:00"/>
    <m/>
    <m/>
    <s v="YB-LA001"/>
    <m/>
    <s v="V9"/>
    <x v="2"/>
    <n v="1676"/>
    <m/>
    <m/>
    <m/>
    <n v="1030"/>
    <m/>
    <n v="10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19"/>
    <s v="先行生産"/>
    <m/>
    <s v="YB-LA001"/>
    <s v="V9-BH　計画生産"/>
    <s v="YB-LA001"/>
    <s v="5685000-1"/>
    <s v="単体"/>
    <n v="0"/>
    <m/>
    <n v="1"/>
    <d v="2026-04-23T00:00:00"/>
    <d v="2026-05-25T00:00:00"/>
    <d v="2026-05-15T00:00:00"/>
    <d v="2026-05-18T00:00:00"/>
    <m/>
    <m/>
    <s v="YB-LA001"/>
    <m/>
    <s v="V9"/>
    <x v="2"/>
    <n v="1677"/>
    <m/>
    <m/>
    <m/>
    <n v="1031"/>
    <m/>
    <n v="10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0"/>
    <s v="先行生産"/>
    <m/>
    <s v="YB-LA001"/>
    <s v="V9-BH　計画生産"/>
    <s v="YB-LA001"/>
    <s v="5685000-1"/>
    <s v="単体"/>
    <n v="0"/>
    <m/>
    <n v="1"/>
    <d v="2026-04-23T00:00:00"/>
    <d v="2026-05-25T00:00:00"/>
    <d v="2026-05-15T00:00:00"/>
    <d v="2026-05-18T00:00:00"/>
    <m/>
    <m/>
    <s v="YB-LA001"/>
    <m/>
    <s v="V9"/>
    <x v="2"/>
    <n v="1678"/>
    <m/>
    <m/>
    <m/>
    <n v="1032"/>
    <m/>
    <n v="10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1"/>
    <s v="先行生産"/>
    <m/>
    <s v="YB-LA001"/>
    <s v="V9-BH　計画生産"/>
    <s v="YB-LA001"/>
    <s v="5685000-1"/>
    <s v="単体"/>
    <n v="0"/>
    <m/>
    <n v="1"/>
    <d v="2026-04-23T00:00:00"/>
    <d v="2026-05-25T00:00:00"/>
    <d v="2026-05-15T00:00:00"/>
    <d v="2026-05-18T00:00:00"/>
    <m/>
    <m/>
    <s v="YB-LA001"/>
    <m/>
    <s v="V9"/>
    <x v="2"/>
    <n v="1679"/>
    <m/>
    <m/>
    <m/>
    <n v="1033"/>
    <m/>
    <n v="10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2"/>
    <s v="先行生産"/>
    <m/>
    <s v="YB-LA001"/>
    <s v="V9-BH　計画生産"/>
    <s v="YB-LA001"/>
    <s v="5685000-1"/>
    <s v="単体"/>
    <n v="0"/>
    <m/>
    <n v="1"/>
    <d v="2026-04-23T00:00:00"/>
    <d v="2026-05-25T00:00:00"/>
    <d v="2026-05-15T00:00:00"/>
    <d v="2026-05-18T00:00:00"/>
    <m/>
    <m/>
    <s v="YB-LA001"/>
    <m/>
    <s v="V9"/>
    <x v="2"/>
    <n v="1680"/>
    <m/>
    <m/>
    <m/>
    <n v="1034"/>
    <m/>
    <n v="10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3"/>
    <s v="先行生産"/>
    <m/>
    <s v="YB-LA001"/>
    <s v="V9-BH　計画生産"/>
    <s v="YB-LA001"/>
    <s v="5685000-1"/>
    <s v="単体"/>
    <n v="0"/>
    <m/>
    <n v="1"/>
    <d v="2026-04-23T00:00:00"/>
    <d v="2026-05-26T00:00:00"/>
    <d v="2026-05-15T00:00:00"/>
    <d v="2026-05-18T00:00:00"/>
    <m/>
    <m/>
    <s v="YB-LA001"/>
    <m/>
    <s v="V9"/>
    <x v="2"/>
    <n v="1681"/>
    <m/>
    <m/>
    <m/>
    <n v="1035"/>
    <m/>
    <n v="10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4"/>
    <s v="先行生産"/>
    <m/>
    <s v="YB-LA001"/>
    <s v="V9-BH　計画生産"/>
    <s v="YB-LA001"/>
    <s v="5685000-1"/>
    <s v="単体"/>
    <n v="0"/>
    <m/>
    <n v="1"/>
    <d v="2026-04-23T00:00:00"/>
    <d v="2026-05-26T00:00:00"/>
    <d v="2026-05-15T00:00:00"/>
    <d v="2026-05-18T00:00:00"/>
    <m/>
    <m/>
    <s v="YB-LA001"/>
    <m/>
    <s v="V9"/>
    <x v="2"/>
    <n v="1682"/>
    <m/>
    <m/>
    <m/>
    <n v="1036"/>
    <m/>
    <n v="10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5"/>
    <s v="先行生産"/>
    <m/>
    <s v="YB-LA001"/>
    <s v="V9-BH　計画生産"/>
    <s v="YB-LA001"/>
    <s v="5685000-1"/>
    <s v="単体"/>
    <n v="0"/>
    <m/>
    <n v="1"/>
    <d v="2026-04-23T00:00:00"/>
    <d v="2026-05-26T00:00:00"/>
    <d v="2026-05-15T00:00:00"/>
    <d v="2026-05-18T00:00:00"/>
    <m/>
    <m/>
    <s v="YB-LA001"/>
    <m/>
    <s v="V9"/>
    <x v="2"/>
    <n v="1683"/>
    <m/>
    <m/>
    <m/>
    <n v="1037"/>
    <m/>
    <n v="10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6"/>
    <s v="先行生産"/>
    <m/>
    <s v="YB-LA001"/>
    <s v="V9-BH　計画生産"/>
    <s v="YB-LA001"/>
    <s v="5685000-1"/>
    <s v="単体"/>
    <n v="0"/>
    <m/>
    <n v="1"/>
    <d v="2026-04-23T00:00:00"/>
    <d v="2026-05-26T00:00:00"/>
    <d v="2026-05-15T00:00:00"/>
    <d v="2026-05-18T00:00:00"/>
    <m/>
    <m/>
    <s v="YB-LA001"/>
    <m/>
    <s v="V9"/>
    <x v="2"/>
    <n v="1684"/>
    <m/>
    <m/>
    <m/>
    <n v="1038"/>
    <m/>
    <n v="10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181"/>
    <s v="000391142-27"/>
    <s v="先行生産"/>
    <m/>
    <s v="YB-LA001"/>
    <s v="V9-BH　計画生産"/>
    <s v="YB-LA001"/>
    <s v="5685000-1"/>
    <s v="単体"/>
    <n v="0"/>
    <m/>
    <n v="1"/>
    <d v="2026-04-23T00:00:00"/>
    <d v="2026-05-26T00:00:00"/>
    <d v="2026-05-15T00:00:00"/>
    <d v="2026-05-18T00:00:00"/>
    <m/>
    <m/>
    <s v="YB-LA001"/>
    <m/>
    <s v="V9"/>
    <x v="2"/>
    <n v="1685"/>
    <m/>
    <m/>
    <m/>
    <n v="1039"/>
    <m/>
    <n v="10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1"/>
    <s v="先行生産"/>
    <m/>
    <s v="YB-LA001"/>
    <s v="V9-BH　計画生産"/>
    <s v="YB-LA001"/>
    <s v="5685000-1"/>
    <s v="単体"/>
    <n v="0"/>
    <m/>
    <n v="1"/>
    <d v="2026-04-23T00:00:00"/>
    <d v="2026-05-27T00:00:00"/>
    <d v="2026-05-25T00:00:00"/>
    <d v="2026-05-26T00:00:00"/>
    <m/>
    <m/>
    <s v="YB-LA001"/>
    <m/>
    <s v="V9"/>
    <x v="2"/>
    <n v="1686"/>
    <m/>
    <m/>
    <m/>
    <n v="1040"/>
    <m/>
    <n v="10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2"/>
    <s v="先行生産"/>
    <m/>
    <s v="YB-LA001"/>
    <s v="V9-BH　計画生産"/>
    <s v="YB-LA001"/>
    <s v="5685000-1"/>
    <s v="単体"/>
    <n v="0"/>
    <m/>
    <n v="1"/>
    <d v="2026-04-23T00:00:00"/>
    <d v="2026-05-27T00:00:00"/>
    <d v="2026-05-25T00:00:00"/>
    <d v="2026-05-26T00:00:00"/>
    <m/>
    <m/>
    <s v="YB-LA001"/>
    <m/>
    <s v="V9"/>
    <x v="2"/>
    <n v="1687"/>
    <m/>
    <m/>
    <m/>
    <n v="1041"/>
    <m/>
    <n v="10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3"/>
    <s v="先行生産"/>
    <m/>
    <s v="YB-LA001"/>
    <s v="V9-BH　計画生産"/>
    <s v="YB-LA001"/>
    <s v="5685000-1"/>
    <s v="単体"/>
    <n v="0"/>
    <m/>
    <n v="1"/>
    <d v="2026-04-23T00:00:00"/>
    <d v="2026-05-27T00:00:00"/>
    <d v="2026-05-25T00:00:00"/>
    <d v="2026-05-26T00:00:00"/>
    <m/>
    <m/>
    <s v="YB-LA001"/>
    <m/>
    <s v="V9"/>
    <x v="2"/>
    <n v="1688"/>
    <m/>
    <m/>
    <m/>
    <n v="1042"/>
    <m/>
    <n v="10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4"/>
    <s v="先行生産"/>
    <m/>
    <s v="YB-LA001"/>
    <s v="V9-BH　計画生産"/>
    <s v="YB-LA001"/>
    <s v="5685000-1"/>
    <s v="単体"/>
    <n v="0"/>
    <m/>
    <n v="1"/>
    <d v="2026-04-23T00:00:00"/>
    <d v="2026-05-27T00:00:00"/>
    <d v="2026-05-25T00:00:00"/>
    <d v="2026-05-26T00:00:00"/>
    <m/>
    <m/>
    <s v="YB-LA001"/>
    <m/>
    <s v="V9"/>
    <x v="2"/>
    <n v="1689"/>
    <m/>
    <m/>
    <m/>
    <n v="1043"/>
    <m/>
    <n v="10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5"/>
    <s v="先行生産"/>
    <m/>
    <s v="YB-LA001"/>
    <s v="V9-BH　計画生産"/>
    <s v="YB-LA001"/>
    <s v="5685000-1"/>
    <s v="単体"/>
    <n v="0"/>
    <m/>
    <n v="1"/>
    <d v="2026-04-23T00:00:00"/>
    <d v="2026-05-27T00:00:00"/>
    <d v="2026-05-25T00:00:00"/>
    <d v="2026-05-26T00:00:00"/>
    <m/>
    <m/>
    <s v="YB-LA001"/>
    <m/>
    <s v="V9"/>
    <x v="2"/>
    <n v="1690"/>
    <m/>
    <m/>
    <m/>
    <n v="1044"/>
    <m/>
    <n v="10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6"/>
    <s v="先行生産"/>
    <m/>
    <s v="YB-LA001"/>
    <s v="V9-BH　計画生産"/>
    <s v="YB-LA001"/>
    <s v="5685000-1"/>
    <s v="単体"/>
    <n v="0"/>
    <m/>
    <n v="1"/>
    <d v="2026-04-23T00:00:00"/>
    <d v="2026-05-27T00:00:00"/>
    <d v="2026-05-25T00:00:00"/>
    <d v="2026-05-26T00:00:00"/>
    <m/>
    <m/>
    <s v="YB-LA001"/>
    <m/>
    <s v="V9"/>
    <x v="2"/>
    <n v="1691"/>
    <m/>
    <m/>
    <m/>
    <n v="1045"/>
    <m/>
    <n v="10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7"/>
    <s v="先行生産"/>
    <m/>
    <s v="YB-LA001"/>
    <s v="V9-BH　計画生産"/>
    <s v="YB-LA001"/>
    <s v="5685000-1"/>
    <s v="単体"/>
    <n v="0"/>
    <m/>
    <n v="1"/>
    <d v="2026-04-23T00:00:00"/>
    <d v="2026-05-28T00:00:00"/>
    <d v="2026-05-25T00:00:00"/>
    <d v="2026-05-26T00:00:00"/>
    <m/>
    <m/>
    <s v="YB-LA001"/>
    <m/>
    <s v="V9"/>
    <x v="2"/>
    <n v="1692"/>
    <m/>
    <m/>
    <m/>
    <n v="1046"/>
    <m/>
    <n v="10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8"/>
    <s v="先行生産"/>
    <m/>
    <s v="YB-LA001"/>
    <s v="V9-BH　計画生産"/>
    <s v="YB-LA001"/>
    <s v="5685000-1"/>
    <s v="単体"/>
    <n v="0"/>
    <m/>
    <n v="1"/>
    <d v="2026-04-23T00:00:00"/>
    <d v="2026-05-28T00:00:00"/>
    <d v="2026-05-25T00:00:00"/>
    <d v="2026-05-26T00:00:00"/>
    <m/>
    <m/>
    <s v="YB-LA001"/>
    <m/>
    <s v="V9"/>
    <x v="2"/>
    <n v="1693"/>
    <m/>
    <m/>
    <m/>
    <n v="1047"/>
    <m/>
    <n v="11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09"/>
    <s v="先行生産"/>
    <m/>
    <s v="YB-LA001"/>
    <s v="V9-BH　計画生産"/>
    <s v="YB-LA001"/>
    <s v="5685000-1"/>
    <s v="単体"/>
    <n v="0"/>
    <m/>
    <n v="1"/>
    <d v="2026-04-23T00:00:00"/>
    <d v="2026-05-28T00:00:00"/>
    <d v="2026-05-25T00:00:00"/>
    <d v="2026-05-26T00:00:00"/>
    <m/>
    <m/>
    <s v="YB-LA001"/>
    <m/>
    <s v="V9"/>
    <x v="2"/>
    <n v="1694"/>
    <m/>
    <m/>
    <m/>
    <n v="1048"/>
    <m/>
    <n v="11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0"/>
    <s v="先行生産"/>
    <m/>
    <s v="YB-LA001"/>
    <s v="V9-BH　計画生産"/>
    <s v="YB-LA001"/>
    <s v="5685000-1"/>
    <s v="単体"/>
    <n v="0"/>
    <m/>
    <n v="1"/>
    <d v="2026-04-23T00:00:00"/>
    <d v="2026-05-28T00:00:00"/>
    <d v="2026-05-25T00:00:00"/>
    <d v="2026-05-26T00:00:00"/>
    <m/>
    <m/>
    <s v="YB-LA001"/>
    <m/>
    <s v="V9"/>
    <x v="2"/>
    <n v="1695"/>
    <m/>
    <m/>
    <m/>
    <n v="1049"/>
    <m/>
    <n v="11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1"/>
    <s v="先行生産"/>
    <m/>
    <s v="YB-LA001"/>
    <s v="V9-BH　計画生産"/>
    <s v="YB-LA001"/>
    <s v="5685000-1"/>
    <s v="単体"/>
    <n v="0"/>
    <m/>
    <n v="1"/>
    <d v="2026-04-23T00:00:00"/>
    <d v="2026-05-28T00:00:00"/>
    <d v="2026-05-25T00:00:00"/>
    <d v="2026-05-26T00:00:00"/>
    <m/>
    <m/>
    <s v="YB-LA001"/>
    <m/>
    <s v="V9"/>
    <x v="2"/>
    <n v="1696"/>
    <m/>
    <m/>
    <m/>
    <n v="1050"/>
    <m/>
    <n v="1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2"/>
    <s v="先行生産"/>
    <m/>
    <s v="YB-LA001"/>
    <s v="V9-BH　計画生産"/>
    <s v="YB-LA001"/>
    <s v="5685000-1"/>
    <s v="単体"/>
    <n v="0"/>
    <m/>
    <n v="1"/>
    <d v="2026-04-23T00:00:00"/>
    <d v="2026-05-28T00:00:00"/>
    <d v="2026-05-25T00:00:00"/>
    <d v="2026-05-26T00:00:00"/>
    <m/>
    <m/>
    <s v="YB-LA001"/>
    <m/>
    <s v="V9"/>
    <x v="2"/>
    <n v="1697"/>
    <m/>
    <m/>
    <m/>
    <n v="1051"/>
    <m/>
    <n v="1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3"/>
    <s v="先行生産"/>
    <m/>
    <s v="YB-LA001"/>
    <s v="V9-BH　計画生産"/>
    <s v="YB-LA001"/>
    <s v="5685000-1"/>
    <s v="単体"/>
    <n v="0"/>
    <m/>
    <n v="1"/>
    <d v="2026-04-23T00:00:00"/>
    <d v="2026-05-29T00:00:00"/>
    <d v="2026-05-25T00:00:00"/>
    <d v="2026-05-26T00:00:00"/>
    <m/>
    <m/>
    <s v="YB-LA001"/>
    <m/>
    <s v="V9"/>
    <x v="2"/>
    <n v="1698"/>
    <m/>
    <m/>
    <m/>
    <n v="1052"/>
    <m/>
    <n v="11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4"/>
    <s v="先行生産"/>
    <m/>
    <s v="YB-LA001"/>
    <s v="V9-BH　計画生産"/>
    <s v="YB-LA001"/>
    <s v="5685000-1"/>
    <s v="単体"/>
    <n v="0"/>
    <m/>
    <n v="1"/>
    <d v="2026-04-23T00:00:00"/>
    <d v="2026-05-29T00:00:00"/>
    <d v="2026-05-25T00:00:00"/>
    <d v="2026-05-26T00:00:00"/>
    <m/>
    <m/>
    <s v="YB-LA001"/>
    <m/>
    <s v="V9"/>
    <x v="2"/>
    <n v="1699"/>
    <m/>
    <m/>
    <m/>
    <n v="1053"/>
    <m/>
    <n v="1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5"/>
    <s v="先行生産"/>
    <m/>
    <s v="YB-LA001"/>
    <s v="V9-BH　計画生産"/>
    <s v="YB-LA001"/>
    <s v="5685000-1"/>
    <s v="単体"/>
    <n v="0"/>
    <m/>
    <n v="1"/>
    <d v="2026-04-23T00:00:00"/>
    <d v="2026-05-29T00:00:00"/>
    <d v="2026-05-25T00:00:00"/>
    <d v="2026-05-26T00:00:00"/>
    <m/>
    <m/>
    <s v="YB-LA001"/>
    <m/>
    <s v="V9"/>
    <x v="2"/>
    <n v="1700"/>
    <m/>
    <m/>
    <m/>
    <n v="1054"/>
    <m/>
    <n v="11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6"/>
    <s v="先行生産"/>
    <m/>
    <s v="YB-LA001"/>
    <s v="V9-BH　計画生産"/>
    <s v="YB-LA001"/>
    <s v="5685000-1"/>
    <s v="単体"/>
    <n v="0"/>
    <m/>
    <n v="1"/>
    <d v="2026-04-23T00:00:00"/>
    <d v="2026-05-29T00:00:00"/>
    <d v="2026-05-25T00:00:00"/>
    <d v="2026-05-26T00:00:00"/>
    <m/>
    <m/>
    <s v="YB-LA001"/>
    <m/>
    <s v="V9"/>
    <x v="2"/>
    <n v="1701"/>
    <m/>
    <m/>
    <m/>
    <n v="1055"/>
    <m/>
    <n v="11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7"/>
    <s v="先行生産"/>
    <m/>
    <s v="YB-LA001"/>
    <s v="V9-BH　計画生産"/>
    <s v="YB-LA001"/>
    <s v="5685000-1"/>
    <s v="単体"/>
    <n v="0"/>
    <m/>
    <n v="1"/>
    <d v="2026-04-23T00:00:00"/>
    <d v="2026-05-29T00:00:00"/>
    <d v="2026-05-25T00:00:00"/>
    <d v="2026-05-26T00:00:00"/>
    <m/>
    <m/>
    <s v="YB-LA001"/>
    <m/>
    <s v="V9"/>
    <x v="2"/>
    <n v="1702"/>
    <m/>
    <m/>
    <m/>
    <n v="1056"/>
    <m/>
    <n v="1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8"/>
    <s v="先行生産"/>
    <m/>
    <s v="YB-LA001"/>
    <s v="V9-BH　計画生産"/>
    <s v="YB-LA001"/>
    <s v="5685000-1"/>
    <s v="単体"/>
    <n v="0"/>
    <m/>
    <n v="1"/>
    <d v="2026-04-23T00:00:00"/>
    <d v="2026-05-29T00:00:00"/>
    <d v="2026-05-25T00:00:00"/>
    <d v="2026-05-26T00:00:00"/>
    <m/>
    <m/>
    <s v="YB-LA001"/>
    <m/>
    <s v="V9"/>
    <x v="2"/>
    <n v="1703"/>
    <m/>
    <m/>
    <m/>
    <n v="1057"/>
    <m/>
    <n v="11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19"/>
    <s v="先行生産"/>
    <m/>
    <s v="YB-LA001"/>
    <s v="V9-BH　計画生産"/>
    <s v="YB-LA001"/>
    <s v="5685000-1"/>
    <s v="単体"/>
    <n v="0"/>
    <m/>
    <n v="1"/>
    <d v="2026-04-23T00:00:00"/>
    <d v="2026-06-01T00:00:00"/>
    <d v="2026-05-25T00:00:00"/>
    <d v="2026-05-26T00:00:00"/>
    <m/>
    <m/>
    <s v="YB-LA001"/>
    <m/>
    <s v="V9"/>
    <x v="3"/>
    <n v="1704"/>
    <m/>
    <m/>
    <m/>
    <n v="1058"/>
    <m/>
    <n v="11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0"/>
    <s v="先行生産"/>
    <m/>
    <s v="YB-LA001"/>
    <s v="V9-BH　計画生産"/>
    <s v="YB-LA001"/>
    <s v="5685000-1"/>
    <s v="単体"/>
    <n v="0"/>
    <m/>
    <n v="1"/>
    <d v="2026-04-23T00:00:00"/>
    <d v="2026-06-01T00:00:00"/>
    <d v="2026-05-25T00:00:00"/>
    <d v="2026-05-26T00:00:00"/>
    <m/>
    <m/>
    <s v="YB-LA001"/>
    <m/>
    <s v="V9"/>
    <x v="3"/>
    <n v="1705"/>
    <m/>
    <m/>
    <m/>
    <n v="1059"/>
    <m/>
    <n v="1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1"/>
    <s v="先行生産"/>
    <m/>
    <s v="YB-LA001"/>
    <s v="V9-BH　計画生産"/>
    <s v="YB-LA001"/>
    <s v="5685000-1"/>
    <s v="単体"/>
    <n v="0"/>
    <m/>
    <n v="1"/>
    <d v="2026-04-23T00:00:00"/>
    <d v="2026-06-01T00:00:00"/>
    <d v="2026-05-25T00:00:00"/>
    <d v="2026-05-26T00:00:00"/>
    <m/>
    <m/>
    <s v="YB-LA001"/>
    <m/>
    <s v="V9"/>
    <x v="3"/>
    <n v="1706"/>
    <m/>
    <m/>
    <m/>
    <n v="1060"/>
    <m/>
    <n v="11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2"/>
    <s v="先行生産"/>
    <m/>
    <s v="YB-LA001"/>
    <s v="V9-BH　計画生産"/>
    <s v="YB-LA001"/>
    <s v="5685000-1"/>
    <s v="単体"/>
    <n v="0"/>
    <m/>
    <n v="1"/>
    <d v="2026-04-23T00:00:00"/>
    <d v="2026-06-01T00:00:00"/>
    <d v="2026-05-25T00:00:00"/>
    <d v="2026-05-26T00:00:00"/>
    <m/>
    <m/>
    <s v="YB-LA001"/>
    <m/>
    <s v="V9"/>
    <x v="3"/>
    <n v="1707"/>
    <m/>
    <m/>
    <m/>
    <n v="1061"/>
    <m/>
    <n v="11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3"/>
    <s v="先行生産"/>
    <m/>
    <s v="YB-LA001"/>
    <s v="V9-BH　計画生産"/>
    <s v="YB-LA001"/>
    <s v="5685000-1"/>
    <s v="単体"/>
    <n v="0"/>
    <m/>
    <n v="1"/>
    <d v="2026-04-23T00:00:00"/>
    <d v="2026-06-01T00:00:00"/>
    <d v="2026-05-25T00:00:00"/>
    <d v="2026-05-26T00:00:00"/>
    <m/>
    <m/>
    <s v="YB-LA001"/>
    <m/>
    <s v="V9"/>
    <x v="3"/>
    <n v="1708"/>
    <m/>
    <m/>
    <m/>
    <n v="1062"/>
    <m/>
    <n v="11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4"/>
    <s v="先行生産"/>
    <m/>
    <s v="YB-LA001"/>
    <s v="V9-BH　計画生産"/>
    <s v="YB-LA001"/>
    <s v="5685000-1"/>
    <s v="単体"/>
    <n v="0"/>
    <m/>
    <n v="1"/>
    <d v="2026-04-23T00:00:00"/>
    <d v="2026-06-02T00:00:00"/>
    <d v="2026-05-25T00:00:00"/>
    <d v="2026-05-26T00:00:00"/>
    <m/>
    <m/>
    <s v="YB-LA001"/>
    <m/>
    <s v="V9"/>
    <x v="3"/>
    <n v="1709"/>
    <m/>
    <m/>
    <m/>
    <n v="1063"/>
    <m/>
    <n v="11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5"/>
    <s v="先行生産"/>
    <m/>
    <s v="YB-LA001"/>
    <s v="V9-BH　計画生産"/>
    <s v="YB-LA001"/>
    <s v="5685000-1"/>
    <s v="単体"/>
    <n v="0"/>
    <m/>
    <n v="1"/>
    <d v="2026-04-23T00:00:00"/>
    <d v="2026-06-02T00:00:00"/>
    <d v="2026-05-25T00:00:00"/>
    <d v="2026-05-26T00:00:00"/>
    <m/>
    <m/>
    <s v="YB-LA001"/>
    <m/>
    <s v="V9"/>
    <x v="3"/>
    <n v="1710"/>
    <m/>
    <m/>
    <m/>
    <n v="1064"/>
    <m/>
    <n v="11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6"/>
    <s v="先行生産"/>
    <m/>
    <s v="YB-LA001"/>
    <s v="V9-BH　計画生産"/>
    <s v="YB-LA001"/>
    <s v="5685000-1"/>
    <s v="単体"/>
    <n v="0"/>
    <m/>
    <n v="1"/>
    <d v="2026-04-23T00:00:00"/>
    <d v="2026-06-02T00:00:00"/>
    <d v="2026-05-25T00:00:00"/>
    <d v="2026-05-26T00:00:00"/>
    <m/>
    <m/>
    <s v="YB-LA001"/>
    <m/>
    <s v="V9"/>
    <x v="3"/>
    <n v="1711"/>
    <m/>
    <m/>
    <m/>
    <n v="1065"/>
    <m/>
    <n v="11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7"/>
    <s v="先行生産"/>
    <m/>
    <s v="YB-LA001"/>
    <s v="V9-BH　計画生産"/>
    <s v="YB-LA001"/>
    <s v="5685000-1"/>
    <s v="単体"/>
    <n v="0"/>
    <m/>
    <n v="1"/>
    <d v="2026-04-23T00:00:00"/>
    <d v="2026-06-02T00:00:00"/>
    <d v="2026-05-25T00:00:00"/>
    <d v="2026-05-26T00:00:00"/>
    <m/>
    <m/>
    <s v="YB-LA001"/>
    <m/>
    <s v="V9"/>
    <x v="3"/>
    <n v="1712"/>
    <m/>
    <m/>
    <m/>
    <n v="1066"/>
    <m/>
    <n v="11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21"/>
    <s v="000389427-28"/>
    <s v="先行生産"/>
    <m/>
    <s v="YB-LA001"/>
    <s v="V9-BH　計画生産"/>
    <s v="YB-LA001"/>
    <s v="5685000-1"/>
    <s v="単体"/>
    <n v="0"/>
    <m/>
    <n v="1"/>
    <d v="2026-04-23T00:00:00"/>
    <d v="2026-06-02T00:00:00"/>
    <d v="2026-05-25T00:00:00"/>
    <d v="2026-05-26T00:00:00"/>
    <m/>
    <m/>
    <s v="YB-LA001"/>
    <m/>
    <s v="V9"/>
    <x v="3"/>
    <n v="1713"/>
    <m/>
    <m/>
    <m/>
    <n v="1067"/>
    <m/>
    <n v="11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1"/>
    <s v="先行生産"/>
    <m/>
    <s v="YB-LA001"/>
    <s v="V9-BH　計画生産"/>
    <s v="YB-LA001"/>
    <s v="5685000-1"/>
    <s v="単体"/>
    <n v="0"/>
    <m/>
    <n v="1"/>
    <d v="2025-05-26T00:00:00"/>
    <d v="2026-06-03T00:00:00"/>
    <d v="2026-06-01T00:00:00"/>
    <d v="2026-06-02T00:00:00"/>
    <m/>
    <m/>
    <s v="YB-LA001"/>
    <m/>
    <s v="V9"/>
    <x v="3"/>
    <n v="1714"/>
    <m/>
    <m/>
    <m/>
    <n v="1068"/>
    <m/>
    <n v="11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2"/>
    <s v="先行生産"/>
    <m/>
    <s v="YB-LA001"/>
    <s v="V9-BH　計画生産"/>
    <s v="YB-LA001"/>
    <s v="5685000-1"/>
    <s v="単体"/>
    <n v="0"/>
    <m/>
    <n v="1"/>
    <d v="2025-05-26T00:00:00"/>
    <d v="2026-06-03T00:00:00"/>
    <d v="2026-06-01T00:00:00"/>
    <d v="2026-06-02T00:00:00"/>
    <m/>
    <m/>
    <s v="YB-LA001"/>
    <m/>
    <s v="V9"/>
    <x v="3"/>
    <n v="1715"/>
    <m/>
    <m/>
    <m/>
    <n v="1069"/>
    <m/>
    <n v="1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3"/>
    <s v="先行生産"/>
    <m/>
    <s v="YB-LA001"/>
    <s v="V9-BH　計画生産"/>
    <s v="YB-LA001"/>
    <s v="5685000-1"/>
    <s v="単体"/>
    <n v="0"/>
    <m/>
    <n v="1"/>
    <d v="2025-05-26T00:00:00"/>
    <d v="2026-06-03T00:00:00"/>
    <d v="2026-06-01T00:00:00"/>
    <d v="2026-06-02T00:00:00"/>
    <m/>
    <m/>
    <s v="YB-LA001"/>
    <m/>
    <s v="V9"/>
    <x v="3"/>
    <n v="1716"/>
    <m/>
    <m/>
    <m/>
    <n v="1070"/>
    <m/>
    <n v="11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4"/>
    <s v="先行生産"/>
    <m/>
    <s v="YB-LA001"/>
    <s v="V9-BH　計画生産"/>
    <s v="YB-LA001"/>
    <s v="5685000-1"/>
    <s v="単体"/>
    <n v="0"/>
    <m/>
    <n v="1"/>
    <d v="2025-05-26T00:00:00"/>
    <d v="2026-06-03T00:00:00"/>
    <d v="2026-06-01T00:00:00"/>
    <d v="2026-06-02T00:00:00"/>
    <m/>
    <m/>
    <s v="YB-LA001"/>
    <m/>
    <s v="V9"/>
    <x v="3"/>
    <n v="1717"/>
    <m/>
    <m/>
    <m/>
    <n v="1071"/>
    <m/>
    <n v="11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5"/>
    <s v="先行生産"/>
    <m/>
    <s v="YB-LA001"/>
    <s v="V9-BH　計画生産"/>
    <s v="YB-LA001"/>
    <s v="5685000-1"/>
    <s v="単体"/>
    <n v="0"/>
    <m/>
    <n v="1"/>
    <d v="2025-05-26T00:00:00"/>
    <d v="2026-06-03T00:00:00"/>
    <d v="2026-06-01T00:00:00"/>
    <d v="2026-06-02T00:00:00"/>
    <m/>
    <m/>
    <s v="YB-LA001"/>
    <m/>
    <s v="V9"/>
    <x v="3"/>
    <n v="1718"/>
    <m/>
    <m/>
    <m/>
    <n v="1072"/>
    <m/>
    <n v="1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6"/>
    <s v="先行生産"/>
    <m/>
    <s v="YB-LA001"/>
    <s v="V9-BH　計画生産"/>
    <s v="YB-LA001"/>
    <s v="5685000-1"/>
    <s v="単体"/>
    <n v="0"/>
    <m/>
    <n v="1"/>
    <d v="2025-05-26T00:00:00"/>
    <d v="2026-06-03T00:00:00"/>
    <d v="2026-06-01T00:00:00"/>
    <d v="2026-06-02T00:00:00"/>
    <m/>
    <m/>
    <s v="YB-LA001"/>
    <m/>
    <s v="V9"/>
    <x v="3"/>
    <n v="1719"/>
    <m/>
    <m/>
    <m/>
    <n v="1073"/>
    <m/>
    <n v="1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7"/>
    <s v="先行生産"/>
    <m/>
    <s v="YB-LA001"/>
    <s v="V9-BH　計画生産"/>
    <s v="YB-LA001"/>
    <s v="5685000-1"/>
    <s v="単体"/>
    <n v="0"/>
    <m/>
    <n v="1"/>
    <d v="2025-05-26T00:00:00"/>
    <d v="2026-06-04T00:00:00"/>
    <d v="2026-06-01T00:00:00"/>
    <d v="2026-06-02T00:00:00"/>
    <m/>
    <m/>
    <s v="YB-LA001"/>
    <m/>
    <s v="V9"/>
    <x v="3"/>
    <n v="1720"/>
    <m/>
    <m/>
    <m/>
    <n v="1074"/>
    <m/>
    <n v="11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8"/>
    <s v="先行生産"/>
    <m/>
    <s v="YB-LA001"/>
    <s v="V9-BH　計画生産"/>
    <s v="YB-LA001"/>
    <s v="5685000-1"/>
    <s v="単体"/>
    <n v="0"/>
    <m/>
    <n v="1"/>
    <d v="2025-05-26T00:00:00"/>
    <d v="2026-06-04T00:00:00"/>
    <d v="2026-06-01T00:00:00"/>
    <d v="2026-06-02T00:00:00"/>
    <m/>
    <m/>
    <s v="YB-LA001"/>
    <m/>
    <s v="V9"/>
    <x v="3"/>
    <n v="1721"/>
    <m/>
    <m/>
    <m/>
    <n v="1075"/>
    <m/>
    <n v="11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09"/>
    <s v="先行生産"/>
    <m/>
    <s v="YB-LA001"/>
    <s v="V9-BH　計画生産"/>
    <s v="YB-LA001"/>
    <s v="5685000-1"/>
    <s v="単体"/>
    <n v="0"/>
    <m/>
    <n v="1"/>
    <d v="2025-05-26T00:00:00"/>
    <d v="2026-06-04T00:00:00"/>
    <d v="2026-06-01T00:00:00"/>
    <d v="2026-06-02T00:00:00"/>
    <m/>
    <m/>
    <s v="YB-LA001"/>
    <m/>
    <s v="V9"/>
    <x v="3"/>
    <n v="1722"/>
    <m/>
    <m/>
    <m/>
    <n v="1076"/>
    <m/>
    <n v="11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0"/>
    <s v="先行生産"/>
    <m/>
    <s v="YB-LA001"/>
    <s v="V9-BH　計画生産"/>
    <s v="YB-LA001"/>
    <s v="5685000-1"/>
    <s v="単体"/>
    <n v="0"/>
    <m/>
    <n v="1"/>
    <d v="2025-05-26T00:00:00"/>
    <d v="2026-06-04T00:00:00"/>
    <d v="2026-06-01T00:00:00"/>
    <d v="2026-06-02T00:00:00"/>
    <m/>
    <m/>
    <s v="YB-LA001"/>
    <m/>
    <s v="V9"/>
    <x v="3"/>
    <n v="1723"/>
    <m/>
    <m/>
    <m/>
    <n v="1077"/>
    <m/>
    <n v="11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1"/>
    <s v="先行生産"/>
    <m/>
    <s v="YB-LA001"/>
    <s v="V9-BH　計画生産"/>
    <s v="YB-LA001"/>
    <s v="5685000-1"/>
    <s v="単体"/>
    <n v="0"/>
    <m/>
    <n v="1"/>
    <d v="2025-05-26T00:00:00"/>
    <d v="2026-06-04T00:00:00"/>
    <d v="2026-06-01T00:00:00"/>
    <d v="2026-06-02T00:00:00"/>
    <m/>
    <m/>
    <s v="YB-LA001"/>
    <m/>
    <s v="V9"/>
    <x v="3"/>
    <n v="1724"/>
    <m/>
    <m/>
    <m/>
    <n v="1078"/>
    <m/>
    <n v="1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2"/>
    <s v="先行生産"/>
    <m/>
    <s v="YB-LA001"/>
    <s v="V9-BH　計画生産"/>
    <s v="YB-LA001"/>
    <s v="5685000-1"/>
    <s v="単体"/>
    <n v="0"/>
    <m/>
    <n v="1"/>
    <d v="2025-05-26T00:00:00"/>
    <d v="2026-06-04T00:00:00"/>
    <d v="2026-06-01T00:00:00"/>
    <d v="2026-06-02T00:00:00"/>
    <m/>
    <m/>
    <s v="YB-LA001"/>
    <m/>
    <s v="V9"/>
    <x v="3"/>
    <n v="1725"/>
    <m/>
    <m/>
    <m/>
    <n v="1079"/>
    <m/>
    <n v="1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3"/>
    <s v="先行生産"/>
    <m/>
    <s v="YB-LA001"/>
    <s v="V9-BH　計画生産"/>
    <s v="YB-LA001"/>
    <s v="5685000-1"/>
    <s v="単体"/>
    <n v="0"/>
    <m/>
    <n v="1"/>
    <d v="2025-05-26T00:00:00"/>
    <d v="2026-06-05T00:00:00"/>
    <d v="2026-06-01T00:00:00"/>
    <d v="2026-06-02T00:00:00"/>
    <m/>
    <m/>
    <s v="YB-LA001"/>
    <m/>
    <s v="V9"/>
    <x v="3"/>
    <n v="1726"/>
    <m/>
    <m/>
    <m/>
    <n v="1080"/>
    <m/>
    <n v="11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4"/>
    <s v="先行生産"/>
    <m/>
    <s v="YB-LA001"/>
    <s v="V9-BH　計画生産"/>
    <s v="YB-LA001"/>
    <s v="5685000-1"/>
    <s v="単体"/>
    <n v="0"/>
    <m/>
    <n v="1"/>
    <d v="2025-05-26T00:00:00"/>
    <d v="2026-06-05T00:00:00"/>
    <d v="2026-06-01T00:00:00"/>
    <d v="2026-06-02T00:00:00"/>
    <m/>
    <m/>
    <s v="YB-LA001"/>
    <m/>
    <s v="V9"/>
    <x v="3"/>
    <n v="1727"/>
    <m/>
    <m/>
    <m/>
    <n v="1081"/>
    <m/>
    <n v="11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5"/>
    <s v="先行生産"/>
    <m/>
    <s v="YB-LA001"/>
    <s v="V9-BH　計画生産"/>
    <s v="YB-LA001"/>
    <s v="5685000-1"/>
    <s v="単体"/>
    <n v="0"/>
    <m/>
    <n v="1"/>
    <d v="2025-05-26T00:00:00"/>
    <d v="2026-06-05T00:00:00"/>
    <d v="2026-06-01T00:00:00"/>
    <d v="2026-06-02T00:00:00"/>
    <m/>
    <m/>
    <s v="YB-LA001"/>
    <m/>
    <s v="V9"/>
    <x v="3"/>
    <n v="1728"/>
    <m/>
    <m/>
    <m/>
    <n v="1082"/>
    <m/>
    <n v="11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6"/>
    <s v="先行生産"/>
    <m/>
    <s v="YB-LA001"/>
    <s v="V9-BH　計画生産"/>
    <s v="YB-LA001"/>
    <s v="5685000-1"/>
    <s v="単体"/>
    <n v="0"/>
    <m/>
    <n v="1"/>
    <d v="2025-05-26T00:00:00"/>
    <d v="2026-06-05T00:00:00"/>
    <d v="2026-06-01T00:00:00"/>
    <d v="2026-06-02T00:00:00"/>
    <m/>
    <m/>
    <s v="YB-LA001"/>
    <m/>
    <s v="V9"/>
    <x v="3"/>
    <n v="1729"/>
    <m/>
    <m/>
    <m/>
    <n v="1083"/>
    <m/>
    <n v="11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7"/>
    <s v="先行生産"/>
    <m/>
    <s v="YB-LA001"/>
    <s v="V9-BH　計画生産"/>
    <s v="YB-LA001"/>
    <s v="5685000-1"/>
    <s v="単体"/>
    <n v="0"/>
    <m/>
    <n v="1"/>
    <d v="2025-05-26T00:00:00"/>
    <d v="2026-06-05T00:00:00"/>
    <d v="2026-06-01T00:00:00"/>
    <d v="2026-06-02T00:00:00"/>
    <m/>
    <m/>
    <s v="YB-LA001"/>
    <m/>
    <s v="V9"/>
    <x v="3"/>
    <n v="1730"/>
    <m/>
    <m/>
    <m/>
    <n v="1084"/>
    <m/>
    <n v="11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8"/>
    <s v="先行生産"/>
    <m/>
    <s v="YB-LA001"/>
    <s v="V9-BH　計画生産"/>
    <s v="YB-LA001"/>
    <s v="5685000-1"/>
    <s v="単体"/>
    <n v="0"/>
    <m/>
    <n v="1"/>
    <d v="2025-05-26T00:00:00"/>
    <d v="2026-06-05T00:00:00"/>
    <d v="2026-06-01T00:00:00"/>
    <d v="2026-06-02T00:00:00"/>
    <m/>
    <m/>
    <s v="YB-LA001"/>
    <m/>
    <s v="V9"/>
    <x v="3"/>
    <n v="1731"/>
    <m/>
    <m/>
    <m/>
    <n v="1085"/>
    <m/>
    <n v="11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19"/>
    <s v="先行生産"/>
    <m/>
    <s v="YB-LA001"/>
    <s v="V9-BH　計画生産"/>
    <s v="YB-LA001"/>
    <s v="5685000-1"/>
    <s v="単体"/>
    <n v="0"/>
    <m/>
    <n v="1"/>
    <d v="2025-05-26T00:00:00"/>
    <d v="2026-06-08T00:00:00"/>
    <d v="2026-06-01T00:00:00"/>
    <d v="2026-06-02T00:00:00"/>
    <m/>
    <m/>
    <s v="YB-LA001"/>
    <m/>
    <s v="V9"/>
    <x v="3"/>
    <n v="1732"/>
    <m/>
    <m/>
    <m/>
    <n v="1086"/>
    <m/>
    <n v="11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0"/>
    <s v="先行生産"/>
    <m/>
    <s v="YB-LA001"/>
    <s v="V9-BH　計画生産"/>
    <s v="YB-LA001"/>
    <s v="5685000-1"/>
    <s v="単体"/>
    <n v="0"/>
    <m/>
    <n v="1"/>
    <d v="2025-05-26T00:00:00"/>
    <d v="2026-06-08T00:00:00"/>
    <d v="2026-06-01T00:00:00"/>
    <d v="2026-06-02T00:00:00"/>
    <m/>
    <m/>
    <s v="YB-LA001"/>
    <m/>
    <s v="V9"/>
    <x v="3"/>
    <n v="1733"/>
    <m/>
    <m/>
    <m/>
    <n v="1087"/>
    <m/>
    <n v="11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1"/>
    <s v="先行生産"/>
    <m/>
    <s v="YB-LA001"/>
    <s v="V9-BH　計画生産"/>
    <s v="YB-LA001"/>
    <s v="5685000-1"/>
    <s v="単体"/>
    <n v="0"/>
    <m/>
    <n v="1"/>
    <d v="2025-05-26T00:00:00"/>
    <d v="2026-06-08T00:00:00"/>
    <d v="2026-06-01T00:00:00"/>
    <d v="2026-06-02T00:00:00"/>
    <m/>
    <m/>
    <s v="YB-LA001"/>
    <m/>
    <s v="V9"/>
    <x v="3"/>
    <n v="1734"/>
    <m/>
    <m/>
    <m/>
    <n v="1088"/>
    <m/>
    <n v="11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2"/>
    <s v="先行生産"/>
    <m/>
    <s v="YB-LA001"/>
    <s v="V9-BH　計画生産"/>
    <s v="YB-LA001"/>
    <s v="5685000-1"/>
    <s v="単体"/>
    <n v="0"/>
    <m/>
    <n v="1"/>
    <d v="2025-05-26T00:00:00"/>
    <d v="2026-06-08T00:00:00"/>
    <d v="2026-06-01T00:00:00"/>
    <d v="2026-06-02T00:00:00"/>
    <m/>
    <m/>
    <s v="YB-LA001"/>
    <m/>
    <s v="V9"/>
    <x v="3"/>
    <n v="1735"/>
    <m/>
    <m/>
    <m/>
    <n v="1089"/>
    <m/>
    <n v="11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3"/>
    <s v="先行生産"/>
    <m/>
    <s v="YB-LA001"/>
    <s v="V9-BH　計画生産"/>
    <s v="YB-LA001"/>
    <s v="5685000-1"/>
    <s v="単体"/>
    <n v="0"/>
    <m/>
    <n v="1"/>
    <d v="2025-05-26T00:00:00"/>
    <d v="2026-06-09T00:00:00"/>
    <d v="2026-06-01T00:00:00"/>
    <d v="2026-06-02T00:00:00"/>
    <m/>
    <m/>
    <s v="YB-LA001"/>
    <m/>
    <s v="V9"/>
    <x v="3"/>
    <n v="1736"/>
    <m/>
    <m/>
    <m/>
    <n v="1090"/>
    <m/>
    <n v="11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4"/>
    <s v="先行生産"/>
    <m/>
    <s v="YB-LA001"/>
    <s v="V9-BH　計画生産"/>
    <s v="YB-LA001"/>
    <s v="5685000-1"/>
    <s v="単体"/>
    <n v="0"/>
    <m/>
    <n v="1"/>
    <d v="2025-05-26T00:00:00"/>
    <d v="2026-06-09T00:00:00"/>
    <d v="2026-06-01T00:00:00"/>
    <d v="2026-06-02T00:00:00"/>
    <m/>
    <m/>
    <s v="YB-LA001"/>
    <m/>
    <s v="V9"/>
    <x v="3"/>
    <n v="1737"/>
    <m/>
    <m/>
    <m/>
    <n v="1091"/>
    <m/>
    <n v="11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5"/>
    <s v="先行生産"/>
    <m/>
    <s v="YB-LA001"/>
    <s v="V9-BH　計画生産"/>
    <s v="YB-LA001"/>
    <s v="5685000-1"/>
    <s v="単体"/>
    <n v="0"/>
    <m/>
    <n v="1"/>
    <d v="2025-05-26T00:00:00"/>
    <d v="2026-06-09T00:00:00"/>
    <d v="2026-06-01T00:00:00"/>
    <d v="2026-06-02T00:00:00"/>
    <m/>
    <m/>
    <s v="YB-LA001"/>
    <m/>
    <s v="V9"/>
    <x v="3"/>
    <n v="1738"/>
    <m/>
    <m/>
    <m/>
    <n v="1092"/>
    <m/>
    <n v="11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6"/>
    <s v="先行生産"/>
    <m/>
    <s v="YB-LA001"/>
    <s v="V9-BH　計画生産"/>
    <s v="YB-LA001"/>
    <s v="5685000-1"/>
    <s v="単体"/>
    <n v="0"/>
    <m/>
    <n v="1"/>
    <d v="2025-05-26T00:00:00"/>
    <d v="2026-06-09T00:00:00"/>
    <d v="2026-06-01T00:00:00"/>
    <d v="2026-06-02T00:00:00"/>
    <m/>
    <m/>
    <s v="YB-LA001"/>
    <m/>
    <s v="V9"/>
    <x v="3"/>
    <n v="1739"/>
    <m/>
    <m/>
    <m/>
    <n v="1093"/>
    <m/>
    <n v="11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7"/>
    <s v="先行生産"/>
    <m/>
    <s v="YB-LA001"/>
    <s v="V9-BH　計画生産"/>
    <s v="YB-LA001"/>
    <s v="5685000-1"/>
    <s v="単体"/>
    <n v="0"/>
    <m/>
    <n v="1"/>
    <d v="2025-05-26T00:00:00"/>
    <d v="2026-06-09T00:00:00"/>
    <d v="2026-06-01T00:00:00"/>
    <d v="2026-06-02T00:00:00"/>
    <m/>
    <m/>
    <s v="YB-LA001"/>
    <m/>
    <s v="V9"/>
    <x v="3"/>
    <n v="1740"/>
    <m/>
    <m/>
    <m/>
    <n v="1094"/>
    <m/>
    <n v="11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49"/>
    <s v="000391143-28"/>
    <s v="先行生産"/>
    <m/>
    <s v="YB-LA001"/>
    <s v="V9-BH　計画生産"/>
    <s v="YB-LA001"/>
    <s v="5685000-1"/>
    <s v="単体"/>
    <n v="0"/>
    <m/>
    <n v="1"/>
    <d v="2025-05-26T00:00:00"/>
    <d v="2026-06-09T00:00:00"/>
    <d v="2026-06-01T00:00:00"/>
    <d v="2026-06-02T00:00:00"/>
    <m/>
    <m/>
    <s v="YB-LA001"/>
    <m/>
    <s v="V9"/>
    <x v="3"/>
    <n v="1741"/>
    <m/>
    <m/>
    <m/>
    <n v="1095"/>
    <m/>
    <n v="11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1"/>
    <s v="先行生産"/>
    <m/>
    <s v="YB-LA001"/>
    <s v="V9-BH　計画生産"/>
    <s v="YB-LA001"/>
    <s v="5685000-1"/>
    <s v="単体"/>
    <n v="0"/>
    <m/>
    <n v="1"/>
    <d v="2025-05-26T00:00:00"/>
    <d v="2026-06-10T00:00:00"/>
    <d v="2026-06-08T00:00:00"/>
    <d v="2026-06-09T00:00:00"/>
    <m/>
    <m/>
    <s v="YB-LA001"/>
    <m/>
    <s v="V9"/>
    <x v="3"/>
    <n v="1742"/>
    <m/>
    <m/>
    <m/>
    <n v="1096"/>
    <m/>
    <n v="11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2"/>
    <s v="先行生産"/>
    <m/>
    <s v="YB-LA001"/>
    <s v="V9-BH　計画生産"/>
    <s v="YB-LA001"/>
    <s v="5685000-1"/>
    <s v="単体"/>
    <n v="0"/>
    <m/>
    <n v="1"/>
    <d v="2025-05-26T00:00:00"/>
    <d v="2026-06-10T00:00:00"/>
    <d v="2026-06-08T00:00:00"/>
    <d v="2026-06-09T00:00:00"/>
    <m/>
    <m/>
    <s v="YB-LA001"/>
    <m/>
    <s v="V9"/>
    <x v="3"/>
    <n v="1743"/>
    <m/>
    <m/>
    <m/>
    <n v="1097"/>
    <m/>
    <n v="11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3"/>
    <s v="先行生産"/>
    <m/>
    <s v="YB-LA001"/>
    <s v="V9-BH　計画生産"/>
    <s v="YB-LA001"/>
    <s v="5685000-1"/>
    <s v="単体"/>
    <n v="0"/>
    <m/>
    <n v="1"/>
    <d v="2025-05-26T00:00:00"/>
    <d v="2026-06-10T00:00:00"/>
    <d v="2026-06-08T00:00:00"/>
    <d v="2026-06-09T00:00:00"/>
    <m/>
    <m/>
    <s v="YB-LA001"/>
    <m/>
    <s v="V9"/>
    <x v="3"/>
    <n v="1744"/>
    <m/>
    <m/>
    <m/>
    <n v="1098"/>
    <m/>
    <n v="1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4"/>
    <s v="先行生産"/>
    <m/>
    <s v="YB-LA001"/>
    <s v="V9-BH　計画生産"/>
    <s v="YB-LA001"/>
    <s v="5685000-1"/>
    <s v="単体"/>
    <n v="0"/>
    <m/>
    <n v="1"/>
    <d v="2025-05-26T00:00:00"/>
    <d v="2026-06-10T00:00:00"/>
    <d v="2026-06-08T00:00:00"/>
    <d v="2026-06-09T00:00:00"/>
    <m/>
    <m/>
    <s v="YB-LA001"/>
    <m/>
    <s v="V9"/>
    <x v="3"/>
    <n v="1745"/>
    <m/>
    <m/>
    <m/>
    <n v="1099"/>
    <m/>
    <n v="11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5"/>
    <s v="先行生産"/>
    <m/>
    <s v="YB-LA001"/>
    <s v="V9-BH　計画生産"/>
    <s v="YB-LA001"/>
    <s v="5685000-1"/>
    <s v="単体"/>
    <n v="0"/>
    <m/>
    <n v="1"/>
    <d v="2025-05-26T00:00:00"/>
    <d v="2026-06-10T00:00:00"/>
    <d v="2026-06-08T00:00:00"/>
    <d v="2026-06-09T00:00:00"/>
    <m/>
    <m/>
    <s v="YB-LA001"/>
    <m/>
    <s v="V9"/>
    <x v="3"/>
    <n v="1746"/>
    <m/>
    <m/>
    <m/>
    <n v="1100"/>
    <m/>
    <n v="11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6"/>
    <s v="先行生産"/>
    <m/>
    <s v="YB-LA001"/>
    <s v="V9-BH　計画生産"/>
    <s v="YB-LA001"/>
    <s v="5685000-1"/>
    <s v="単体"/>
    <n v="0"/>
    <m/>
    <n v="1"/>
    <d v="2025-05-26T00:00:00"/>
    <d v="2026-06-10T00:00:00"/>
    <d v="2026-06-08T00:00:00"/>
    <d v="2026-06-09T00:00:00"/>
    <m/>
    <m/>
    <s v="YB-LA001"/>
    <m/>
    <s v="V9"/>
    <x v="3"/>
    <n v="1747"/>
    <m/>
    <m/>
    <m/>
    <n v="1101"/>
    <m/>
    <n v="11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7"/>
    <s v="先行生産"/>
    <m/>
    <s v="YB-LA001"/>
    <s v="V9-BH　計画生産"/>
    <s v="YB-LA001"/>
    <s v="5685000-1"/>
    <s v="単体"/>
    <n v="0"/>
    <m/>
    <n v="1"/>
    <d v="2025-05-26T00:00:00"/>
    <d v="2026-06-11T00:00:00"/>
    <d v="2026-06-08T00:00:00"/>
    <d v="2026-06-09T00:00:00"/>
    <m/>
    <m/>
    <s v="YB-LA001"/>
    <m/>
    <s v="V9"/>
    <x v="3"/>
    <n v="1748"/>
    <m/>
    <m/>
    <m/>
    <n v="1102"/>
    <m/>
    <n v="11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8"/>
    <s v="先行生産"/>
    <m/>
    <s v="YB-LA001"/>
    <s v="V9-BH　計画生産"/>
    <s v="YB-LA001"/>
    <s v="5685000-1"/>
    <s v="単体"/>
    <n v="0"/>
    <m/>
    <n v="1"/>
    <d v="2025-05-26T00:00:00"/>
    <d v="2026-06-11T00:00:00"/>
    <d v="2026-06-08T00:00:00"/>
    <d v="2026-06-09T00:00:00"/>
    <m/>
    <m/>
    <s v="YB-LA001"/>
    <m/>
    <s v="V9"/>
    <x v="3"/>
    <n v="1749"/>
    <m/>
    <m/>
    <m/>
    <n v="1103"/>
    <m/>
    <n v="11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09"/>
    <s v="先行生産"/>
    <m/>
    <s v="YB-LA001"/>
    <s v="V9-BH　計画生産"/>
    <s v="YB-LA001"/>
    <s v="5685000-1"/>
    <s v="単体"/>
    <n v="0"/>
    <m/>
    <n v="1"/>
    <d v="2025-05-26T00:00:00"/>
    <d v="2026-06-11T00:00:00"/>
    <d v="2026-06-08T00:00:00"/>
    <d v="2026-06-09T00:00:00"/>
    <m/>
    <m/>
    <s v="YB-LA001"/>
    <m/>
    <s v="V9"/>
    <x v="3"/>
    <n v="1750"/>
    <m/>
    <m/>
    <m/>
    <n v="1104"/>
    <m/>
    <n v="11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0"/>
    <s v="先行生産"/>
    <m/>
    <s v="YB-LA001"/>
    <s v="V9-BH　計画生産"/>
    <s v="YB-LA001"/>
    <s v="5685000-1"/>
    <s v="単体"/>
    <n v="0"/>
    <m/>
    <n v="1"/>
    <d v="2025-05-26T00:00:00"/>
    <d v="2026-06-11T00:00:00"/>
    <d v="2026-06-08T00:00:00"/>
    <d v="2026-06-09T00:00:00"/>
    <m/>
    <m/>
    <s v="YB-LA001"/>
    <m/>
    <s v="V9"/>
    <x v="3"/>
    <n v="1751"/>
    <m/>
    <m/>
    <m/>
    <n v="1105"/>
    <m/>
    <n v="11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1"/>
    <s v="先行生産"/>
    <m/>
    <s v="YB-LA001"/>
    <s v="V9-BH　計画生産"/>
    <s v="YB-LA001"/>
    <s v="5685000-1"/>
    <s v="単体"/>
    <n v="0"/>
    <m/>
    <n v="1"/>
    <d v="2025-05-26T00:00:00"/>
    <d v="2026-06-11T00:00:00"/>
    <d v="2026-06-08T00:00:00"/>
    <d v="2026-06-09T00:00:00"/>
    <m/>
    <m/>
    <s v="YB-LA001"/>
    <m/>
    <s v="V9"/>
    <x v="3"/>
    <n v="1752"/>
    <m/>
    <m/>
    <m/>
    <n v="1106"/>
    <m/>
    <n v="11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2"/>
    <s v="先行生産"/>
    <m/>
    <s v="YB-LA001"/>
    <s v="V9-BH　計画生産"/>
    <s v="YB-LA001"/>
    <s v="5685000-1"/>
    <s v="単体"/>
    <n v="0"/>
    <m/>
    <n v="1"/>
    <d v="2025-05-26T00:00:00"/>
    <d v="2026-06-11T00:00:00"/>
    <d v="2026-06-08T00:00:00"/>
    <d v="2026-06-09T00:00:00"/>
    <m/>
    <m/>
    <s v="YB-LA001"/>
    <m/>
    <s v="V9"/>
    <x v="3"/>
    <n v="1753"/>
    <m/>
    <m/>
    <m/>
    <n v="1107"/>
    <m/>
    <n v="11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3"/>
    <s v="先行生産"/>
    <m/>
    <s v="YB-LA001"/>
    <s v="V9-BH　計画生産"/>
    <s v="YB-LA001"/>
    <s v="5685000-1"/>
    <s v="単体"/>
    <n v="0"/>
    <m/>
    <n v="1"/>
    <d v="2025-05-26T00:00:00"/>
    <d v="2026-06-12T00:00:00"/>
    <d v="2026-06-08T00:00:00"/>
    <d v="2026-06-09T00:00:00"/>
    <m/>
    <m/>
    <s v="YB-LA001"/>
    <m/>
    <s v="V9"/>
    <x v="3"/>
    <n v="1754"/>
    <m/>
    <m/>
    <m/>
    <n v="1108"/>
    <m/>
    <n v="11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4"/>
    <s v="先行生産"/>
    <m/>
    <s v="YB-LA001"/>
    <s v="V9-BH　計画生産"/>
    <s v="YB-LA001"/>
    <s v="5685000-1"/>
    <s v="単体"/>
    <n v="0"/>
    <m/>
    <n v="1"/>
    <d v="2025-05-26T00:00:00"/>
    <d v="2026-06-12T00:00:00"/>
    <d v="2026-06-08T00:00:00"/>
    <d v="2026-06-09T00:00:00"/>
    <m/>
    <m/>
    <s v="YB-LA001"/>
    <m/>
    <s v="V9"/>
    <x v="3"/>
    <n v="1755"/>
    <m/>
    <m/>
    <m/>
    <n v="1109"/>
    <m/>
    <n v="11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5"/>
    <s v="先行生産"/>
    <m/>
    <s v="YB-LA001"/>
    <s v="V9-BH　計画生産"/>
    <s v="YB-LA001"/>
    <s v="5685000-1"/>
    <s v="単体"/>
    <n v="0"/>
    <m/>
    <n v="1"/>
    <d v="2025-05-26T00:00:00"/>
    <d v="2026-06-12T00:00:00"/>
    <d v="2026-06-08T00:00:00"/>
    <d v="2026-06-09T00:00:00"/>
    <m/>
    <m/>
    <s v="YB-LA001"/>
    <m/>
    <s v="V9"/>
    <x v="3"/>
    <n v="1756"/>
    <m/>
    <m/>
    <m/>
    <n v="1110"/>
    <m/>
    <n v="11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6"/>
    <s v="先行生産"/>
    <m/>
    <s v="YB-LA001"/>
    <s v="V9-BH　計画生産"/>
    <s v="YB-LA001"/>
    <s v="5685000-1"/>
    <s v="単体"/>
    <n v="0"/>
    <m/>
    <n v="1"/>
    <d v="2025-05-26T00:00:00"/>
    <d v="2026-06-12T00:00:00"/>
    <d v="2026-06-08T00:00:00"/>
    <d v="2026-06-09T00:00:00"/>
    <m/>
    <m/>
    <s v="YB-LA001"/>
    <m/>
    <s v="V9"/>
    <x v="3"/>
    <n v="1757"/>
    <m/>
    <m/>
    <m/>
    <n v="1111"/>
    <m/>
    <n v="11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7"/>
    <s v="先行生産"/>
    <m/>
    <s v="YB-LA001"/>
    <s v="V9-BH　計画生産"/>
    <s v="YB-LA001"/>
    <s v="5685000-1"/>
    <s v="単体"/>
    <n v="0"/>
    <m/>
    <n v="1"/>
    <d v="2025-05-26T00:00:00"/>
    <d v="2026-06-12T00:00:00"/>
    <d v="2026-06-08T00:00:00"/>
    <d v="2026-06-09T00:00:00"/>
    <m/>
    <m/>
    <s v="YB-LA001"/>
    <m/>
    <s v="V9"/>
    <x v="3"/>
    <n v="1758"/>
    <m/>
    <m/>
    <m/>
    <n v="1112"/>
    <m/>
    <n v="11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8"/>
    <s v="先行生産"/>
    <m/>
    <s v="YB-LA001"/>
    <s v="V9-BH　計画生産"/>
    <s v="YB-LA001"/>
    <s v="5685000-1"/>
    <s v="単体"/>
    <n v="0"/>
    <m/>
    <n v="1"/>
    <d v="2025-05-26T00:00:00"/>
    <d v="2026-06-15T00:00:00"/>
    <d v="2026-06-08T00:00:00"/>
    <d v="2026-06-09T00:00:00"/>
    <m/>
    <m/>
    <s v="YB-LA001"/>
    <m/>
    <s v="V9"/>
    <x v="3"/>
    <n v="1759"/>
    <m/>
    <m/>
    <m/>
    <n v="1113"/>
    <m/>
    <n v="11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19"/>
    <s v="先行生産"/>
    <m/>
    <s v="YB-LA001"/>
    <s v="V9-BH　計画生産"/>
    <s v="YB-LA001"/>
    <s v="5685000-1"/>
    <s v="単体"/>
    <n v="0"/>
    <m/>
    <n v="1"/>
    <d v="2025-05-26T00:00:00"/>
    <d v="2026-06-15T00:00:00"/>
    <d v="2026-06-08T00:00:00"/>
    <d v="2026-06-09T00:00:00"/>
    <m/>
    <m/>
    <s v="YB-LA001"/>
    <m/>
    <s v="V9"/>
    <x v="3"/>
    <n v="1760"/>
    <m/>
    <m/>
    <m/>
    <n v="1114"/>
    <m/>
    <n v="11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0"/>
    <s v="先行生産"/>
    <m/>
    <s v="YB-LA001"/>
    <s v="V9-BH　計画生産"/>
    <s v="YB-LA001"/>
    <s v="5685000-1"/>
    <s v="単体"/>
    <n v="0"/>
    <m/>
    <n v="1"/>
    <d v="2025-05-26T00:00:00"/>
    <d v="2026-06-15T00:00:00"/>
    <d v="2026-06-08T00:00:00"/>
    <d v="2026-06-09T00:00:00"/>
    <m/>
    <m/>
    <s v="YB-LA001"/>
    <m/>
    <s v="V9"/>
    <x v="3"/>
    <n v="1761"/>
    <m/>
    <m/>
    <m/>
    <n v="1115"/>
    <m/>
    <n v="11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1"/>
    <s v="先行生産"/>
    <m/>
    <s v="YB-LA001"/>
    <s v="V9-BH　計画生産"/>
    <s v="YB-LA001"/>
    <s v="5685000-1"/>
    <s v="単体"/>
    <n v="0"/>
    <m/>
    <n v="1"/>
    <d v="2025-05-26T00:00:00"/>
    <d v="2026-06-15T00:00:00"/>
    <d v="2026-06-08T00:00:00"/>
    <d v="2026-06-09T00:00:00"/>
    <m/>
    <m/>
    <s v="YB-LA001"/>
    <m/>
    <s v="V9"/>
    <x v="3"/>
    <n v="1762"/>
    <m/>
    <m/>
    <m/>
    <n v="1116"/>
    <m/>
    <n v="11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2"/>
    <s v="先行生産"/>
    <m/>
    <s v="YB-LA001"/>
    <s v="V9-BH　計画生産"/>
    <s v="YB-LA001"/>
    <s v="5685000-1"/>
    <s v="単体"/>
    <n v="0"/>
    <m/>
    <n v="1"/>
    <d v="2025-05-26T00:00:00"/>
    <d v="2026-06-15T00:00:00"/>
    <d v="2026-06-08T00:00:00"/>
    <d v="2026-06-09T00:00:00"/>
    <m/>
    <m/>
    <s v="YB-LA001"/>
    <m/>
    <s v="V9"/>
    <x v="3"/>
    <n v="1763"/>
    <m/>
    <m/>
    <m/>
    <n v="1117"/>
    <m/>
    <n v="11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3"/>
    <s v="先行生産"/>
    <m/>
    <s v="YB-LA001"/>
    <s v="V9-BH　計画生産"/>
    <s v="YB-LA001"/>
    <s v="5685000-1"/>
    <s v="単体"/>
    <n v="0"/>
    <m/>
    <n v="1"/>
    <d v="2025-05-26T00:00:00"/>
    <d v="2026-06-16T00:00:00"/>
    <d v="2026-06-08T00:00:00"/>
    <d v="2026-06-09T00:00:00"/>
    <m/>
    <m/>
    <s v="YB-LA001"/>
    <m/>
    <s v="V9"/>
    <x v="3"/>
    <n v="1764"/>
    <m/>
    <m/>
    <m/>
    <n v="1118"/>
    <m/>
    <n v="11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4"/>
    <s v="先行生産"/>
    <m/>
    <s v="YB-LA001"/>
    <s v="V9-BH　計画生産"/>
    <s v="YB-LA001"/>
    <s v="5685000-1"/>
    <s v="単体"/>
    <n v="0"/>
    <m/>
    <n v="1"/>
    <d v="2025-05-26T00:00:00"/>
    <d v="2026-06-16T00:00:00"/>
    <d v="2026-06-08T00:00:00"/>
    <d v="2026-06-09T00:00:00"/>
    <m/>
    <m/>
    <s v="YB-LA001"/>
    <m/>
    <s v="V9"/>
    <x v="3"/>
    <n v="1765"/>
    <m/>
    <m/>
    <m/>
    <n v="1119"/>
    <m/>
    <n v="11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5"/>
    <s v="先行生産"/>
    <m/>
    <s v="YB-LA001"/>
    <s v="V9-BH　計画生産"/>
    <s v="YB-LA001"/>
    <s v="5685000-1"/>
    <s v="単体"/>
    <n v="0"/>
    <m/>
    <n v="1"/>
    <d v="2025-05-26T00:00:00"/>
    <d v="2026-06-16T00:00:00"/>
    <d v="2026-06-08T00:00:00"/>
    <d v="2026-06-09T00:00:00"/>
    <m/>
    <m/>
    <s v="YB-LA001"/>
    <m/>
    <s v="V9"/>
    <x v="3"/>
    <n v="1766"/>
    <m/>
    <m/>
    <m/>
    <n v="1120"/>
    <m/>
    <n v="11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6"/>
    <s v="先行生産"/>
    <m/>
    <s v="YB-LA001"/>
    <s v="V9-BH　計画生産"/>
    <s v="YB-LA001"/>
    <s v="5685000-1"/>
    <s v="単体"/>
    <n v="0"/>
    <m/>
    <n v="1"/>
    <d v="2025-05-26T00:00:00"/>
    <d v="2026-06-16T00:00:00"/>
    <d v="2026-06-08T00:00:00"/>
    <d v="2026-06-09T00:00:00"/>
    <m/>
    <m/>
    <s v="YB-LA001"/>
    <m/>
    <s v="V9"/>
    <x v="3"/>
    <n v="1767"/>
    <m/>
    <m/>
    <m/>
    <n v="1121"/>
    <m/>
    <n v="11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280"/>
    <s v="000391144-27"/>
    <s v="先行生産"/>
    <m/>
    <s v="YB-LA001"/>
    <s v="V9-BH　計画生産"/>
    <s v="YB-LA001"/>
    <s v="5685000-1"/>
    <s v="単体"/>
    <n v="0"/>
    <m/>
    <n v="1"/>
    <d v="2025-05-26T00:00:00"/>
    <d v="2026-06-16T00:00:00"/>
    <d v="2026-06-08T00:00:00"/>
    <d v="2026-06-09T00:00:00"/>
    <m/>
    <m/>
    <s v="YB-LA001"/>
    <m/>
    <s v="V9"/>
    <x v="3"/>
    <n v="1768"/>
    <m/>
    <m/>
    <m/>
    <n v="1122"/>
    <m/>
    <n v="11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1"/>
    <s v="先行生産"/>
    <m/>
    <s v="YB-LA001"/>
    <s v="V9-BH　計画生産"/>
    <s v="YB-LA001"/>
    <s v="5685000-1"/>
    <s v="単体"/>
    <n v="0"/>
    <m/>
    <n v="1"/>
    <d v="2025-05-26T00:00:00"/>
    <d v="2026-06-17T00:00:00"/>
    <d v="2026-06-15T00:00:00"/>
    <d v="2026-06-16T00:00:00"/>
    <m/>
    <m/>
    <s v="YB-LA001"/>
    <m/>
    <s v="V9"/>
    <x v="3"/>
    <n v="1769"/>
    <m/>
    <m/>
    <m/>
    <n v="1123"/>
    <m/>
    <n v="11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2"/>
    <s v="先行生産"/>
    <m/>
    <s v="YB-LA001"/>
    <s v="V9-BH　計画生産"/>
    <s v="YB-LA001"/>
    <s v="5685000-1"/>
    <s v="単体"/>
    <n v="0"/>
    <m/>
    <n v="1"/>
    <d v="2025-05-26T00:00:00"/>
    <d v="2026-06-17T00:00:00"/>
    <d v="2026-06-15T00:00:00"/>
    <d v="2026-06-16T00:00:00"/>
    <m/>
    <m/>
    <s v="YB-LA001"/>
    <m/>
    <s v="V9"/>
    <x v="3"/>
    <n v="1770"/>
    <m/>
    <m/>
    <m/>
    <n v="1124"/>
    <m/>
    <n v="11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3"/>
    <s v="先行生産"/>
    <m/>
    <s v="YB-LA001"/>
    <s v="V9-BH　計画生産"/>
    <s v="YB-LA001"/>
    <s v="5685000-1"/>
    <s v="単体"/>
    <n v="0"/>
    <m/>
    <n v="1"/>
    <d v="2025-05-26T00:00:00"/>
    <d v="2026-06-17T00:00:00"/>
    <d v="2026-06-15T00:00:00"/>
    <d v="2026-06-16T00:00:00"/>
    <m/>
    <m/>
    <s v="YB-LA001"/>
    <m/>
    <s v="V9"/>
    <x v="3"/>
    <n v="1771"/>
    <m/>
    <m/>
    <m/>
    <n v="1125"/>
    <m/>
    <n v="11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4"/>
    <s v="先行生産"/>
    <m/>
    <s v="YB-LA001"/>
    <s v="V9-BH　計画生産"/>
    <s v="YB-LA001"/>
    <s v="5685000-1"/>
    <s v="単体"/>
    <n v="0"/>
    <m/>
    <n v="1"/>
    <d v="2025-05-26T00:00:00"/>
    <d v="2026-06-17T00:00:00"/>
    <d v="2026-06-15T00:00:00"/>
    <d v="2026-06-16T00:00:00"/>
    <m/>
    <m/>
    <s v="YB-LA001"/>
    <m/>
    <s v="V9"/>
    <x v="3"/>
    <n v="1772"/>
    <m/>
    <m/>
    <m/>
    <n v="1126"/>
    <m/>
    <n v="11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5"/>
    <s v="先行生産"/>
    <m/>
    <s v="YB-LA001"/>
    <s v="V9-BH　計画生産"/>
    <s v="YB-LA001"/>
    <s v="5685000-1"/>
    <s v="単体"/>
    <n v="0"/>
    <m/>
    <n v="1"/>
    <d v="2025-05-26T00:00:00"/>
    <d v="2026-06-17T00:00:00"/>
    <d v="2026-06-15T00:00:00"/>
    <d v="2026-06-16T00:00:00"/>
    <m/>
    <m/>
    <s v="YB-LA001"/>
    <m/>
    <s v="V9"/>
    <x v="3"/>
    <n v="1773"/>
    <m/>
    <m/>
    <m/>
    <n v="1127"/>
    <m/>
    <n v="11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6"/>
    <s v="先行生産"/>
    <m/>
    <s v="YB-LA001"/>
    <s v="V9-BH　計画生産"/>
    <s v="YB-LA001"/>
    <s v="5685000-1"/>
    <s v="単体"/>
    <n v="0"/>
    <m/>
    <n v="1"/>
    <d v="2025-05-26T00:00:00"/>
    <d v="2026-06-17T00:00:00"/>
    <d v="2026-06-15T00:00:00"/>
    <d v="2026-06-16T00:00:00"/>
    <m/>
    <m/>
    <s v="YB-LA001"/>
    <m/>
    <s v="V9"/>
    <x v="3"/>
    <n v="1774"/>
    <m/>
    <m/>
    <m/>
    <n v="1128"/>
    <m/>
    <n v="11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7"/>
    <s v="先行生産"/>
    <m/>
    <s v="YB-LA001"/>
    <s v="V9-BH　計画生産"/>
    <s v="YB-LA001"/>
    <s v="5685000-1"/>
    <s v="単体"/>
    <n v="0"/>
    <m/>
    <n v="1"/>
    <d v="2025-05-26T00:00:00"/>
    <d v="2026-06-18T00:00:00"/>
    <d v="2026-06-15T00:00:00"/>
    <d v="2026-06-16T00:00:00"/>
    <m/>
    <m/>
    <s v="YB-LA001"/>
    <m/>
    <s v="V9"/>
    <x v="3"/>
    <n v="1775"/>
    <m/>
    <m/>
    <m/>
    <n v="1129"/>
    <m/>
    <n v="11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8"/>
    <s v="先行生産"/>
    <m/>
    <s v="YB-LA001"/>
    <s v="V9-BH　計画生産"/>
    <s v="YB-LA001"/>
    <s v="5685000-1"/>
    <s v="単体"/>
    <n v="0"/>
    <m/>
    <n v="1"/>
    <d v="2025-05-26T00:00:00"/>
    <d v="2026-06-18T00:00:00"/>
    <d v="2026-06-15T00:00:00"/>
    <d v="2026-06-16T00:00:00"/>
    <m/>
    <m/>
    <s v="YB-LA001"/>
    <m/>
    <s v="V9"/>
    <x v="3"/>
    <n v="1776"/>
    <m/>
    <m/>
    <m/>
    <n v="1130"/>
    <m/>
    <n v="11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09"/>
    <s v="先行生産"/>
    <m/>
    <s v="YB-LA001"/>
    <s v="V9-BH　計画生産"/>
    <s v="YB-LA001"/>
    <s v="5685000-1"/>
    <s v="単体"/>
    <n v="0"/>
    <m/>
    <n v="1"/>
    <d v="2025-05-26T00:00:00"/>
    <d v="2026-06-18T00:00:00"/>
    <d v="2026-06-15T00:00:00"/>
    <d v="2026-06-16T00:00:00"/>
    <m/>
    <m/>
    <s v="YB-LA001"/>
    <m/>
    <s v="V9"/>
    <x v="3"/>
    <n v="1777"/>
    <m/>
    <m/>
    <m/>
    <n v="1131"/>
    <m/>
    <n v="11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0"/>
    <s v="先行生産"/>
    <m/>
    <s v="YB-LA001"/>
    <s v="V9-BH　計画生産"/>
    <s v="YB-LA001"/>
    <s v="5685000-1"/>
    <s v="単体"/>
    <n v="0"/>
    <m/>
    <n v="1"/>
    <d v="2025-05-26T00:00:00"/>
    <d v="2026-06-18T00:00:00"/>
    <d v="2026-06-15T00:00:00"/>
    <d v="2026-06-16T00:00:00"/>
    <m/>
    <m/>
    <s v="YB-LA001"/>
    <m/>
    <s v="V9"/>
    <x v="3"/>
    <n v="1778"/>
    <m/>
    <m/>
    <m/>
    <n v="1132"/>
    <m/>
    <n v="11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1"/>
    <s v="先行生産"/>
    <m/>
    <s v="YB-LA001"/>
    <s v="V9-BH　計画生産"/>
    <s v="YB-LA001"/>
    <s v="5685000-1"/>
    <s v="単体"/>
    <n v="0"/>
    <m/>
    <n v="1"/>
    <d v="2025-05-26T00:00:00"/>
    <d v="2026-06-18T00:00:00"/>
    <d v="2026-06-15T00:00:00"/>
    <d v="2026-06-16T00:00:00"/>
    <m/>
    <m/>
    <s v="YB-LA001"/>
    <m/>
    <s v="V9"/>
    <x v="3"/>
    <n v="1779"/>
    <m/>
    <m/>
    <m/>
    <n v="1133"/>
    <m/>
    <n v="11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2"/>
    <s v="先行生産"/>
    <m/>
    <s v="YB-LA001"/>
    <s v="V9-BH　計画生産"/>
    <s v="YB-LA001"/>
    <s v="5685000-1"/>
    <s v="単体"/>
    <n v="0"/>
    <m/>
    <n v="1"/>
    <d v="2025-05-26T00:00:00"/>
    <d v="2026-06-18T00:00:00"/>
    <d v="2026-06-15T00:00:00"/>
    <d v="2026-06-16T00:00:00"/>
    <m/>
    <m/>
    <s v="YB-LA001"/>
    <m/>
    <s v="V9"/>
    <x v="3"/>
    <n v="1780"/>
    <m/>
    <m/>
    <m/>
    <n v="1134"/>
    <m/>
    <n v="11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3"/>
    <s v="先行生産"/>
    <m/>
    <s v="YB-LA001"/>
    <s v="V9-BH　計画生産"/>
    <s v="YB-LA001"/>
    <s v="5685000-1"/>
    <s v="単体"/>
    <n v="0"/>
    <m/>
    <n v="1"/>
    <d v="2025-05-26T00:00:00"/>
    <d v="2026-06-19T00:00:00"/>
    <d v="2026-06-15T00:00:00"/>
    <d v="2026-06-16T00:00:00"/>
    <m/>
    <m/>
    <s v="YB-LA001"/>
    <m/>
    <s v="V9"/>
    <x v="3"/>
    <n v="1781"/>
    <m/>
    <m/>
    <m/>
    <n v="1135"/>
    <m/>
    <n v="11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4"/>
    <s v="先行生産"/>
    <m/>
    <s v="YB-LA001"/>
    <s v="V9-BH　計画生産"/>
    <s v="YB-LA001"/>
    <s v="5685000-1"/>
    <s v="単体"/>
    <n v="0"/>
    <m/>
    <n v="1"/>
    <d v="2025-05-26T00:00:00"/>
    <d v="2026-06-19T00:00:00"/>
    <d v="2026-06-15T00:00:00"/>
    <d v="2026-06-16T00:00:00"/>
    <m/>
    <m/>
    <s v="YB-LA001"/>
    <m/>
    <s v="V9"/>
    <x v="3"/>
    <n v="1782"/>
    <m/>
    <m/>
    <m/>
    <n v="1136"/>
    <m/>
    <n v="11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5"/>
    <s v="先行生産"/>
    <m/>
    <s v="YB-LA001"/>
    <s v="V9-BH　計画生産"/>
    <s v="YB-LA001"/>
    <s v="5685000-1"/>
    <s v="単体"/>
    <n v="0"/>
    <m/>
    <n v="1"/>
    <d v="2025-05-26T00:00:00"/>
    <d v="2026-06-19T00:00:00"/>
    <d v="2026-06-15T00:00:00"/>
    <d v="2026-06-16T00:00:00"/>
    <m/>
    <m/>
    <s v="YB-LA001"/>
    <m/>
    <s v="V9"/>
    <x v="3"/>
    <n v="1783"/>
    <m/>
    <m/>
    <m/>
    <n v="1137"/>
    <m/>
    <n v="11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6"/>
    <s v="先行生産"/>
    <m/>
    <s v="YB-LA001"/>
    <s v="V9-BH　計画生産"/>
    <s v="YB-LA001"/>
    <s v="5685000-1"/>
    <s v="単体"/>
    <n v="0"/>
    <m/>
    <n v="1"/>
    <d v="2025-05-26T00:00:00"/>
    <d v="2026-06-19T00:00:00"/>
    <d v="2026-06-15T00:00:00"/>
    <d v="2026-06-16T00:00:00"/>
    <m/>
    <m/>
    <s v="YB-LA001"/>
    <m/>
    <s v="V9"/>
    <x v="3"/>
    <n v="1784"/>
    <m/>
    <m/>
    <m/>
    <n v="1138"/>
    <m/>
    <n v="11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7"/>
    <s v="先行生産"/>
    <m/>
    <s v="YB-LA001"/>
    <s v="V9-BH　計画生産"/>
    <s v="YB-LA001"/>
    <s v="5685000-1"/>
    <s v="単体"/>
    <n v="0"/>
    <m/>
    <n v="1"/>
    <d v="2025-05-26T00:00:00"/>
    <d v="2026-06-19T00:00:00"/>
    <d v="2026-06-15T00:00:00"/>
    <d v="2026-06-16T00:00:00"/>
    <m/>
    <m/>
    <s v="YB-LA001"/>
    <m/>
    <s v="V9"/>
    <x v="3"/>
    <n v="1785"/>
    <m/>
    <m/>
    <m/>
    <n v="1139"/>
    <m/>
    <n v="11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8"/>
    <s v="先行生産"/>
    <m/>
    <s v="YB-LA001"/>
    <s v="V9-BH　計画生産"/>
    <s v="YB-LA001"/>
    <s v="5685000-1"/>
    <s v="単体"/>
    <n v="0"/>
    <m/>
    <n v="1"/>
    <d v="2025-05-26T00:00:00"/>
    <d v="2026-06-22T00:00:00"/>
    <d v="2026-06-15T00:00:00"/>
    <d v="2026-06-16T00:00:00"/>
    <m/>
    <m/>
    <s v="YB-LA001"/>
    <m/>
    <s v="V9"/>
    <x v="3"/>
    <n v="1786"/>
    <m/>
    <m/>
    <m/>
    <n v="1140"/>
    <m/>
    <n v="11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19"/>
    <s v="先行生産"/>
    <m/>
    <s v="YB-LA001"/>
    <s v="V9-BH　計画生産"/>
    <s v="YB-LA001"/>
    <s v="5685000-1"/>
    <s v="単体"/>
    <n v="0"/>
    <m/>
    <n v="1"/>
    <d v="2025-05-26T00:00:00"/>
    <d v="2026-06-22T00:00:00"/>
    <d v="2026-06-15T00:00:00"/>
    <d v="2026-06-16T00:00:00"/>
    <m/>
    <m/>
    <s v="YB-LA001"/>
    <m/>
    <s v="V9"/>
    <x v="3"/>
    <n v="1787"/>
    <m/>
    <m/>
    <m/>
    <n v="1141"/>
    <m/>
    <n v="11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0"/>
    <s v="先行生産"/>
    <m/>
    <s v="YB-LA001"/>
    <s v="V9-BH　計画生産"/>
    <s v="YB-LA001"/>
    <s v="5685000-1"/>
    <s v="単体"/>
    <n v="0"/>
    <m/>
    <n v="1"/>
    <d v="2025-05-26T00:00:00"/>
    <d v="2026-06-22T00:00:00"/>
    <d v="2026-06-15T00:00:00"/>
    <d v="2026-06-16T00:00:00"/>
    <m/>
    <m/>
    <s v="YB-LA001"/>
    <m/>
    <s v="V9"/>
    <x v="3"/>
    <n v="1788"/>
    <m/>
    <m/>
    <m/>
    <n v="1142"/>
    <m/>
    <n v="11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1"/>
    <s v="先行生産"/>
    <m/>
    <s v="YB-LA001"/>
    <s v="V9-BH　計画生産"/>
    <s v="YB-LA001"/>
    <s v="5685000-1"/>
    <s v="単体"/>
    <n v="0"/>
    <m/>
    <n v="1"/>
    <d v="2025-05-26T00:00:00"/>
    <d v="2026-06-22T00:00:00"/>
    <d v="2026-06-15T00:00:00"/>
    <d v="2026-06-16T00:00:00"/>
    <m/>
    <m/>
    <s v="YB-LA001"/>
    <m/>
    <s v="V9"/>
    <x v="3"/>
    <n v="1789"/>
    <m/>
    <m/>
    <m/>
    <n v="1143"/>
    <m/>
    <n v="11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2"/>
    <s v="先行生産"/>
    <m/>
    <s v="YB-LA001"/>
    <s v="V9-BH　計画生産"/>
    <s v="YB-LA001"/>
    <s v="5685000-1"/>
    <s v="単体"/>
    <n v="0"/>
    <m/>
    <n v="1"/>
    <d v="2025-05-26T00:00:00"/>
    <d v="2026-06-22T00:00:00"/>
    <d v="2026-06-15T00:00:00"/>
    <d v="2026-06-16T00:00:00"/>
    <m/>
    <m/>
    <s v="YB-LA001"/>
    <m/>
    <s v="V9"/>
    <x v="3"/>
    <n v="1790"/>
    <m/>
    <m/>
    <m/>
    <n v="1144"/>
    <m/>
    <n v="11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3"/>
    <s v="先行生産"/>
    <m/>
    <s v="YB-LA001"/>
    <s v="V9-BH　計画生産"/>
    <s v="YB-LA001"/>
    <s v="5685000-1"/>
    <s v="単体"/>
    <n v="0"/>
    <m/>
    <n v="1"/>
    <d v="2025-05-26T00:00:00"/>
    <d v="2026-06-23T00:00:00"/>
    <d v="2026-06-15T00:00:00"/>
    <d v="2026-06-16T00:00:00"/>
    <m/>
    <m/>
    <s v="YB-LA001"/>
    <m/>
    <s v="V9"/>
    <x v="3"/>
    <n v="1791"/>
    <m/>
    <m/>
    <m/>
    <n v="1145"/>
    <m/>
    <n v="11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4"/>
    <s v="先行生産"/>
    <m/>
    <s v="YB-LA001"/>
    <s v="V9-BH　計画生産"/>
    <s v="YB-LA001"/>
    <s v="5685000-1"/>
    <s v="単体"/>
    <n v="0"/>
    <m/>
    <n v="1"/>
    <d v="2025-05-26T00:00:00"/>
    <d v="2026-06-23T00:00:00"/>
    <d v="2026-06-15T00:00:00"/>
    <d v="2026-06-16T00:00:00"/>
    <m/>
    <m/>
    <s v="YB-LA001"/>
    <m/>
    <s v="V9"/>
    <x v="3"/>
    <n v="1792"/>
    <m/>
    <m/>
    <m/>
    <n v="1146"/>
    <m/>
    <n v="11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5"/>
    <s v="先行生産"/>
    <m/>
    <s v="YB-LA001"/>
    <s v="V9-BH　計画生産"/>
    <s v="YB-LA001"/>
    <s v="5685000-1"/>
    <s v="単体"/>
    <n v="0"/>
    <m/>
    <n v="1"/>
    <d v="2025-05-26T00:00:00"/>
    <d v="2026-06-23T00:00:00"/>
    <d v="2026-06-15T00:00:00"/>
    <d v="2026-06-16T00:00:00"/>
    <m/>
    <m/>
    <s v="YB-LA001"/>
    <m/>
    <s v="V9"/>
    <x v="3"/>
    <n v="1793"/>
    <m/>
    <m/>
    <m/>
    <n v="1147"/>
    <m/>
    <n v="12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6"/>
    <s v="先行生産"/>
    <m/>
    <s v="YB-LA001"/>
    <s v="V9-BH　計画生産"/>
    <s v="YB-LA001"/>
    <s v="5685000-1"/>
    <s v="単体"/>
    <n v="0"/>
    <m/>
    <n v="1"/>
    <d v="2025-05-26T00:00:00"/>
    <d v="2026-06-23T00:00:00"/>
    <d v="2026-06-15T00:00:00"/>
    <d v="2026-06-16T00:00:00"/>
    <m/>
    <m/>
    <s v="YB-LA001"/>
    <m/>
    <s v="V9"/>
    <x v="3"/>
    <n v="1794"/>
    <m/>
    <m/>
    <m/>
    <n v="1148"/>
    <m/>
    <n v="12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06"/>
    <s v="000391145-27"/>
    <s v="先行生産"/>
    <m/>
    <s v="YB-LA001"/>
    <s v="V9-BH　計画生産"/>
    <s v="YB-LA001"/>
    <s v="5685000-1"/>
    <s v="単体"/>
    <n v="0"/>
    <m/>
    <n v="1"/>
    <d v="2025-05-26T00:00:00"/>
    <d v="2026-06-23T00:00:00"/>
    <d v="2026-06-15T00:00:00"/>
    <d v="2026-06-16T00:00:00"/>
    <m/>
    <m/>
    <s v="YB-LA001"/>
    <m/>
    <s v="V9"/>
    <x v="3"/>
    <n v="1795"/>
    <m/>
    <m/>
    <m/>
    <n v="1149"/>
    <m/>
    <n v="12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1"/>
    <s v="先行生産"/>
    <m/>
    <s v="YB-LA001"/>
    <s v="V9-BH　計画生産"/>
    <s v="YB-LA001"/>
    <s v="5685000-1"/>
    <s v="単体"/>
    <n v="0"/>
    <m/>
    <n v="1"/>
    <d v="2025-05-26T00:00:00"/>
    <d v="2026-06-24T00:00:00"/>
    <d v="2026-06-22T00:00:00"/>
    <d v="2026-06-23T00:00:00"/>
    <m/>
    <m/>
    <s v="YB-LA001"/>
    <m/>
    <s v="V9"/>
    <x v="3"/>
    <n v="1796"/>
    <m/>
    <m/>
    <m/>
    <n v="1150"/>
    <m/>
    <n v="12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2"/>
    <s v="先行生産"/>
    <m/>
    <s v="YB-LA001"/>
    <s v="V9-BH　計画生産"/>
    <s v="YB-LA001"/>
    <s v="5685000-1"/>
    <s v="単体"/>
    <n v="0"/>
    <m/>
    <n v="1"/>
    <d v="2025-05-26T00:00:00"/>
    <d v="2026-06-24T00:00:00"/>
    <d v="2026-06-22T00:00:00"/>
    <d v="2026-06-23T00:00:00"/>
    <m/>
    <m/>
    <s v="YB-LA001"/>
    <m/>
    <s v="V9"/>
    <x v="3"/>
    <n v="1797"/>
    <m/>
    <m/>
    <m/>
    <n v="1151"/>
    <m/>
    <n v="12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3"/>
    <s v="先行生産"/>
    <m/>
    <s v="YB-LA001"/>
    <s v="V9-BH　計画生産"/>
    <s v="YB-LA001"/>
    <s v="5685000-1"/>
    <s v="単体"/>
    <n v="0"/>
    <m/>
    <n v="1"/>
    <d v="2025-05-26T00:00:00"/>
    <d v="2026-06-24T00:00:00"/>
    <d v="2026-06-22T00:00:00"/>
    <d v="2026-06-23T00:00:00"/>
    <m/>
    <m/>
    <s v="YB-LA001"/>
    <m/>
    <s v="V9"/>
    <x v="3"/>
    <n v="1798"/>
    <m/>
    <m/>
    <m/>
    <n v="1152"/>
    <m/>
    <n v="12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4"/>
    <s v="先行生産"/>
    <m/>
    <s v="YB-LA001"/>
    <s v="V9-BH　計画生産"/>
    <s v="YB-LA001"/>
    <s v="5685000-1"/>
    <s v="単体"/>
    <n v="0"/>
    <m/>
    <n v="1"/>
    <d v="2025-05-26T00:00:00"/>
    <d v="2026-06-24T00:00:00"/>
    <d v="2026-06-22T00:00:00"/>
    <d v="2026-06-23T00:00:00"/>
    <m/>
    <m/>
    <s v="YB-LA001"/>
    <m/>
    <s v="V9"/>
    <x v="3"/>
    <n v="1799"/>
    <m/>
    <m/>
    <m/>
    <n v="1153"/>
    <m/>
    <n v="12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5"/>
    <s v="先行生産"/>
    <m/>
    <s v="YB-LA001"/>
    <s v="V9-BH　計画生産"/>
    <s v="YB-LA001"/>
    <s v="5685000-1"/>
    <s v="単体"/>
    <n v="0"/>
    <m/>
    <n v="1"/>
    <d v="2025-05-26T00:00:00"/>
    <d v="2026-06-24T00:00:00"/>
    <d v="2026-06-22T00:00:00"/>
    <d v="2026-06-23T00:00:00"/>
    <m/>
    <m/>
    <s v="YB-LA001"/>
    <m/>
    <s v="V9"/>
    <x v="3"/>
    <n v="1800"/>
    <m/>
    <m/>
    <m/>
    <n v="1154"/>
    <m/>
    <n v="12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6"/>
    <s v="先行生産"/>
    <m/>
    <s v="YB-LA001"/>
    <s v="V9-BH　計画生産"/>
    <s v="YB-LA001"/>
    <s v="5685000-1"/>
    <s v="単体"/>
    <n v="0"/>
    <m/>
    <n v="1"/>
    <d v="2025-05-26T00:00:00"/>
    <d v="2026-06-24T00:00:00"/>
    <d v="2026-06-22T00:00:00"/>
    <d v="2026-06-23T00:00:00"/>
    <m/>
    <m/>
    <s v="YB-LA001"/>
    <m/>
    <s v="V9"/>
    <x v="3"/>
    <n v="1801"/>
    <m/>
    <m/>
    <m/>
    <n v="1155"/>
    <m/>
    <n v="12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7"/>
    <s v="先行生産"/>
    <m/>
    <s v="YB-LA001"/>
    <s v="V9-BH　計画生産"/>
    <s v="YB-LA001"/>
    <s v="5685000-1"/>
    <s v="単体"/>
    <n v="0"/>
    <m/>
    <n v="1"/>
    <d v="2025-05-26T00:00:00"/>
    <d v="2026-06-25T00:00:00"/>
    <d v="2026-06-22T00:00:00"/>
    <d v="2026-06-23T00:00:00"/>
    <m/>
    <m/>
    <s v="YB-LA001"/>
    <m/>
    <s v="V9"/>
    <x v="3"/>
    <n v="1802"/>
    <m/>
    <m/>
    <m/>
    <n v="1156"/>
    <m/>
    <n v="12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8"/>
    <s v="先行生産"/>
    <m/>
    <s v="YB-LA001"/>
    <s v="V9-BH　計画生産"/>
    <s v="YB-LA001"/>
    <s v="5685000-1"/>
    <s v="単体"/>
    <n v="0"/>
    <m/>
    <n v="1"/>
    <d v="2025-05-26T00:00:00"/>
    <d v="2026-06-25T00:00:00"/>
    <d v="2026-06-22T00:00:00"/>
    <d v="2026-06-23T00:00:00"/>
    <m/>
    <m/>
    <s v="YB-LA001"/>
    <m/>
    <s v="V9"/>
    <x v="3"/>
    <n v="1803"/>
    <m/>
    <m/>
    <m/>
    <n v="1157"/>
    <m/>
    <n v="12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09"/>
    <s v="先行生産"/>
    <m/>
    <s v="YB-LA001"/>
    <s v="V9-BH　計画生産"/>
    <s v="YB-LA001"/>
    <s v="5685000-1"/>
    <s v="単体"/>
    <n v="0"/>
    <m/>
    <n v="1"/>
    <d v="2025-05-26T00:00:00"/>
    <d v="2026-06-25T00:00:00"/>
    <d v="2026-06-22T00:00:00"/>
    <d v="2026-06-23T00:00:00"/>
    <m/>
    <m/>
    <s v="YB-LA001"/>
    <m/>
    <s v="V9"/>
    <x v="3"/>
    <n v="1804"/>
    <m/>
    <m/>
    <m/>
    <n v="1158"/>
    <m/>
    <n v="12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0"/>
    <s v="先行生産"/>
    <m/>
    <s v="YB-LA001"/>
    <s v="V9-BH　計画生産"/>
    <s v="YB-LA001"/>
    <s v="5685000-1"/>
    <s v="単体"/>
    <n v="0"/>
    <m/>
    <n v="1"/>
    <d v="2025-05-26T00:00:00"/>
    <d v="2026-06-25T00:00:00"/>
    <d v="2026-06-22T00:00:00"/>
    <d v="2026-06-23T00:00:00"/>
    <m/>
    <m/>
    <s v="YB-LA001"/>
    <m/>
    <s v="V9"/>
    <x v="3"/>
    <n v="1805"/>
    <m/>
    <m/>
    <m/>
    <n v="1159"/>
    <m/>
    <n v="12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1"/>
    <s v="先行生産"/>
    <m/>
    <s v="YB-LA001"/>
    <s v="V9-BH　計画生産"/>
    <s v="YB-LA001"/>
    <s v="5685000-1"/>
    <s v="単体"/>
    <n v="0"/>
    <m/>
    <n v="1"/>
    <d v="2025-05-26T00:00:00"/>
    <d v="2026-06-25T00:00:00"/>
    <d v="2026-06-22T00:00:00"/>
    <d v="2026-06-23T00:00:00"/>
    <m/>
    <m/>
    <s v="YB-LA001"/>
    <m/>
    <s v="V9"/>
    <x v="3"/>
    <n v="1806"/>
    <m/>
    <m/>
    <m/>
    <n v="1160"/>
    <m/>
    <n v="12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2"/>
    <s v="先行生産"/>
    <m/>
    <s v="YB-LA001"/>
    <s v="V9-BH　計画生産"/>
    <s v="YB-LA001"/>
    <s v="5685000-1"/>
    <s v="単体"/>
    <n v="0"/>
    <m/>
    <n v="1"/>
    <d v="2025-05-26T00:00:00"/>
    <d v="2026-06-25T00:00:00"/>
    <d v="2026-06-22T00:00:00"/>
    <d v="2026-06-23T00:00:00"/>
    <m/>
    <m/>
    <s v="YB-LA001"/>
    <m/>
    <s v="V9"/>
    <x v="3"/>
    <n v="1807"/>
    <m/>
    <m/>
    <m/>
    <n v="1161"/>
    <m/>
    <n v="12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3"/>
    <s v="先行生産"/>
    <m/>
    <s v="YB-LA001"/>
    <s v="V9-BH　計画生産"/>
    <s v="YB-LA001"/>
    <s v="5685000-1"/>
    <s v="単体"/>
    <n v="0"/>
    <m/>
    <n v="1"/>
    <d v="2025-05-26T00:00:00"/>
    <d v="2026-06-26T00:00:00"/>
    <d v="2026-06-22T00:00:00"/>
    <d v="2026-06-23T00:00:00"/>
    <m/>
    <m/>
    <s v="YB-LA001"/>
    <m/>
    <s v="V9"/>
    <x v="3"/>
    <n v="1808"/>
    <m/>
    <m/>
    <m/>
    <n v="1162"/>
    <m/>
    <n v="12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4"/>
    <s v="先行生産"/>
    <m/>
    <s v="YB-LA001"/>
    <s v="V9-BH　計画生産"/>
    <s v="YB-LA001"/>
    <s v="5685000-1"/>
    <s v="単体"/>
    <n v="0"/>
    <m/>
    <n v="1"/>
    <d v="2025-05-26T00:00:00"/>
    <d v="2026-06-26T00:00:00"/>
    <d v="2026-06-22T00:00:00"/>
    <d v="2026-06-23T00:00:00"/>
    <m/>
    <m/>
    <s v="YB-LA001"/>
    <m/>
    <s v="V9"/>
    <x v="3"/>
    <n v="1809"/>
    <m/>
    <m/>
    <m/>
    <n v="1163"/>
    <m/>
    <n v="12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5"/>
    <s v="先行生産"/>
    <m/>
    <s v="YB-LA001"/>
    <s v="V9-BH　計画生産"/>
    <s v="YB-LA001"/>
    <s v="5685000-1"/>
    <s v="単体"/>
    <n v="0"/>
    <m/>
    <n v="1"/>
    <d v="2025-05-26T00:00:00"/>
    <d v="2026-06-26T00:00:00"/>
    <d v="2026-06-22T00:00:00"/>
    <d v="2026-06-23T00:00:00"/>
    <m/>
    <m/>
    <s v="YB-LA001"/>
    <m/>
    <s v="V9"/>
    <x v="3"/>
    <n v="1810"/>
    <m/>
    <m/>
    <m/>
    <n v="1164"/>
    <m/>
    <n v="12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6"/>
    <s v="先行生産"/>
    <m/>
    <s v="YB-LA001"/>
    <s v="V9-BH　計画生産"/>
    <s v="YB-LA001"/>
    <s v="5685000-1"/>
    <s v="単体"/>
    <n v="0"/>
    <m/>
    <n v="1"/>
    <d v="2025-05-26T00:00:00"/>
    <d v="2026-06-26T00:00:00"/>
    <d v="2026-06-22T00:00:00"/>
    <d v="2026-06-23T00:00:00"/>
    <m/>
    <m/>
    <s v="YB-LA001"/>
    <m/>
    <s v="V9"/>
    <x v="3"/>
    <n v="1811"/>
    <m/>
    <m/>
    <m/>
    <n v="1165"/>
    <m/>
    <n v="12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7"/>
    <s v="先行生産"/>
    <m/>
    <s v="YB-LA001"/>
    <s v="V9-BH　計画生産"/>
    <s v="YB-LA001"/>
    <s v="5685000-1"/>
    <s v="単体"/>
    <n v="0"/>
    <m/>
    <n v="1"/>
    <d v="2025-05-26T00:00:00"/>
    <d v="2026-06-26T00:00:00"/>
    <d v="2026-06-22T00:00:00"/>
    <d v="2026-06-23T00:00:00"/>
    <m/>
    <m/>
    <s v="YB-LA001"/>
    <m/>
    <s v="V9"/>
    <x v="3"/>
    <n v="1812"/>
    <m/>
    <m/>
    <m/>
    <n v="1166"/>
    <m/>
    <n v="12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8"/>
    <s v="先行生産"/>
    <m/>
    <s v="YB-LA001"/>
    <s v="V9-BH　計画生産"/>
    <s v="YB-LA001"/>
    <s v="5685000-1"/>
    <s v="単体"/>
    <n v="0"/>
    <m/>
    <n v="1"/>
    <d v="2025-05-26T00:00:00"/>
    <d v="2026-06-26T00:00:00"/>
    <d v="2026-06-22T00:00:00"/>
    <d v="2026-06-23T00:00:00"/>
    <m/>
    <m/>
    <s v="YB-LA001"/>
    <m/>
    <s v="V9"/>
    <x v="3"/>
    <n v="1813"/>
    <m/>
    <m/>
    <m/>
    <n v="1167"/>
    <m/>
    <n v="12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19"/>
    <s v="先行生産"/>
    <m/>
    <s v="YB-LA001"/>
    <s v="V9-BH　計画生産"/>
    <s v="YB-LA001"/>
    <s v="5685000-1"/>
    <s v="単体"/>
    <n v="0"/>
    <m/>
    <n v="1"/>
    <d v="2025-05-26T00:00:00"/>
    <d v="2026-06-29T00:00:00"/>
    <d v="2026-06-22T00:00:00"/>
    <d v="2026-06-23T00:00:00"/>
    <m/>
    <m/>
    <s v="YB-LA001"/>
    <m/>
    <s v="V9"/>
    <x v="3"/>
    <n v="1814"/>
    <m/>
    <m/>
    <m/>
    <n v="1168"/>
    <m/>
    <n v="12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0"/>
    <s v="先行生産"/>
    <m/>
    <s v="YB-LA001"/>
    <s v="V9-BH　計画生産"/>
    <s v="YB-LA001"/>
    <s v="5685000-1"/>
    <s v="単体"/>
    <n v="0"/>
    <m/>
    <n v="1"/>
    <d v="2025-05-26T00:00:00"/>
    <d v="2026-06-29T00:00:00"/>
    <d v="2026-06-22T00:00:00"/>
    <d v="2026-06-23T00:00:00"/>
    <m/>
    <m/>
    <s v="YB-LA001"/>
    <m/>
    <s v="V9"/>
    <x v="3"/>
    <n v="1815"/>
    <m/>
    <m/>
    <m/>
    <n v="1169"/>
    <m/>
    <n v="12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1"/>
    <s v="先行生産"/>
    <m/>
    <s v="YB-LA001"/>
    <s v="V9-BH　計画生産"/>
    <s v="YB-LA001"/>
    <s v="5685000-1"/>
    <s v="単体"/>
    <n v="0"/>
    <m/>
    <n v="1"/>
    <d v="2025-05-26T00:00:00"/>
    <d v="2026-06-29T00:00:00"/>
    <d v="2026-06-22T00:00:00"/>
    <d v="2026-06-23T00:00:00"/>
    <m/>
    <m/>
    <s v="YB-LA001"/>
    <m/>
    <s v="V9"/>
    <x v="3"/>
    <n v="1816"/>
    <m/>
    <m/>
    <m/>
    <n v="1170"/>
    <m/>
    <n v="12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2"/>
    <s v="先行生産"/>
    <m/>
    <s v="YB-LA001"/>
    <s v="V9-BH　計画生産"/>
    <s v="YB-LA001"/>
    <s v="5685000-1"/>
    <s v="単体"/>
    <n v="0"/>
    <m/>
    <n v="1"/>
    <d v="2025-05-26T00:00:00"/>
    <d v="2026-06-29T00:00:00"/>
    <d v="2026-06-22T00:00:00"/>
    <d v="2026-06-23T00:00:00"/>
    <m/>
    <m/>
    <s v="YB-LA001"/>
    <m/>
    <s v="V9"/>
    <x v="3"/>
    <n v="1817"/>
    <m/>
    <m/>
    <m/>
    <n v="1171"/>
    <m/>
    <n v="12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3"/>
    <s v="先行生産"/>
    <m/>
    <s v="YB-LA001"/>
    <s v="V9-BH　計画生産"/>
    <s v="YB-LA001"/>
    <s v="5685000-1"/>
    <s v="単体"/>
    <n v="0"/>
    <m/>
    <n v="1"/>
    <d v="2025-05-26T00:00:00"/>
    <d v="2026-06-29T00:00:00"/>
    <d v="2026-06-22T00:00:00"/>
    <d v="2026-06-23T00:00:00"/>
    <m/>
    <m/>
    <s v="YB-LA001"/>
    <m/>
    <s v="V9"/>
    <x v="3"/>
    <n v="1818"/>
    <m/>
    <m/>
    <m/>
    <n v="1172"/>
    <m/>
    <n v="12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4"/>
    <s v="先行生産"/>
    <m/>
    <s v="YB-LA001"/>
    <s v="V9-BH　計画生産"/>
    <s v="YB-LA001"/>
    <s v="5685000-1"/>
    <s v="単体"/>
    <n v="0"/>
    <m/>
    <n v="1"/>
    <d v="2025-05-26T00:00:00"/>
    <d v="2026-06-30T00:00:00"/>
    <d v="2026-06-22T00:00:00"/>
    <d v="2026-06-23T00:00:00"/>
    <m/>
    <m/>
    <s v="YB-LA001"/>
    <m/>
    <s v="V9"/>
    <x v="3"/>
    <n v="1819"/>
    <m/>
    <m/>
    <m/>
    <n v="1173"/>
    <m/>
    <n v="12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5"/>
    <s v="先行生産"/>
    <m/>
    <s v="YB-LA001"/>
    <s v="V9-BH　計画生産"/>
    <s v="YB-LA001"/>
    <s v="5685000-1"/>
    <s v="単体"/>
    <n v="0"/>
    <m/>
    <n v="1"/>
    <d v="2025-05-26T00:00:00"/>
    <d v="2026-06-30T00:00:00"/>
    <d v="2026-06-22T00:00:00"/>
    <d v="2026-06-23T00:00:00"/>
    <m/>
    <m/>
    <s v="YB-LA001"/>
    <m/>
    <s v="V9"/>
    <x v="3"/>
    <n v="1820"/>
    <m/>
    <m/>
    <m/>
    <n v="1174"/>
    <m/>
    <n v="12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6"/>
    <s v="先行生産"/>
    <m/>
    <s v="YB-LA001"/>
    <s v="V9-BH　計画生産"/>
    <s v="YB-LA001"/>
    <s v="5685000-1"/>
    <s v="単体"/>
    <n v="0"/>
    <m/>
    <n v="1"/>
    <d v="2025-05-26T00:00:00"/>
    <d v="2026-06-30T00:00:00"/>
    <d v="2026-06-22T00:00:00"/>
    <d v="2026-06-23T00:00:00"/>
    <m/>
    <m/>
    <s v="YB-LA001"/>
    <m/>
    <s v="V9"/>
    <x v="3"/>
    <n v="1821"/>
    <m/>
    <m/>
    <m/>
    <n v="1175"/>
    <m/>
    <n v="12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7"/>
    <s v="先行生産"/>
    <m/>
    <s v="YB-LA001"/>
    <s v="V9-BH　計画生産"/>
    <s v="YB-LA001"/>
    <s v="5685000-1"/>
    <s v="単体"/>
    <n v="0"/>
    <m/>
    <n v="1"/>
    <d v="2025-05-26T00:00:00"/>
    <d v="2026-06-30T00:00:00"/>
    <d v="2026-06-22T00:00:00"/>
    <d v="2026-06-23T00:00:00"/>
    <m/>
    <m/>
    <s v="YB-LA001"/>
    <m/>
    <s v="V9"/>
    <x v="3"/>
    <n v="1822"/>
    <m/>
    <m/>
    <m/>
    <n v="1176"/>
    <m/>
    <n v="12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32"/>
    <s v="000389425-28"/>
    <s v="先行生産"/>
    <m/>
    <s v="YB-LA001"/>
    <s v="V9-BH　計画生産"/>
    <s v="YB-LA001"/>
    <s v="5685000-1"/>
    <s v="単体"/>
    <n v="0"/>
    <m/>
    <n v="1"/>
    <d v="2025-05-26T00:00:00"/>
    <d v="2026-06-30T00:00:00"/>
    <d v="2026-06-22T00:00:00"/>
    <d v="2026-06-23T00:00:00"/>
    <m/>
    <m/>
    <s v="YB-LA001"/>
    <m/>
    <s v="V9"/>
    <x v="3"/>
    <n v="1823"/>
    <m/>
    <m/>
    <m/>
    <n v="1177"/>
    <m/>
    <n v="12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354"/>
    <s v="000391147"/>
    <s v="先行生産"/>
    <m/>
    <s v="YB-LA001"/>
    <s v="V9-BH　計画生産"/>
    <s v="YB-LA001"/>
    <s v="5685000-1"/>
    <s v="単体"/>
    <n v="0"/>
    <m/>
    <n v="28"/>
    <d v="2025-05-26T00:00:00"/>
    <d v="2026-07-01T00:00:00"/>
    <d v="2026-06-29T00:00:00"/>
    <d v="2026-06-30T00:00:00"/>
    <m/>
    <m/>
    <s v="YB-LA001"/>
    <m/>
    <s v="V9"/>
    <x v="4"/>
    <n v="1824"/>
    <m/>
    <m/>
    <m/>
    <n v="1178"/>
    <m/>
    <n v="12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381"/>
    <s v="000391146"/>
    <s v="先行生産"/>
    <m/>
    <s v="YB-LA001"/>
    <s v="V9-BH　計画生産"/>
    <s v="YB-LA001"/>
    <s v="5685000-1"/>
    <s v="単体"/>
    <n v="0"/>
    <m/>
    <n v="27"/>
    <d v="2026-06-30T00:00:00"/>
    <d v="2026-07-07T00:00:00"/>
    <d v="2026-07-06T00:00:00"/>
    <d v="2026-07-07T00:00:00"/>
    <m/>
    <m/>
    <s v="YB-LA001"/>
    <m/>
    <s v="V9"/>
    <x v="4"/>
    <n v="1825"/>
    <m/>
    <m/>
    <m/>
    <n v="1179"/>
    <m/>
    <n v="12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398"/>
    <s v="000391148"/>
    <s v="先行生産"/>
    <m/>
    <s v="YB-LA001"/>
    <s v="V9-BH　計画生産"/>
    <s v="YB-LA001"/>
    <s v="5685000-1"/>
    <s v="単体"/>
    <n v="0"/>
    <m/>
    <n v="27"/>
    <d v="2026-06-30T00:00:00"/>
    <d v="2026-07-13T00:00:00"/>
    <d v="2026-07-10T00:00:00"/>
    <d v="2026-07-13T00:00:00"/>
    <m/>
    <m/>
    <s v="YB-LA001"/>
    <m/>
    <s v="V9"/>
    <x v="4"/>
    <n v="1826"/>
    <m/>
    <m/>
    <m/>
    <n v="1180"/>
    <m/>
    <n v="12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431"/>
    <s v="000389421"/>
    <s v="先行生産"/>
    <m/>
    <s v="YB-LA001"/>
    <s v="V9-BH　計画生産"/>
    <s v="YB-LA001"/>
    <s v="5685000-1"/>
    <s v="単体"/>
    <n v="0"/>
    <m/>
    <n v="37"/>
    <d v="2026-06-30T00:00:00"/>
    <d v="2026-07-28T00:00:00"/>
    <d v="2026-07-27T00:00:00"/>
    <d v="2026-07-28T00:00:00"/>
    <m/>
    <m/>
    <s v="YB-LA001"/>
    <m/>
    <s v="V9"/>
    <x v="4"/>
    <n v="1827"/>
    <m/>
    <m/>
    <m/>
    <n v="1181"/>
    <m/>
    <n v="12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7"/>
    <n v="37"/>
    <n v="37"/>
    <n v="37"/>
    <n v="37"/>
    <n v="37"/>
    <n v="37"/>
    <n v="37"/>
  </r>
  <r>
    <n v="453"/>
    <s v="000403215"/>
    <s v="N社（Ｎ）"/>
    <s v="東京メトロ向け"/>
    <s v="仮品番"/>
    <s v="V9-BH"/>
    <s v="YB-LA001"/>
    <s v="5685000-1"/>
    <s v="単体"/>
    <n v="0"/>
    <m/>
    <n v="30"/>
    <m/>
    <d v="2026-08-03T00:00:00"/>
    <d v="2026-07-31T00:00:00"/>
    <d v="2026-08-03T00:00:00"/>
    <m/>
    <m/>
    <s v="YB-LA001"/>
    <m/>
    <s v="V9"/>
    <x v="5"/>
    <n v="1828"/>
    <m/>
    <m/>
    <m/>
    <n v="1182"/>
    <m/>
    <n v="12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30"/>
    <n v="30"/>
    <n v="30"/>
    <n v="30"/>
    <n v="30"/>
    <n v="30"/>
    <n v="30"/>
    <n v="30"/>
  </r>
  <r>
    <n v="550"/>
    <s v="000391149"/>
    <s v="先行生産"/>
    <m/>
    <s v="YB-LA001"/>
    <s v="V9-BH　計画生産"/>
    <s v="YB-LA001"/>
    <s v="5685000-1"/>
    <s v="単体"/>
    <n v="0"/>
    <m/>
    <n v="37"/>
    <d v="2026-07-28T00:00:00"/>
    <d v="2026-08-04T00:00:00"/>
    <d v="2026-08-03T00:00:00"/>
    <d v="2026-08-04T00:00:00"/>
    <m/>
    <m/>
    <s v="YB-LA001"/>
    <m/>
    <s v="V9"/>
    <x v="5"/>
    <n v="1829"/>
    <m/>
    <m/>
    <m/>
    <n v="1183"/>
    <m/>
    <n v="12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7"/>
    <n v="37"/>
    <n v="37"/>
    <n v="37"/>
    <n v="37"/>
    <n v="37"/>
    <n v="37"/>
    <n v="37"/>
  </r>
  <r>
    <n v="554"/>
    <s v="000391150"/>
    <s v="先行生産"/>
    <m/>
    <s v="YB-LA001"/>
    <s v="V9-BH　計画生産"/>
    <s v="YB-LA001"/>
    <s v="5685000-1"/>
    <s v="単体"/>
    <n v="0"/>
    <m/>
    <n v="36"/>
    <d v="2026-07-28T00:00:00"/>
    <d v="2026-08-18T00:00:00"/>
    <d v="2026-08-17T00:00:00"/>
    <d v="2026-08-18T00:00:00"/>
    <m/>
    <m/>
    <s v="YB-LA001"/>
    <m/>
    <s v="V9"/>
    <x v="5"/>
    <n v="1830"/>
    <m/>
    <m/>
    <m/>
    <n v="1184"/>
    <m/>
    <n v="12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36"/>
    <n v="36"/>
    <n v="36"/>
    <n v="36"/>
    <n v="36"/>
    <n v="36"/>
    <n v="36"/>
    <n v="36"/>
  </r>
  <r>
    <n v="555"/>
    <s v="000389424"/>
    <s v="先行生産"/>
    <m/>
    <s v="YB-LA001"/>
    <s v="V9-BH　計画生産"/>
    <s v="YB-LA001"/>
    <s v="5685000-1"/>
    <s v="単体"/>
    <n v="0"/>
    <m/>
    <n v="37"/>
    <d v="2026-07-28T00:00:00"/>
    <d v="2026-08-25T00:00:00"/>
    <d v="2026-08-24T00:00:00"/>
    <d v="2026-08-25T00:00:00"/>
    <m/>
    <m/>
    <s v="YB-LA001"/>
    <m/>
    <s v="V9"/>
    <x v="5"/>
    <n v="1831"/>
    <m/>
    <m/>
    <m/>
    <n v="1185"/>
    <m/>
    <n v="12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7"/>
    <n v="37"/>
    <n v="37"/>
    <n v="37"/>
    <n v="37"/>
    <n v="37"/>
    <n v="37"/>
    <n v="37"/>
  </r>
  <r>
    <n v="648"/>
    <s v="000401025"/>
    <s v="先行生産"/>
    <m/>
    <s v="YB-LA001"/>
    <s v="V9-BH　計画生産"/>
    <s v="YB-LA001"/>
    <s v="5685000-1"/>
    <s v="単体"/>
    <n v="0"/>
    <m/>
    <n v="37"/>
    <d v="2026-08-25T00:00:00"/>
    <d v="2026-09-01T00:00:00"/>
    <d v="2026-08-31T00:00:00"/>
    <d v="2026-09-01T00:00:00"/>
    <m/>
    <m/>
    <s v="YB-LA001"/>
    <m/>
    <s v="V9"/>
    <x v="6"/>
    <n v="1832"/>
    <m/>
    <m/>
    <m/>
    <n v="1186"/>
    <m/>
    <n v="12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7"/>
    <n v="37"/>
    <n v="37"/>
    <n v="37"/>
    <n v="37"/>
    <n v="37"/>
    <n v="37"/>
    <n v="37"/>
  </r>
  <r>
    <n v="556"/>
    <s v="000397592"/>
    <s v="JRS"/>
    <m/>
    <s v="YB-LA002"/>
    <s v="V9-BH"/>
    <s v="YB-LA002"/>
    <s v="3655124-5"/>
    <s v="単体"/>
    <n v="1"/>
    <m/>
    <n v="41"/>
    <d v="2026-08-21T00:00:00"/>
    <d v="2026-09-02T00:00:00"/>
    <d v="2026-09-01T00:00:00"/>
    <d v="2026-09-01T00:00:00"/>
    <m/>
    <m/>
    <s v="YB-LA002"/>
    <m/>
    <s v="V9"/>
    <x v="6"/>
    <n v="1833"/>
    <m/>
    <m/>
    <m/>
    <m/>
    <n v="650"/>
    <m/>
    <n v="59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41"/>
    <n v="41"/>
    <n v="41"/>
    <n v="41"/>
    <n v="41"/>
    <n v="41"/>
    <n v="41"/>
    <n v="0"/>
  </r>
  <r>
    <n v="561"/>
    <s v="000403216"/>
    <s v="N社（Ｎ）"/>
    <s v="東京メトロ向け"/>
    <s v="仮品番"/>
    <s v="V9-BH"/>
    <s v="YB-LA001"/>
    <s v="5685000-1"/>
    <s v="単体"/>
    <n v="0"/>
    <m/>
    <n v="30"/>
    <d v="2026-08-21T00:00:00"/>
    <d v="2026-09-02T00:00:00"/>
    <d v="2026-09-01T00:00:00"/>
    <d v="2026-09-01T00:00:00"/>
    <m/>
    <m/>
    <s v="YB-LA001"/>
    <m/>
    <s v="V9"/>
    <x v="6"/>
    <n v="1834"/>
    <m/>
    <m/>
    <m/>
    <n v="1187"/>
    <m/>
    <n v="12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30"/>
    <n v="30"/>
    <n v="30"/>
    <n v="30"/>
    <n v="30"/>
    <n v="30"/>
    <n v="30"/>
    <n v="30"/>
  </r>
  <r>
    <n v="649"/>
    <s v="000401026"/>
    <s v="先行生産"/>
    <m/>
    <s v="YB-LA001"/>
    <s v="V9-BH　計画生産"/>
    <s v="YB-LA001"/>
    <s v="5685000-1"/>
    <s v="単体"/>
    <n v="0"/>
    <m/>
    <n v="36"/>
    <d v="2026-08-25T00:00:00"/>
    <d v="2026-09-08T00:00:00"/>
    <d v="2026-09-07T00:00:00"/>
    <d v="2026-09-08T00:00:00"/>
    <m/>
    <m/>
    <s v="YB-LA001"/>
    <m/>
    <s v="V9"/>
    <x v="6"/>
    <n v="1835"/>
    <m/>
    <m/>
    <m/>
    <n v="1188"/>
    <m/>
    <n v="12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36"/>
    <n v="36"/>
    <n v="36"/>
    <n v="36"/>
    <n v="36"/>
    <n v="36"/>
    <n v="36"/>
    <n v="36"/>
  </r>
  <r>
    <n v="650"/>
    <s v="000389426"/>
    <s v="先行生産"/>
    <m/>
    <s v="YB-LA001"/>
    <s v="V9-BH　計画生産"/>
    <s v="YB-LA001"/>
    <s v="5685000-1"/>
    <s v="単体"/>
    <n v="0"/>
    <m/>
    <n v="28"/>
    <d v="2026-08-25T00:00:00"/>
    <d v="2026-09-25T00:00:00"/>
    <d v="2026-09-24T00:00:00"/>
    <d v="2026-09-25T00:00:00"/>
    <m/>
    <m/>
    <s v="YB-LA001"/>
    <m/>
    <s v="V9"/>
    <x v="6"/>
    <n v="1836"/>
    <m/>
    <m/>
    <m/>
    <n v="1189"/>
    <m/>
    <n v="12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652"/>
    <s v="000403217"/>
    <s v="N社（Ｎ）"/>
    <s v="東京メトロ向け"/>
    <s v="仮品番"/>
    <s v="V9-BH"/>
    <s v="YB-LA001"/>
    <s v="5685000-1"/>
    <s v="単体"/>
    <n v="0"/>
    <m/>
    <n v="30"/>
    <m/>
    <d v="2026-10-01T00:00:00"/>
    <d v="2026-09-30T00:00:00"/>
    <d v="2026-10-01T00:00:00"/>
    <m/>
    <m/>
    <s v="YB-LA001"/>
    <m/>
    <s v="V9"/>
    <x v="7"/>
    <n v="1837"/>
    <m/>
    <m/>
    <m/>
    <n v="1190"/>
    <m/>
    <n v="12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30"/>
    <n v="30"/>
    <n v="30"/>
    <n v="30"/>
    <n v="30"/>
    <n v="30"/>
    <n v="30"/>
    <n v="30"/>
  </r>
  <r>
    <n v="729"/>
    <s v="000401027"/>
    <s v="先行生産"/>
    <m/>
    <s v="YB-LA001"/>
    <s v="V9-BH　計画生産"/>
    <s v="YB-LA001"/>
    <s v="5685000-1"/>
    <s v="単体"/>
    <n v="0"/>
    <m/>
    <n v="28"/>
    <m/>
    <d v="2026-10-05T00:00:00"/>
    <d v="2026-10-02T00:00:00"/>
    <d v="2026-10-05T00:00:00"/>
    <m/>
    <m/>
    <s v="YB-LA001"/>
    <m/>
    <s v="V9"/>
    <x v="7"/>
    <n v="1838"/>
    <m/>
    <m/>
    <m/>
    <n v="1191"/>
    <m/>
    <n v="12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n v="28"/>
    <n v="28"/>
    <n v="28"/>
    <n v="28"/>
    <n v="28"/>
    <n v="28"/>
    <n v="28"/>
  </r>
  <r>
    <n v="730"/>
    <s v="000401028"/>
    <s v="先行生産"/>
    <m/>
    <s v="YB-LA001"/>
    <s v="V9-BH　計画生産"/>
    <s v="YB-LA001"/>
    <s v="5685000-1"/>
    <s v="単体"/>
    <n v="0"/>
    <m/>
    <n v="27"/>
    <m/>
    <d v="2026-10-13T00:00:00"/>
    <d v="2026-10-12T00:00:00"/>
    <d v="2026-10-13T00:00:00"/>
    <m/>
    <m/>
    <s v="YB-LA001"/>
    <m/>
    <s v="V9"/>
    <x v="7"/>
    <n v="1839"/>
    <m/>
    <m/>
    <m/>
    <n v="1192"/>
    <m/>
    <n v="12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731"/>
    <s v="000401029"/>
    <s v="先行生産"/>
    <m/>
    <s v="YB-LA001"/>
    <s v="V9-BH　計画生産"/>
    <s v="YB-LA001"/>
    <s v="5685000-1"/>
    <s v="単体"/>
    <n v="0"/>
    <m/>
    <n v="27"/>
    <m/>
    <d v="2026-10-19T00:00:00"/>
    <d v="2026-10-16T00:00:00"/>
    <d v="2026-10-19T00:00:00"/>
    <m/>
    <m/>
    <s v="YB-LA001"/>
    <m/>
    <s v="V9"/>
    <x v="7"/>
    <n v="1840"/>
    <m/>
    <m/>
    <m/>
    <n v="1193"/>
    <m/>
    <n v="12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7"/>
    <n v="27"/>
    <n v="27"/>
    <n v="27"/>
    <n v="27"/>
    <n v="27"/>
    <n v="27"/>
    <n v="27"/>
  </r>
  <r>
    <n v="732"/>
    <s v="000389422"/>
    <s v="先行生産"/>
    <m/>
    <s v="YB-LA001"/>
    <s v="V9-BH　計画生産"/>
    <s v="YB-LA001"/>
    <s v="5685000-1"/>
    <s v="単体"/>
    <n v="0"/>
    <m/>
    <n v="23"/>
    <m/>
    <d v="2026-10-26T00:00:00"/>
    <d v="2026-10-23T00:00:00"/>
    <d v="2026-10-26T00:00:00"/>
    <m/>
    <m/>
    <s v="YB-LA001"/>
    <m/>
    <s v="V9"/>
    <x v="7"/>
    <n v="1841"/>
    <m/>
    <m/>
    <m/>
    <n v="1194"/>
    <m/>
    <n v="12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n v="23"/>
    <n v="23"/>
    <n v="23"/>
    <n v="23"/>
    <n v="23"/>
    <n v="23"/>
    <n v="23"/>
  </r>
  <r>
    <n v="733"/>
    <s v="000397610"/>
    <s v="JRS"/>
    <m/>
    <s v="YB-LA002"/>
    <s v="V9-BH"/>
    <s v="YB-LA002"/>
    <s v="3655124-5"/>
    <s v="単体"/>
    <n v="1"/>
    <m/>
    <n v="25"/>
    <m/>
    <d v="2026-11-02T00:00:00"/>
    <d v="2026-10-30T00:00:00"/>
    <d v="2026-11-02T00:00:00"/>
    <m/>
    <m/>
    <s v="YB-LA002"/>
    <m/>
    <s v="V9"/>
    <x v="8"/>
    <n v="1842"/>
    <m/>
    <m/>
    <m/>
    <m/>
    <n v="651"/>
    <m/>
    <n v="59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25"/>
    <n v="25"/>
    <n v="0"/>
  </r>
  <r>
    <n v="734"/>
    <s v="000403218"/>
    <s v="N社（Ｎ）"/>
    <s v="東京メトロ向け"/>
    <s v="仮品番"/>
    <s v="V9-BH"/>
    <s v="YB-LA001"/>
    <s v="5685000-1"/>
    <s v="単体"/>
    <n v="0"/>
    <m/>
    <n v="7"/>
    <m/>
    <d v="2026-11-02T00:00:00"/>
    <d v="2026-10-30T00:00:00"/>
    <d v="2026-11-02T00:00:00"/>
    <m/>
    <m/>
    <s v="YB-LA001"/>
    <m/>
    <s v="V9"/>
    <x v="8"/>
    <n v="1843"/>
    <m/>
    <m/>
    <m/>
    <n v="1195"/>
    <m/>
    <n v="12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7"/>
    <n v="7"/>
    <n v="7"/>
    <n v="7"/>
    <n v="7"/>
    <n v="7"/>
    <n v="7"/>
  </r>
  <r>
    <n v="737"/>
    <s v="000403018"/>
    <s v="愛知高速"/>
    <m/>
    <s v="仮品番"/>
    <s v="V9-BH"/>
    <s v="YB-LA001"/>
    <s v="5685000-1"/>
    <s v="単体"/>
    <n v="0"/>
    <s v="*計画生産対象外"/>
    <n v="1"/>
    <m/>
    <d v="2026-11-02T00:00:00"/>
    <d v="2026-10-30T00:00:00"/>
    <d v="2026-11-02T00:00:00"/>
    <m/>
    <m/>
    <s v="YB-LA001"/>
    <m/>
    <s v="V9"/>
    <x v="8"/>
    <n v="1844"/>
    <m/>
    <m/>
    <m/>
    <n v="1196"/>
    <m/>
    <n v="12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n v="772"/>
    <s v="000401030"/>
    <s v="先行生産"/>
    <m/>
    <s v="YB-LA001"/>
    <s v="V9-BH　計画生産"/>
    <s v="YB-LA001"/>
    <s v="5685000-1"/>
    <s v="単体"/>
    <n v="0"/>
    <m/>
    <n v="23"/>
    <m/>
    <d v="2026-11-02T00:00:00"/>
    <d v="2026-10-30T00:00:00"/>
    <d v="2026-11-02T00:00:00"/>
    <m/>
    <m/>
    <s v="YB-LA001"/>
    <m/>
    <s v="V9"/>
    <x v="8"/>
    <n v="1845"/>
    <m/>
    <m/>
    <m/>
    <n v="1197"/>
    <m/>
    <n v="12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n v="23"/>
    <n v="23"/>
    <n v="23"/>
    <n v="23"/>
    <n v="23"/>
    <n v="23"/>
    <n v="23"/>
  </r>
  <r>
    <n v="777"/>
    <s v="000401031"/>
    <s v="先行生産"/>
    <m/>
    <s v="YB-LA001"/>
    <s v="V9-BH　計画生産"/>
    <s v="YB-LA001"/>
    <s v="5685000-1"/>
    <s v="単体"/>
    <n v="0"/>
    <m/>
    <n v="22"/>
    <m/>
    <d v="2026-11-10T00:00:00"/>
    <d v="2026-11-09T00:00:00"/>
    <d v="2026-11-10T00:00:00"/>
    <m/>
    <m/>
    <s v="YB-LA001"/>
    <m/>
    <s v="V9"/>
    <x v="8"/>
    <n v="1846"/>
    <m/>
    <m/>
    <m/>
    <n v="1198"/>
    <m/>
    <n v="12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22"/>
    <n v="22"/>
    <n v="22"/>
    <n v="22"/>
    <n v="22"/>
    <n v="22"/>
    <n v="22"/>
  </r>
  <r>
    <n v="778"/>
    <s v="000401032"/>
    <s v="先行生産"/>
    <m/>
    <s v="YB-LA001"/>
    <s v="V9-BH　計画生産"/>
    <s v="YB-LA001"/>
    <s v="5685000-1"/>
    <s v="単体"/>
    <n v="0"/>
    <m/>
    <n v="22"/>
    <m/>
    <d v="2026-11-16T00:00:00"/>
    <d v="2026-11-13T00:00:00"/>
    <d v="2026-11-16T00:00:00"/>
    <m/>
    <m/>
    <s v="YB-LA001"/>
    <m/>
    <s v="V9"/>
    <x v="8"/>
    <n v="1847"/>
    <m/>
    <m/>
    <m/>
    <n v="1199"/>
    <m/>
    <n v="12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22"/>
    <n v="22"/>
    <n v="22"/>
    <n v="22"/>
    <n v="22"/>
    <n v="22"/>
    <n v="22"/>
  </r>
  <r>
    <n v="779"/>
    <s v="000389420"/>
    <s v="先行生産"/>
    <m/>
    <s v="YB-LA001"/>
    <s v="V9-BH　計画生産"/>
    <s v="YB-LA001"/>
    <s v="5685000-1"/>
    <s v="単体"/>
    <n v="0"/>
    <m/>
    <n v="23"/>
    <m/>
    <d v="2026-11-24T00:00:00"/>
    <d v="2026-11-23T00:00:00"/>
    <d v="2026-11-24T00:00:00"/>
    <m/>
    <m/>
    <s v="YB-LA001"/>
    <m/>
    <s v="V9"/>
    <x v="8"/>
    <n v="1848"/>
    <m/>
    <m/>
    <m/>
    <n v="1200"/>
    <m/>
    <n v="12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n v="23"/>
    <n v="23"/>
    <n v="23"/>
    <n v="23"/>
    <n v="23"/>
    <n v="23"/>
    <n v="23"/>
  </r>
  <r>
    <n v="784"/>
    <s v="000403015"/>
    <s v="M社（Ｎ）"/>
    <m/>
    <s v="仮品番"/>
    <s v="V9-BH"/>
    <s v="YB-LA001"/>
    <s v="5685000-1"/>
    <s v="単体"/>
    <n v="0"/>
    <s v="*計画生産対象外"/>
    <n v="8"/>
    <m/>
    <d v="2026-12-01T00:00:00"/>
    <d v="2026-11-30T00:00:00"/>
    <d v="2026-12-01T00:00:00"/>
    <m/>
    <m/>
    <s v="YB-LA001"/>
    <m/>
    <s v="V9"/>
    <x v="9"/>
    <n v="1849"/>
    <m/>
    <m/>
    <m/>
    <n v="1201"/>
    <m/>
    <n v="12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8"/>
    <n v="8"/>
    <n v="8"/>
    <n v="8"/>
    <n v="8"/>
    <n v="8"/>
    <n v="8"/>
  </r>
  <r>
    <n v="805"/>
    <s v="000401033"/>
    <s v="先行生産"/>
    <m/>
    <s v="YB-LA001"/>
    <s v="V9-BH　計画生産"/>
    <s v="YB-LA001"/>
    <s v="5685000-1"/>
    <s v="単体"/>
    <n v="0"/>
    <m/>
    <n v="23"/>
    <m/>
    <d v="2026-12-01T00:00:00"/>
    <d v="2026-11-30T00:00:00"/>
    <d v="2026-12-01T00:00:00"/>
    <m/>
    <m/>
    <s v="YB-LA001"/>
    <m/>
    <s v="V9"/>
    <x v="9"/>
    <n v="1850"/>
    <m/>
    <m/>
    <m/>
    <n v="1202"/>
    <m/>
    <n v="12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n v="23"/>
    <n v="23"/>
    <n v="23"/>
    <n v="23"/>
    <n v="23"/>
    <n v="23"/>
    <n v="23"/>
  </r>
  <r>
    <n v="806"/>
    <s v="000401034"/>
    <s v="先行生産"/>
    <m/>
    <s v="YB-LA001"/>
    <s v="V9-BH　計画生産"/>
    <s v="YB-LA001"/>
    <s v="5685000-1"/>
    <s v="単体"/>
    <n v="0"/>
    <m/>
    <n v="22"/>
    <m/>
    <d v="2026-12-08T00:00:00"/>
    <d v="2026-12-07T00:00:00"/>
    <d v="2026-12-08T00:00:00"/>
    <m/>
    <m/>
    <s v="YB-LA001"/>
    <m/>
    <s v="V9"/>
    <x v="9"/>
    <n v="1851"/>
    <m/>
    <m/>
    <m/>
    <n v="1203"/>
    <m/>
    <n v="12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22"/>
    <n v="22"/>
    <n v="22"/>
    <n v="22"/>
    <n v="22"/>
    <n v="22"/>
    <n v="22"/>
  </r>
  <r>
    <n v="807"/>
    <s v="000401035"/>
    <s v="先行生産"/>
    <m/>
    <s v="YB-LA001"/>
    <s v="V9-BH　計画生産"/>
    <s v="YB-LA001"/>
    <s v="5685000-1"/>
    <s v="単体"/>
    <n v="0"/>
    <m/>
    <n v="22"/>
    <m/>
    <d v="2026-12-15T00:00:00"/>
    <d v="2026-12-14T00:00:00"/>
    <d v="2026-12-15T00:00:00"/>
    <m/>
    <m/>
    <s v="YB-LA001"/>
    <m/>
    <s v="V9"/>
    <x v="9"/>
    <n v="1852"/>
    <m/>
    <m/>
    <m/>
    <n v="1204"/>
    <m/>
    <n v="12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22"/>
    <n v="22"/>
    <n v="22"/>
    <n v="22"/>
    <n v="22"/>
    <n v="22"/>
    <n v="22"/>
  </r>
  <r>
    <n v="808"/>
    <s v="000389429"/>
    <s v="先行生産"/>
    <m/>
    <s v="YB-LA001"/>
    <s v="V9-BH　計画生産"/>
    <s v="YB-LA001"/>
    <s v="5685000-1"/>
    <s v="単体"/>
    <n v="0"/>
    <m/>
    <n v="20"/>
    <m/>
    <d v="2026-12-24T00:00:00"/>
    <d v="2026-12-23T00:00:00"/>
    <d v="2026-12-24T00:00:00"/>
    <m/>
    <m/>
    <s v="YB-LA001"/>
    <m/>
    <s v="V9"/>
    <x v="9"/>
    <n v="1853"/>
    <m/>
    <m/>
    <m/>
    <n v="1205"/>
    <m/>
    <n v="12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20"/>
    <n v="20"/>
    <n v="20"/>
    <n v="20"/>
    <n v="20"/>
    <n v="20"/>
    <n v="20"/>
  </r>
  <r>
    <n v="835"/>
    <s v="000401036"/>
    <s v="先行生産"/>
    <m/>
    <s v="YB-LA001"/>
    <s v="V9-BH　計画生産"/>
    <s v="YB-LA001"/>
    <s v="5685000-1"/>
    <s v="単体"/>
    <n v="0"/>
    <m/>
    <n v="20"/>
    <m/>
    <d v="2027-01-04T00:00:00"/>
    <d v="2027-01-01T00:00:00"/>
    <d v="2027-01-04T00:00:00"/>
    <m/>
    <m/>
    <s v="YB-LA001"/>
    <m/>
    <s v="V9"/>
    <x v="10"/>
    <n v="1854"/>
    <m/>
    <m/>
    <m/>
    <n v="1206"/>
    <m/>
    <n v="12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20"/>
    <n v="20"/>
    <n v="20"/>
    <n v="20"/>
    <n v="20"/>
    <n v="20"/>
    <n v="20"/>
  </r>
  <r>
    <n v="838"/>
    <s v="000403017"/>
    <s v="M社（Ｎ）"/>
    <m/>
    <s v="仮品番"/>
    <s v="V9-BH"/>
    <s v="YB-LA001"/>
    <s v="5685000-1"/>
    <s v="単体"/>
    <n v="0"/>
    <s v="*計画生産対象外"/>
    <n v="2"/>
    <m/>
    <d v="2027-01-12T00:00:00"/>
    <d v="2027-01-11T00:00:00"/>
    <d v="2027-01-12T00:00:00"/>
    <m/>
    <m/>
    <s v="YB-LA001"/>
    <m/>
    <s v="V9"/>
    <x v="10"/>
    <n v="1855"/>
    <m/>
    <m/>
    <m/>
    <n v="1207"/>
    <m/>
    <n v="12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2"/>
    <n v="2"/>
    <n v="2"/>
  </r>
  <r>
    <n v="839"/>
    <s v="000401037"/>
    <s v="先行生産"/>
    <m/>
    <s v="YB-LA001"/>
    <s v="V9-BH　計画生産"/>
    <s v="YB-LA001"/>
    <s v="5685000-1"/>
    <s v="単体"/>
    <n v="0"/>
    <m/>
    <n v="20"/>
    <m/>
    <d v="2027-01-12T00:00:00"/>
    <d v="2027-01-11T00:00:00"/>
    <d v="2027-01-12T00:00:00"/>
    <m/>
    <m/>
    <s v="YB-LA001"/>
    <m/>
    <s v="V9"/>
    <x v="10"/>
    <n v="1856"/>
    <m/>
    <m/>
    <m/>
    <n v="1208"/>
    <m/>
    <n v="12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20"/>
    <n v="20"/>
    <n v="20"/>
    <n v="20"/>
    <n v="20"/>
    <n v="20"/>
    <n v="20"/>
  </r>
  <r>
    <n v="840"/>
    <s v="000401038"/>
    <s v="先行生産"/>
    <m/>
    <s v="YB-LA001"/>
    <s v="V9-BH　計画生産"/>
    <s v="YB-LA001"/>
    <s v="5685000-1"/>
    <s v="単体"/>
    <n v="0"/>
    <m/>
    <n v="20"/>
    <m/>
    <d v="2027-01-18T00:00:00"/>
    <d v="2027-01-15T00:00:00"/>
    <d v="2027-01-18T00:00:00"/>
    <m/>
    <m/>
    <s v="YB-LA001"/>
    <m/>
    <s v="V9"/>
    <x v="10"/>
    <n v="1857"/>
    <m/>
    <m/>
    <m/>
    <n v="1209"/>
    <m/>
    <n v="12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20"/>
    <n v="20"/>
    <n v="20"/>
    <n v="20"/>
    <n v="20"/>
    <n v="20"/>
    <n v="20"/>
  </r>
  <r>
    <n v="841"/>
    <s v="000389431"/>
    <s v="先行生産"/>
    <m/>
    <s v="YB-LA001"/>
    <s v="V9-BH　計画生産"/>
    <s v="YB-LA001"/>
    <s v="5685000-1"/>
    <s v="単体"/>
    <n v="0"/>
    <m/>
    <n v="12"/>
    <m/>
    <d v="2027-01-26T00:00:00"/>
    <d v="2027-01-25T00:00:00"/>
    <d v="2027-01-26T00:00:00"/>
    <m/>
    <m/>
    <s v="YB-LA001"/>
    <m/>
    <s v="V9"/>
    <x v="10"/>
    <n v="1858"/>
    <m/>
    <m/>
    <m/>
    <n v="1210"/>
    <m/>
    <n v="12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12"/>
    <n v="12"/>
    <n v="12"/>
    <n v="12"/>
    <n v="12"/>
    <n v="12"/>
    <n v="12"/>
  </r>
  <r>
    <n v="842"/>
    <s v="000397624"/>
    <s v="JRS"/>
    <m/>
    <s v="YB-LA002"/>
    <s v="V9-BH"/>
    <s v="YB-LA002"/>
    <s v="3655124-5"/>
    <s v="単体"/>
    <n v="1"/>
    <m/>
    <n v="25"/>
    <m/>
    <d v="2027-02-01T00:00:00"/>
    <d v="2027-01-29T00:00:00"/>
    <d v="2027-02-01T00:00:00"/>
    <m/>
    <m/>
    <s v="YB-LA002"/>
    <m/>
    <s v="V9"/>
    <x v="11"/>
    <n v="1859"/>
    <m/>
    <m/>
    <m/>
    <m/>
    <n v="652"/>
    <m/>
    <n v="59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25"/>
    <n v="25"/>
    <n v="0"/>
  </r>
  <r>
    <n v="843"/>
    <s v="000403016"/>
    <s v="M社（Ｎ）"/>
    <m/>
    <s v="仮品番"/>
    <s v="V9-BH"/>
    <s v="YB-LA001"/>
    <s v="5685000-1"/>
    <s v="単体"/>
    <n v="0"/>
    <s v="*計画生産対象外"/>
    <n v="34"/>
    <m/>
    <d v="2027-02-01T00:00:00"/>
    <d v="2027-01-29T00:00:00"/>
    <d v="2027-02-01T00:00:00"/>
    <m/>
    <m/>
    <s v="YB-LA001"/>
    <m/>
    <s v="V9"/>
    <x v="11"/>
    <n v="1860"/>
    <m/>
    <m/>
    <m/>
    <n v="1211"/>
    <m/>
    <n v="12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4"/>
    <n v="34"/>
    <n v="34"/>
    <n v="34"/>
    <n v="34"/>
    <n v="34"/>
    <n v="34"/>
    <n v="34"/>
  </r>
  <r>
    <n v="848"/>
    <s v="000401039"/>
    <s v="先行生産"/>
    <m/>
    <s v="YB-LA001"/>
    <s v="V9-BH　計画生産"/>
    <s v="YB-LA001"/>
    <s v="5685000-1"/>
    <s v="単体"/>
    <n v="0"/>
    <m/>
    <n v="10"/>
    <m/>
    <d v="2027-02-01T00:00:00"/>
    <d v="2027-01-29T00:00:00"/>
    <d v="2027-02-01T00:00:00"/>
    <m/>
    <m/>
    <s v="YB-LA001"/>
    <m/>
    <s v="V9"/>
    <x v="11"/>
    <n v="1861"/>
    <m/>
    <m/>
    <m/>
    <n v="1212"/>
    <m/>
    <n v="12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10"/>
    <n v="10"/>
    <n v="10"/>
  </r>
  <r>
    <n v="849"/>
    <s v="000401040"/>
    <s v="先行生産"/>
    <m/>
    <s v="YB-LA001"/>
    <s v="V9-BH　計画生産"/>
    <s v="YB-LA001"/>
    <s v="5685000-1"/>
    <s v="単体"/>
    <n v="0"/>
    <m/>
    <n v="11"/>
    <m/>
    <d v="2027-02-08T00:00:00"/>
    <d v="2027-02-05T00:00:00"/>
    <d v="2027-02-08T00:00:00"/>
    <m/>
    <m/>
    <s v="YB-LA001"/>
    <m/>
    <s v="V9"/>
    <x v="11"/>
    <n v="1862"/>
    <m/>
    <m/>
    <m/>
    <n v="1213"/>
    <m/>
    <n v="12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11"/>
    <n v="11"/>
    <n v="11"/>
    <n v="11"/>
    <n v="11"/>
    <n v="11"/>
    <n v="11"/>
  </r>
  <r>
    <n v="850"/>
    <s v="000401041"/>
    <s v="先行生産"/>
    <m/>
    <s v="YB-LA001"/>
    <s v="V9-BH　計画生産"/>
    <s v="YB-LA001"/>
    <s v="5685000-1"/>
    <s v="単体"/>
    <n v="0"/>
    <m/>
    <n v="7"/>
    <m/>
    <d v="2027-02-12T00:00:00"/>
    <d v="2027-02-11T00:00:00"/>
    <d v="2027-02-12T00:00:00"/>
    <m/>
    <m/>
    <s v="YB-LA001"/>
    <m/>
    <s v="V9"/>
    <x v="11"/>
    <n v="1863"/>
    <m/>
    <m/>
    <m/>
    <n v="1214"/>
    <m/>
    <n v="12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7"/>
    <n v="7"/>
    <n v="7"/>
    <n v="7"/>
    <n v="7"/>
    <n v="7"/>
    <n v="7"/>
  </r>
  <r>
    <n v="851"/>
    <s v="000397487"/>
    <s v="先行生産"/>
    <m/>
    <s v="YB-LA001"/>
    <s v="V9-BH　計画生産"/>
    <s v="YB-LA001"/>
    <s v="5685000-1"/>
    <s v="単体"/>
    <n v="0"/>
    <m/>
    <n v="5"/>
    <m/>
    <d v="2027-02-22T00:00:00"/>
    <d v="2027-02-19T00:00:00"/>
    <d v="2027-02-22T00:00:00"/>
    <m/>
    <m/>
    <s v="YB-LA001"/>
    <m/>
    <s v="V9"/>
    <x v="11"/>
    <n v="1864"/>
    <m/>
    <m/>
    <m/>
    <n v="1215"/>
    <m/>
    <n v="12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</r>
  <r>
    <n v="855"/>
    <s v="000401042"/>
    <s v="先行生産"/>
    <m/>
    <s v="YB-LA001"/>
    <s v="V9-BH　計画生産"/>
    <s v="YB-LA001"/>
    <s v="5685000-1"/>
    <s v="単体"/>
    <n v="0"/>
    <m/>
    <n v="5"/>
    <m/>
    <d v="2027-03-02T00:00:00"/>
    <d v="2027-03-01T00:00:00"/>
    <d v="2027-03-02T00:00:00"/>
    <m/>
    <m/>
    <s v="YB-LA001"/>
    <m/>
    <s v="V9"/>
    <x v="12"/>
    <n v="1865"/>
    <m/>
    <m/>
    <m/>
    <n v="1216"/>
    <m/>
    <n v="12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</r>
  <r>
    <n v="5"/>
    <s v="000398422"/>
    <s v="JRMS"/>
    <s v="ﾊﾝｿｳﾌﾞ"/>
    <s v="VUS-LAA101"/>
    <s v="メンテ部材（検査有）"/>
    <s v="VUS-LAA101"/>
    <s v="0184429-0"/>
    <s v="ﾒﾝﾃ"/>
    <n v="0"/>
    <m/>
    <n v="2"/>
    <d v="2026-02-10T00:00:00"/>
    <d v="2026-03-10T00:00:00"/>
    <d v="2026-03-10T00:00:00"/>
    <d v="2026-03-10T00:00:00"/>
    <s v="OK"/>
    <s v="MB-08266"/>
    <s v="LAA101"/>
    <n v="2"/>
    <s v="ﾒﾝﾃV8"/>
    <x v="0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"/>
    <s v="000402722"/>
    <s v="N社（Ｔ）"/>
    <s v="日本信号　BH鍵取付部材"/>
    <s v="VUS-LCC001"/>
    <s v="メンテ組立（検査有）"/>
    <s v="VUS-LCC001"/>
    <s v="1868739-3"/>
    <s v="ﾒﾝﾃ"/>
    <n v="0"/>
    <m/>
    <n v="17"/>
    <m/>
    <d v="2026-09-11T00:00:00"/>
    <d v="2026-09-11T00:00:00"/>
    <d v="2026-09-11T00:00:00"/>
    <s v="NG"/>
    <m/>
    <s v="LCC001"/>
    <n v="0"/>
    <s v="ﾒﾝﾃV8"/>
    <x v="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  <n v="0"/>
    <n v="0"/>
    <n v="0"/>
    <n v="0"/>
  </r>
  <r>
    <n v="16"/>
    <s v="000402721"/>
    <s v="N社（Ｔ）"/>
    <s v="日本信号　BH鍵取付部材"/>
    <s v="VUS-LCD001"/>
    <s v="メンテ組立（検査有）"/>
    <s v="VUS-LCD001"/>
    <s v="1868740-7"/>
    <s v="ﾒﾝﾃ"/>
    <n v="0"/>
    <m/>
    <n v="17"/>
    <m/>
    <d v="2026-09-11T00:00:00"/>
    <d v="2026-09-11T00:00:00"/>
    <d v="2026-09-11T00:00:00"/>
    <s v="NG"/>
    <m/>
    <s v="LCD001"/>
    <n v="0"/>
    <s v="ﾒﾝﾃV8"/>
    <x v="6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</r>
  <r>
    <n v="1"/>
    <s v="000394042"/>
    <s v="京市交"/>
    <s v="10000ｴﾝﾌﾞ"/>
    <s v="VUS-LAC001"/>
    <s v="メンテ部材（検査有）"/>
    <s v="VUS-LAC001"/>
    <s v="1868741-5"/>
    <s v="ﾒﾝﾃ"/>
    <n v="0"/>
    <m/>
    <n v="2"/>
    <m/>
    <d v="2026-02-16T00:00:00"/>
    <d v="2026-02-16T00:00:00"/>
    <d v="2026-02-16T00:00:00"/>
    <s v="NG"/>
    <m/>
    <s v="LAC001"/>
    <n v="0"/>
    <s v="ﾒﾝﾃV8"/>
    <x v="1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"/>
    <s v="000396346"/>
    <s v="JREM"/>
    <s v="天王洲アイル駅"/>
    <s v="中央口"/>
    <s v="メンテ部材（検査有）"/>
    <s v="VUS-LCN001"/>
    <s v="1876244-1"/>
    <s v="ﾒﾝﾃ"/>
    <n v="0"/>
    <m/>
    <n v="1"/>
    <d v="2026-02-26T00:00:00"/>
    <d v="2026-03-26T00:00:00"/>
    <d v="2026-03-26T00:00:00"/>
    <d v="2026-03-26T00:00:00"/>
    <s v="OK"/>
    <s v="MB-08319"/>
    <s v="LCN001"/>
    <n v="1"/>
    <s v="ﾒﾝﾃV8"/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"/>
    <s v="000396349"/>
    <s v="JREM"/>
    <s v="天空橋駅"/>
    <s v="本屋口"/>
    <s v="メンテ部材（検査有）"/>
    <s v="VUS-LCN001"/>
    <s v="1876244-1"/>
    <s v="ﾒﾝﾃ"/>
    <n v="0"/>
    <m/>
    <n v="1"/>
    <d v="2026-02-26T00:00:00"/>
    <d v="2026-03-26T00:00:00"/>
    <d v="2026-03-26T00:00:00"/>
    <d v="2026-03-26T00:00:00"/>
    <s v="OK"/>
    <s v="MB-08320"/>
    <s v="LCN001"/>
    <n v="1"/>
    <s v="ﾒﾝﾃV8"/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"/>
    <s v="000396352"/>
    <s v="JREM"/>
    <s v="羽田空港第１ターミナル駅"/>
    <s v="南口"/>
    <s v="メンテ組立（検査有）"/>
    <s v="VUS-LCN001"/>
    <s v="1876244-1"/>
    <s v="ﾒﾝﾃ"/>
    <n v="1"/>
    <m/>
    <n v="1"/>
    <d v="2026-03-17T00:00:00"/>
    <d v="2026-04-15T00:00:00"/>
    <d v="2026-04-15T00:00:00"/>
    <d v="2026-04-15T00:00:00"/>
    <s v="OK"/>
    <m/>
    <s v="LCN001"/>
    <n v="1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"/>
    <s v="000397016"/>
    <s v="JRMS"/>
    <s v="ﾂﾘｼﾍｲ ﾎﾘﾕｳﾌﾞ"/>
    <s v="VUS-LAG001"/>
    <s v="メンテ部材（検査有）"/>
    <s v="VUS-LAG001"/>
    <s v="1876278-6"/>
    <s v="ﾒﾝﾃ"/>
    <n v="0"/>
    <m/>
    <n v="2"/>
    <d v="2026-02-03T00:00:00"/>
    <d v="2026-03-03T00:00:00"/>
    <d v="2026-03-03T00:00:00"/>
    <d v="2026-03-03T00:00:00"/>
    <s v="OK"/>
    <s v="MB-08254"/>
    <s v="LAG001"/>
    <n v="2"/>
    <s v="ﾒﾝﾃV8"/>
    <x v="0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"/>
    <s v="000396344"/>
    <s v="JREM"/>
    <s v="天王洲アイル駅"/>
    <s v="中央口"/>
    <s v="メンテ部材（検査有）"/>
    <s v="VUS-LCD002"/>
    <s v="5343349-3"/>
    <s v="ﾒﾝﾃ"/>
    <n v="0"/>
    <m/>
    <n v="1"/>
    <d v="2026-02-26T00:00:00"/>
    <d v="2026-03-26T00:00:00"/>
    <d v="2026-03-26T00:00:00"/>
    <d v="2026-03-26T00:00:00"/>
    <s v="OK"/>
    <s v="MB-08317"/>
    <s v="LCD002"/>
    <n v="1"/>
    <s v="ﾒﾝﾃV8"/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9"/>
    <s v="000396347"/>
    <s v="JREM"/>
    <s v="天空橋駅"/>
    <s v="本屋口"/>
    <s v="メンテ部材（検査有）"/>
    <s v="VUS-LCD002"/>
    <s v="5343349-3"/>
    <s v="ﾒﾝﾃ"/>
    <n v="0"/>
    <m/>
    <n v="1"/>
    <d v="2026-02-26T00:00:00"/>
    <d v="2026-03-26T00:00:00"/>
    <d v="2026-03-26T00:00:00"/>
    <d v="2026-03-26T00:00:00"/>
    <s v="OK"/>
    <s v="MB-08321"/>
    <s v="LCD002"/>
    <n v="1"/>
    <s v="ﾒﾝﾃV8"/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12"/>
    <s v="000396350"/>
    <s v="JREM"/>
    <s v="羽田空港第１ターミナル駅"/>
    <s v="南口"/>
    <s v="メンテ組立（検査有）"/>
    <s v="VUS-LCD002"/>
    <s v="5343349-3"/>
    <s v="ﾒﾝﾃ"/>
    <n v="1"/>
    <m/>
    <n v="1"/>
    <d v="2026-03-17T00:00:00"/>
    <d v="2026-04-15T00:00:00"/>
    <d v="2026-04-15T00:00:00"/>
    <d v="2026-04-15T00:00:00"/>
    <s v="OK"/>
    <m/>
    <s v="LCD002"/>
    <n v="1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n v="6"/>
    <s v="000396345"/>
    <s v="JREM"/>
    <s v="天王洲アイル駅"/>
    <s v="中央口"/>
    <s v="メンテ部材（検査有）"/>
    <s v="VUS-LCC002"/>
    <s v="5343350-7"/>
    <s v="ﾒﾝﾃ"/>
    <n v="0"/>
    <m/>
    <n v="1"/>
    <d v="2026-02-26T00:00:00"/>
    <d v="2026-03-26T00:00:00"/>
    <d v="2026-03-26T00:00:00"/>
    <d v="2026-03-26T00:00:00"/>
    <s v="OK"/>
    <s v="MB-08318"/>
    <s v="LCC002"/>
    <n v="1"/>
    <s v="ﾒﾝﾃV8"/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n v="10"/>
    <s v="000396348"/>
    <s v="JREM"/>
    <s v="天空橋駅"/>
    <s v="本屋口"/>
    <s v="メンテ部材（検査有）"/>
    <s v="VUS-LCC002"/>
    <s v="5343350-7"/>
    <s v="ﾒﾝﾃ"/>
    <n v="0"/>
    <m/>
    <n v="1"/>
    <d v="2026-02-26T00:00:00"/>
    <d v="2026-03-26T00:00:00"/>
    <d v="2026-03-26T00:00:00"/>
    <d v="2026-03-26T00:00:00"/>
    <s v="OK"/>
    <s v="MB-08322"/>
    <s v="LCC002"/>
    <n v="1"/>
    <s v="ﾒﾝﾃV8"/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n v="14"/>
    <s v="000396351"/>
    <s v="JREM"/>
    <s v="羽田空港第１ターミナル駅"/>
    <s v="南口"/>
    <s v="メンテ組立（検査有）"/>
    <s v="VUS-LCC002"/>
    <s v="5343350-7"/>
    <s v="ﾒﾝﾃ"/>
    <n v="1"/>
    <m/>
    <n v="1"/>
    <d v="2026-03-17T00:00:00"/>
    <d v="2026-04-15T00:00:00"/>
    <d v="2026-04-15T00:00:00"/>
    <d v="2026-04-15T00:00:00"/>
    <s v="OK"/>
    <m/>
    <s v="LCC002"/>
    <n v="1"/>
    <s v="ﾒﾝﾃV8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n v="1"/>
    <s v="000402775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4-01T00:00:00"/>
    <d v="2026-04-01T00:00:00"/>
    <d v="2026-04-01T00:00:00"/>
    <s v="OK"/>
    <s v="MB-08333"/>
    <s v="LAC001"/>
    <n v="5"/>
    <s v="ﾒﾝﾃV9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2"/>
    <s v="000403049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4-15T00:00:00"/>
    <d v="2026-04-15T00:00:00"/>
    <d v="2026-04-15T00:00:00"/>
    <s v="OK"/>
    <s v="MB-08334"/>
    <s v="LAC001"/>
    <n v="5"/>
    <s v="ﾒﾝﾃV9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3"/>
    <s v="000403524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4-16T00:00:00"/>
    <d v="2026-04-16T00:00:00"/>
    <d v="2026-04-16T00:00:00"/>
    <s v="OK"/>
    <s v="MB-08335"/>
    <s v="LAC001"/>
    <n v="5"/>
    <s v="ﾒﾝﾃV9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4"/>
    <s v="000403050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4-22T00:00:00"/>
    <d v="2026-04-22T00:00:00"/>
    <d v="2026-04-22T00:00:00"/>
    <s v="OK"/>
    <s v="MB-08336"/>
    <s v="LAC001"/>
    <n v="5"/>
    <s v="ﾒﾝﾃV9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5"/>
    <s v="000403525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4-23T00:00:00"/>
    <d v="2026-04-23T00:00:00"/>
    <d v="2026-04-23T00:00:00"/>
    <s v="OK"/>
    <s v="MB-08337"/>
    <s v="LAC001"/>
    <n v="5"/>
    <s v="ﾒﾝﾃV9"/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6"/>
    <s v="000403047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5-18T00:00:00"/>
    <d v="2026-05-18T00:00:00"/>
    <d v="2026-05-18T00:00:00"/>
    <s v="OK"/>
    <s v="MB-08338"/>
    <s v="LAC001"/>
    <n v="5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7"/>
    <s v="000403526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5-19T00:00:00"/>
    <d v="2026-05-19T00:00:00"/>
    <d v="2026-05-19T00:00:00"/>
    <s v="OK"/>
    <s v="MB-08339"/>
    <s v="LAC001"/>
    <n v="5"/>
    <s v="ﾒﾝﾃV9"/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8"/>
    <s v="000403048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6-22T00:00:00"/>
    <d v="2026-06-22T00:00:00"/>
    <d v="2026-06-22T00:00:00"/>
    <s v="OK"/>
    <s v="MB-08340"/>
    <s v="LAC001"/>
    <n v="5"/>
    <s v="ﾒﾝﾃV9"/>
    <x v="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9"/>
    <s v="000403527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6-23T00:00:00"/>
    <d v="2026-06-23T00:00:00"/>
    <d v="2026-06-23T00:00:00"/>
    <s v="OK"/>
    <s v="MB-08341"/>
    <s v="LAC001"/>
    <n v="5"/>
    <s v="ﾒﾝﾃV9"/>
    <x v="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10"/>
    <s v="000402962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7-22T00:00:00"/>
    <d v="2026-07-22T00:00:00"/>
    <d v="2026-07-22T00:00:00"/>
    <s v="OK"/>
    <s v="MB-08342"/>
    <s v="LAC001"/>
    <n v="5"/>
    <s v="ﾒﾝﾃV9"/>
    <x v="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n v="11"/>
    <s v="000403528"/>
    <s v="沖電気工業株式会社"/>
    <s v="万円部"/>
    <s v="YBS-LAC001"/>
    <s v="メンテ部材（検査有）"/>
    <s v="YBS-LAC001"/>
    <s v="5685600-0"/>
    <s v="ﾒﾝﾃ"/>
    <n v="0"/>
    <m/>
    <n v="5"/>
    <d v="2026-03-03T00:00:00"/>
    <d v="2026-07-23T00:00:00"/>
    <d v="2026-07-23T00:00:00"/>
    <d v="2026-07-23T00:00:00"/>
    <s v="OK"/>
    <s v="MB-08343"/>
    <s v="LAC001"/>
    <n v="5"/>
    <s v="ﾒﾝﾃV9"/>
    <x v="4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ﾋﾟﾎﾞｯﾄﾃｰﾌﾞﾙ5" cacheId="17" applyNumberFormats="0" applyBorderFormats="0" applyFontFormats="0" applyPatternFormats="0" applyAlignmentFormats="0" applyWidthHeightFormats="1" dataCaption="値" updatedVersion="5" minRefreshableVersion="3" useAutoFormatting="1" itemPrintTitles="1" createdVersion="5" indent="0" outline="1" outlineData="1" multipleFieldFilters="0">
  <location ref="A3:AH19" firstHeaderRow="0" firstDataRow="1" firstDataCol="1"/>
  <pivotFields count="100">
    <pivotField numFmtId="17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9" showAll="0"/>
    <pivotField showAll="0"/>
    <pivotField numFmtId="178" showAll="0"/>
    <pivotField numFmtId="178" showAll="0"/>
    <pivotField numFmtId="178" showAll="0"/>
    <pivotField showAll="0"/>
    <pivotField showAll="0"/>
    <pivotField showAll="0"/>
    <pivotField showAll="0"/>
    <pivotField showAll="0"/>
    <pivotField axis="axisRow" showAll="0">
      <items count="1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</pivotFields>
  <rowFields count="1">
    <field x="2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</colItems>
  <dataFields count="33">
    <dataField name="合計 / LAA101Q" fld="67" baseField="0" baseItem="0"/>
    <dataField name="合計 / LAF001Q" fld="68" baseField="0" baseItem="0"/>
    <dataField name="合計 / LAF002Q" fld="69" baseField="0" baseItem="0"/>
    <dataField name="合計 / LAF003Q" fld="70" baseField="0" baseItem="0"/>
    <dataField name="合計 / LAG001Q" fld="71" baseField="0" baseItem="0"/>
    <dataField name="合計 / LAG002Q" fld="72" baseField="0" baseItem="0"/>
    <dataField name="合計 / LAE101Q" fld="73" baseField="0" baseItem="0"/>
    <dataField name="合計 / LAE102Q" fld="74" baseField="0" baseItem="0"/>
    <dataField name="合計 / LAE201Q" fld="75" baseField="0" baseItem="0"/>
    <dataField name="合計 / LBL001Q" fld="76" baseField="0" baseItem="0"/>
    <dataField name="合計 / LBL002Q" fld="77" baseField="0" baseItem="0"/>
    <dataField name="合計 / LAL001Q" fld="78" baseField="0" baseItem="0"/>
    <dataField name="合計 / LAN001Q" fld="79" baseField="0" baseItem="0"/>
    <dataField name="合計 / LAN002Q" fld="80" baseField="0" baseItem="0"/>
    <dataField name="合計 / LCN001Q" fld="81" baseField="0" baseItem="0"/>
    <dataField name="合計 / LAC001Q" fld="82" baseField="0" baseItem="0"/>
    <dataField name="合計 / LAC002Q" fld="83" baseField="0" baseItem="0"/>
    <dataField name="合計 / LCC001Q" fld="84" baseField="0" baseItem="0"/>
    <dataField name="合計 / LCC002Q" fld="85" baseField="0" baseItem="0"/>
    <dataField name="合計 / LAD001Q" fld="86" baseField="0" baseItem="0"/>
    <dataField name="合計 / LAD002Q" fld="87" baseField="0" baseItem="0"/>
    <dataField name="合計 / LCD001Q" fld="88" baseField="0" baseItem="0"/>
    <dataField name="合計 / LCD002Q" fld="89" baseField="0" baseItem="0"/>
    <dataField name="合計 / LAH001Q" fld="90" baseField="0" baseItem="0"/>
    <dataField name="合計 / 新LAA001Q" fld="91" baseField="0" baseItem="0"/>
    <dataField name="合計 / 新LAＦ001Q" fld="92" baseField="0" baseItem="0"/>
    <dataField name="合計 / 新LAＧ001Q" fld="93" baseField="0" baseItem="0"/>
    <dataField name="合計 / 新LAＥ001Q" fld="94" baseField="0" baseItem="0"/>
    <dataField name="合計 / 新LAL001Q" fld="95" baseField="0" baseItem="0"/>
    <dataField name="合計 / 新LAN001Q" fld="96" baseField="0" baseItem="0"/>
    <dataField name="合計 / 新LAC001Q" fld="97" baseField="0" baseItem="0"/>
    <dataField name="合計 / 新LAD001Q" fld="98" baseField="0" baseItem="0"/>
    <dataField name="合計 / 新LAH001Q" fld="9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36"/>
  <sheetViews>
    <sheetView zoomScale="80" zoomScaleNormal="80" workbookViewId="0">
      <pane xSplit="1" ySplit="183" topLeftCell="B187" activePane="bottomRight" state="frozen"/>
      <selection pane="topRight" activeCell="B1" sqref="B1"/>
      <selection pane="bottomLeft" activeCell="A184" sqref="A184"/>
      <selection pane="bottomRight" activeCell="E205" sqref="E205"/>
    </sheetView>
  </sheetViews>
  <sheetFormatPr defaultRowHeight="13.5" x14ac:dyDescent="0.15"/>
  <cols>
    <col min="2" max="20" width="7.625" customWidth="1"/>
    <col min="21" max="33" width="6.125" customWidth="1"/>
  </cols>
  <sheetData>
    <row r="1" spans="1:33" s="59" customFormat="1" ht="21.75" thickBot="1" x14ac:dyDescent="0.2">
      <c r="A1" s="58" t="s">
        <v>972</v>
      </c>
      <c r="N1" s="59" t="s">
        <v>837</v>
      </c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s="68" customFormat="1" ht="11.25" thickBot="1" x14ac:dyDescent="0.2">
      <c r="A2" s="61"/>
      <c r="B2" s="62"/>
      <c r="C2" s="63"/>
      <c r="D2" s="64"/>
      <c r="E2" s="64"/>
      <c r="F2" s="64"/>
      <c r="G2" s="64"/>
      <c r="H2" s="64" t="s">
        <v>838</v>
      </c>
      <c r="I2" s="64"/>
      <c r="J2" s="64"/>
      <c r="K2" s="64"/>
      <c r="L2" s="64"/>
      <c r="M2" s="64"/>
      <c r="N2" s="64"/>
      <c r="O2" s="65"/>
      <c r="P2" s="64"/>
      <c r="Q2" s="64"/>
      <c r="R2" s="66" t="s">
        <v>839</v>
      </c>
      <c r="S2" s="67" t="s">
        <v>840</v>
      </c>
      <c r="T2" s="59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1:33" s="68" customFormat="1" ht="84.75" thickBot="1" x14ac:dyDescent="0.2">
      <c r="A3" s="61"/>
      <c r="B3" s="69" t="s">
        <v>841</v>
      </c>
      <c r="C3" s="70" t="s">
        <v>842</v>
      </c>
      <c r="D3" s="71" t="s">
        <v>843</v>
      </c>
      <c r="E3" s="72" t="s">
        <v>844</v>
      </c>
      <c r="F3" s="73" t="s">
        <v>845</v>
      </c>
      <c r="G3" s="74" t="s">
        <v>846</v>
      </c>
      <c r="H3" s="75" t="s">
        <v>847</v>
      </c>
      <c r="I3" s="76" t="s">
        <v>848</v>
      </c>
      <c r="J3" s="77" t="s">
        <v>849</v>
      </c>
      <c r="K3" s="78" t="s">
        <v>850</v>
      </c>
      <c r="L3" s="79" t="s">
        <v>851</v>
      </c>
      <c r="M3" s="80" t="s">
        <v>852</v>
      </c>
      <c r="N3" s="81" t="s">
        <v>853</v>
      </c>
      <c r="O3" s="82" t="s">
        <v>854</v>
      </c>
      <c r="P3" s="83" t="s">
        <v>140</v>
      </c>
      <c r="Q3" s="84" t="s">
        <v>133</v>
      </c>
      <c r="R3" s="85" t="s">
        <v>855</v>
      </c>
      <c r="S3" s="86" t="s">
        <v>856</v>
      </c>
      <c r="T3" s="87" t="s">
        <v>857</v>
      </c>
      <c r="U3" s="88" t="s">
        <v>256</v>
      </c>
      <c r="V3" s="89" t="s">
        <v>154</v>
      </c>
      <c r="W3" s="90" t="s">
        <v>368</v>
      </c>
      <c r="X3" s="91" t="s">
        <v>350</v>
      </c>
      <c r="Y3" s="91" t="s">
        <v>275</v>
      </c>
      <c r="Z3" s="90" t="s">
        <v>395</v>
      </c>
      <c r="AA3" s="92" t="s">
        <v>323</v>
      </c>
      <c r="AB3" s="88" t="s">
        <v>149</v>
      </c>
      <c r="AC3" s="92" t="s">
        <v>199</v>
      </c>
      <c r="AD3" s="91" t="s">
        <v>286</v>
      </c>
      <c r="AE3" s="93" t="s">
        <v>162</v>
      </c>
      <c r="AF3" s="83" t="s">
        <v>140</v>
      </c>
      <c r="AG3" s="84" t="s">
        <v>133</v>
      </c>
    </row>
    <row r="4" spans="1:33" s="68" customFormat="1" ht="11.25" hidden="1" thickBot="1" x14ac:dyDescent="0.2">
      <c r="A4" s="94" t="s">
        <v>858</v>
      </c>
      <c r="B4" s="95" t="s">
        <v>859</v>
      </c>
      <c r="C4" s="96">
        <v>3</v>
      </c>
      <c r="D4" s="97">
        <v>3</v>
      </c>
      <c r="E4" s="98"/>
      <c r="F4" s="98"/>
      <c r="G4" s="98"/>
      <c r="H4" s="98"/>
      <c r="I4" s="98"/>
      <c r="J4" s="98"/>
      <c r="K4" s="99"/>
      <c r="L4" s="100">
        <v>6</v>
      </c>
      <c r="M4" s="101">
        <v>6</v>
      </c>
      <c r="N4" s="96">
        <v>6</v>
      </c>
      <c r="O4" s="99">
        <v>0</v>
      </c>
      <c r="P4" s="102"/>
      <c r="Q4" s="103"/>
      <c r="R4" s="96"/>
      <c r="S4" s="104"/>
      <c r="T4" s="105">
        <f t="shared" ref="T4:T67" si="0">L4+R4</f>
        <v>6</v>
      </c>
      <c r="U4" s="106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8"/>
    </row>
    <row r="5" spans="1:33" s="68" customFormat="1" ht="11.25" hidden="1" thickBot="1" x14ac:dyDescent="0.2">
      <c r="A5" s="109"/>
      <c r="B5" s="110" t="s">
        <v>860</v>
      </c>
      <c r="C5" s="111">
        <v>0</v>
      </c>
      <c r="D5" s="112">
        <v>51</v>
      </c>
      <c r="E5" s="113"/>
      <c r="F5" s="113"/>
      <c r="G5" s="113"/>
      <c r="H5" s="113"/>
      <c r="I5" s="113"/>
      <c r="J5" s="113"/>
      <c r="K5" s="114"/>
      <c r="L5" s="115">
        <v>51</v>
      </c>
      <c r="M5" s="116">
        <v>57</v>
      </c>
      <c r="N5" s="111">
        <v>51</v>
      </c>
      <c r="O5" s="114">
        <v>0</v>
      </c>
      <c r="P5" s="117"/>
      <c r="Q5" s="118"/>
      <c r="R5" s="111"/>
      <c r="S5" s="119"/>
      <c r="T5" s="120">
        <f t="shared" si="0"/>
        <v>51</v>
      </c>
      <c r="U5" s="106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8"/>
    </row>
    <row r="6" spans="1:33" s="68" customFormat="1" ht="11.25" hidden="1" thickBot="1" x14ac:dyDescent="0.2">
      <c r="A6" s="121"/>
      <c r="B6" s="110" t="s">
        <v>861</v>
      </c>
      <c r="C6" s="111">
        <v>7</v>
      </c>
      <c r="D6" s="112">
        <v>65</v>
      </c>
      <c r="E6" s="113"/>
      <c r="F6" s="113"/>
      <c r="G6" s="113"/>
      <c r="H6" s="113"/>
      <c r="I6" s="113"/>
      <c r="J6" s="113"/>
      <c r="K6" s="114"/>
      <c r="L6" s="115">
        <v>72</v>
      </c>
      <c r="M6" s="116">
        <v>129</v>
      </c>
      <c r="N6" s="111">
        <v>72</v>
      </c>
      <c r="O6" s="114">
        <v>0</v>
      </c>
      <c r="P6" s="117"/>
      <c r="Q6" s="118"/>
      <c r="R6" s="111"/>
      <c r="S6" s="119"/>
      <c r="T6" s="120">
        <f t="shared" si="0"/>
        <v>72</v>
      </c>
      <c r="U6" s="106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8"/>
    </row>
    <row r="7" spans="1:33" s="68" customFormat="1" ht="11.25" hidden="1" thickBot="1" x14ac:dyDescent="0.2">
      <c r="A7" s="109"/>
      <c r="B7" s="110" t="s">
        <v>862</v>
      </c>
      <c r="C7" s="111">
        <v>2</v>
      </c>
      <c r="D7" s="112">
        <v>69</v>
      </c>
      <c r="E7" s="113"/>
      <c r="F7" s="113"/>
      <c r="G7" s="113"/>
      <c r="H7" s="113"/>
      <c r="I7" s="113"/>
      <c r="J7" s="113"/>
      <c r="K7" s="114"/>
      <c r="L7" s="115">
        <v>71</v>
      </c>
      <c r="M7" s="116">
        <v>200</v>
      </c>
      <c r="N7" s="111">
        <v>71</v>
      </c>
      <c r="O7" s="114">
        <v>0</v>
      </c>
      <c r="P7" s="117"/>
      <c r="Q7" s="118"/>
      <c r="R7" s="111"/>
      <c r="S7" s="119"/>
      <c r="T7" s="120">
        <f t="shared" si="0"/>
        <v>71</v>
      </c>
      <c r="U7" s="106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8"/>
    </row>
    <row r="8" spans="1:33" s="68" customFormat="1" ht="11.25" hidden="1" thickBot="1" x14ac:dyDescent="0.2">
      <c r="A8" s="109" t="s">
        <v>863</v>
      </c>
      <c r="B8" s="110" t="s">
        <v>864</v>
      </c>
      <c r="C8" s="111">
        <v>76</v>
      </c>
      <c r="D8" s="112">
        <v>18</v>
      </c>
      <c r="E8" s="113"/>
      <c r="F8" s="113"/>
      <c r="G8" s="113"/>
      <c r="H8" s="113"/>
      <c r="I8" s="113"/>
      <c r="J8" s="113"/>
      <c r="K8" s="114"/>
      <c r="L8" s="115">
        <v>94</v>
      </c>
      <c r="M8" s="116">
        <v>294</v>
      </c>
      <c r="N8" s="111">
        <v>94</v>
      </c>
      <c r="O8" s="114">
        <v>0</v>
      </c>
      <c r="P8" s="117"/>
      <c r="Q8" s="118"/>
      <c r="R8" s="111"/>
      <c r="S8" s="119"/>
      <c r="T8" s="120">
        <f t="shared" si="0"/>
        <v>94</v>
      </c>
      <c r="U8" s="106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8"/>
    </row>
    <row r="9" spans="1:33" s="68" customFormat="1" ht="11.25" hidden="1" thickBot="1" x14ac:dyDescent="0.2">
      <c r="A9" s="122">
        <f>SUM(L4:L15)</f>
        <v>838</v>
      </c>
      <c r="B9" s="110" t="s">
        <v>865</v>
      </c>
      <c r="C9" s="111">
        <v>86</v>
      </c>
      <c r="D9" s="112">
        <v>40</v>
      </c>
      <c r="E9" s="113"/>
      <c r="F9" s="113"/>
      <c r="G9" s="113"/>
      <c r="H9" s="113"/>
      <c r="I9" s="113"/>
      <c r="J9" s="113"/>
      <c r="K9" s="114"/>
      <c r="L9" s="115">
        <v>126</v>
      </c>
      <c r="M9" s="116">
        <v>420</v>
      </c>
      <c r="N9" s="111">
        <v>126</v>
      </c>
      <c r="O9" s="114">
        <v>0</v>
      </c>
      <c r="P9" s="117"/>
      <c r="Q9" s="118"/>
      <c r="R9" s="111"/>
      <c r="S9" s="119"/>
      <c r="T9" s="120">
        <f t="shared" si="0"/>
        <v>126</v>
      </c>
      <c r="U9" s="106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8"/>
    </row>
    <row r="10" spans="1:33" s="68" customFormat="1" ht="11.25" hidden="1" thickBot="1" x14ac:dyDescent="0.2">
      <c r="A10" s="123"/>
      <c r="B10" s="110" t="s">
        <v>866</v>
      </c>
      <c r="C10" s="111">
        <v>101</v>
      </c>
      <c r="D10" s="112">
        <v>29</v>
      </c>
      <c r="E10" s="113"/>
      <c r="F10" s="113"/>
      <c r="G10" s="113"/>
      <c r="H10" s="113"/>
      <c r="I10" s="113"/>
      <c r="J10" s="113"/>
      <c r="K10" s="114"/>
      <c r="L10" s="115">
        <v>130</v>
      </c>
      <c r="M10" s="116">
        <v>550</v>
      </c>
      <c r="N10" s="111">
        <v>130</v>
      </c>
      <c r="O10" s="114">
        <v>0</v>
      </c>
      <c r="P10" s="117"/>
      <c r="Q10" s="118"/>
      <c r="R10" s="111"/>
      <c r="S10" s="119"/>
      <c r="T10" s="120">
        <f t="shared" si="0"/>
        <v>130</v>
      </c>
      <c r="U10" s="106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8"/>
    </row>
    <row r="11" spans="1:33" s="68" customFormat="1" ht="11.25" hidden="1" thickBot="1" x14ac:dyDescent="0.2">
      <c r="A11" s="109" t="s">
        <v>867</v>
      </c>
      <c r="B11" s="110" t="s">
        <v>868</v>
      </c>
      <c r="C11" s="111">
        <v>106</v>
      </c>
      <c r="D11" s="112">
        <v>6</v>
      </c>
      <c r="E11" s="113"/>
      <c r="F11" s="113"/>
      <c r="G11" s="113"/>
      <c r="H11" s="113"/>
      <c r="I11" s="113"/>
      <c r="J11" s="113"/>
      <c r="K11" s="114"/>
      <c r="L11" s="115">
        <v>112</v>
      </c>
      <c r="M11" s="116">
        <v>662</v>
      </c>
      <c r="N11" s="111">
        <v>112</v>
      </c>
      <c r="O11" s="114">
        <v>0</v>
      </c>
      <c r="P11" s="117"/>
      <c r="Q11" s="118"/>
      <c r="R11" s="111"/>
      <c r="S11" s="119"/>
      <c r="T11" s="120">
        <f t="shared" si="0"/>
        <v>112</v>
      </c>
      <c r="U11" s="106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8"/>
    </row>
    <row r="12" spans="1:33" s="68" customFormat="1" ht="11.25" hidden="1" thickBot="1" x14ac:dyDescent="0.2">
      <c r="A12" s="121">
        <f>A6+A9</f>
        <v>838</v>
      </c>
      <c r="B12" s="124" t="s">
        <v>869</v>
      </c>
      <c r="C12" s="111">
        <v>45</v>
      </c>
      <c r="D12" s="112">
        <v>42</v>
      </c>
      <c r="E12" s="113"/>
      <c r="F12" s="113"/>
      <c r="G12" s="113"/>
      <c r="H12" s="113"/>
      <c r="I12" s="113"/>
      <c r="J12" s="113"/>
      <c r="K12" s="114"/>
      <c r="L12" s="115">
        <v>87</v>
      </c>
      <c r="M12" s="116">
        <v>749</v>
      </c>
      <c r="N12" s="111">
        <v>87</v>
      </c>
      <c r="O12" s="114">
        <v>0</v>
      </c>
      <c r="P12" s="117"/>
      <c r="Q12" s="118"/>
      <c r="R12" s="111"/>
      <c r="S12" s="119"/>
      <c r="T12" s="120">
        <f t="shared" si="0"/>
        <v>87</v>
      </c>
      <c r="U12" s="106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8"/>
    </row>
    <row r="13" spans="1:33" s="68" customFormat="1" ht="11.25" hidden="1" thickBot="1" x14ac:dyDescent="0.2">
      <c r="A13" s="109"/>
      <c r="B13" s="110" t="s">
        <v>870</v>
      </c>
      <c r="C13" s="111">
        <v>3</v>
      </c>
      <c r="D13" s="112">
        <v>73</v>
      </c>
      <c r="E13" s="113"/>
      <c r="F13" s="113"/>
      <c r="G13" s="113"/>
      <c r="H13" s="113"/>
      <c r="I13" s="113"/>
      <c r="J13" s="113"/>
      <c r="K13" s="114"/>
      <c r="L13" s="115">
        <v>76</v>
      </c>
      <c r="M13" s="116">
        <v>825</v>
      </c>
      <c r="N13" s="111">
        <v>76</v>
      </c>
      <c r="O13" s="114">
        <v>0</v>
      </c>
      <c r="P13" s="117"/>
      <c r="Q13" s="118"/>
      <c r="R13" s="111"/>
      <c r="S13" s="119"/>
      <c r="T13" s="120">
        <f t="shared" si="0"/>
        <v>76</v>
      </c>
      <c r="U13" s="106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8"/>
    </row>
    <row r="14" spans="1:33" s="68" customFormat="1" ht="11.25" hidden="1" thickBot="1" x14ac:dyDescent="0.2">
      <c r="A14" s="109"/>
      <c r="B14" s="110" t="s">
        <v>871</v>
      </c>
      <c r="C14" s="111">
        <v>0</v>
      </c>
      <c r="D14" s="112">
        <v>3</v>
      </c>
      <c r="E14" s="113"/>
      <c r="F14" s="113"/>
      <c r="G14" s="113"/>
      <c r="H14" s="113"/>
      <c r="I14" s="113"/>
      <c r="J14" s="113"/>
      <c r="K14" s="114"/>
      <c r="L14" s="115">
        <v>3</v>
      </c>
      <c r="M14" s="116">
        <v>828</v>
      </c>
      <c r="N14" s="111">
        <v>3</v>
      </c>
      <c r="O14" s="114">
        <v>0</v>
      </c>
      <c r="P14" s="117"/>
      <c r="Q14" s="118"/>
      <c r="R14" s="111"/>
      <c r="S14" s="119"/>
      <c r="T14" s="120">
        <f t="shared" si="0"/>
        <v>3</v>
      </c>
      <c r="U14" s="106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8"/>
    </row>
    <row r="15" spans="1:33" s="68" customFormat="1" ht="11.25" hidden="1" thickBot="1" x14ac:dyDescent="0.2">
      <c r="A15" s="125"/>
      <c r="B15" s="126" t="s">
        <v>872</v>
      </c>
      <c r="C15" s="127">
        <v>10</v>
      </c>
      <c r="D15" s="128">
        <v>0</v>
      </c>
      <c r="E15" s="129"/>
      <c r="F15" s="129"/>
      <c r="G15" s="129"/>
      <c r="H15" s="129"/>
      <c r="I15" s="129"/>
      <c r="J15" s="129"/>
      <c r="K15" s="130"/>
      <c r="L15" s="131">
        <v>10</v>
      </c>
      <c r="M15" s="132">
        <v>838</v>
      </c>
      <c r="N15" s="127">
        <v>10</v>
      </c>
      <c r="O15" s="130">
        <v>0</v>
      </c>
      <c r="P15" s="133"/>
      <c r="Q15" s="134"/>
      <c r="R15" s="135"/>
      <c r="S15" s="136"/>
      <c r="T15" s="137">
        <f t="shared" si="0"/>
        <v>10</v>
      </c>
      <c r="U15" s="106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8"/>
    </row>
    <row r="16" spans="1:33" s="68" customFormat="1" ht="11.25" hidden="1" thickBot="1" x14ac:dyDescent="0.2">
      <c r="A16" s="94" t="s">
        <v>873</v>
      </c>
      <c r="B16" s="95" t="s">
        <v>859</v>
      </c>
      <c r="C16" s="96">
        <v>5</v>
      </c>
      <c r="D16" s="97">
        <v>1</v>
      </c>
      <c r="E16" s="98">
        <v>0</v>
      </c>
      <c r="F16" s="98"/>
      <c r="G16" s="98"/>
      <c r="H16" s="98"/>
      <c r="I16" s="98"/>
      <c r="J16" s="98"/>
      <c r="K16" s="99"/>
      <c r="L16" s="100">
        <v>6</v>
      </c>
      <c r="M16" s="101">
        <v>844</v>
      </c>
      <c r="N16" s="96">
        <v>6</v>
      </c>
      <c r="O16" s="99">
        <v>0</v>
      </c>
      <c r="P16" s="102"/>
      <c r="Q16" s="103"/>
      <c r="R16" s="96"/>
      <c r="S16" s="104"/>
      <c r="T16" s="105">
        <f t="shared" si="0"/>
        <v>6</v>
      </c>
      <c r="U16" s="106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8"/>
    </row>
    <row r="17" spans="1:32" s="68" customFormat="1" ht="11.25" hidden="1" thickBot="1" x14ac:dyDescent="0.2">
      <c r="A17" s="109"/>
      <c r="B17" s="110" t="s">
        <v>860</v>
      </c>
      <c r="C17" s="111">
        <v>12</v>
      </c>
      <c r="D17" s="112">
        <v>0</v>
      </c>
      <c r="E17" s="113">
        <v>0</v>
      </c>
      <c r="F17" s="113"/>
      <c r="G17" s="113"/>
      <c r="H17" s="113"/>
      <c r="I17" s="113"/>
      <c r="J17" s="113"/>
      <c r="K17" s="114"/>
      <c r="L17" s="115">
        <v>12</v>
      </c>
      <c r="M17" s="116">
        <v>856</v>
      </c>
      <c r="N17" s="111">
        <v>12</v>
      </c>
      <c r="O17" s="114">
        <v>0</v>
      </c>
      <c r="P17" s="117"/>
      <c r="Q17" s="118"/>
      <c r="R17" s="111"/>
      <c r="S17" s="119"/>
      <c r="T17" s="120">
        <f t="shared" si="0"/>
        <v>12</v>
      </c>
      <c r="U17" s="106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8"/>
    </row>
    <row r="18" spans="1:32" s="68" customFormat="1" ht="11.25" hidden="1" thickBot="1" x14ac:dyDescent="0.2">
      <c r="A18" s="121"/>
      <c r="B18" s="110" t="s">
        <v>861</v>
      </c>
      <c r="C18" s="111">
        <v>25</v>
      </c>
      <c r="D18" s="112">
        <v>0</v>
      </c>
      <c r="E18" s="113">
        <v>0</v>
      </c>
      <c r="F18" s="113"/>
      <c r="G18" s="113"/>
      <c r="H18" s="113"/>
      <c r="I18" s="113"/>
      <c r="J18" s="113"/>
      <c r="K18" s="114"/>
      <c r="L18" s="115">
        <v>25</v>
      </c>
      <c r="M18" s="116">
        <v>881</v>
      </c>
      <c r="N18" s="111">
        <v>25</v>
      </c>
      <c r="O18" s="114">
        <v>0</v>
      </c>
      <c r="P18" s="117"/>
      <c r="Q18" s="118"/>
      <c r="R18" s="111"/>
      <c r="S18" s="119"/>
      <c r="T18" s="120">
        <f t="shared" si="0"/>
        <v>25</v>
      </c>
      <c r="U18" s="106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8"/>
    </row>
    <row r="19" spans="1:32" s="68" customFormat="1" ht="11.25" hidden="1" thickBot="1" x14ac:dyDescent="0.2">
      <c r="A19" s="109"/>
      <c r="B19" s="110" t="s">
        <v>862</v>
      </c>
      <c r="C19" s="111">
        <v>16</v>
      </c>
      <c r="D19" s="112">
        <v>0</v>
      </c>
      <c r="E19" s="113">
        <v>0</v>
      </c>
      <c r="F19" s="113"/>
      <c r="G19" s="113"/>
      <c r="H19" s="113"/>
      <c r="I19" s="113"/>
      <c r="J19" s="113"/>
      <c r="K19" s="114"/>
      <c r="L19" s="115">
        <v>16</v>
      </c>
      <c r="M19" s="116">
        <v>897</v>
      </c>
      <c r="N19" s="111">
        <v>16</v>
      </c>
      <c r="O19" s="114">
        <v>0</v>
      </c>
      <c r="P19" s="117"/>
      <c r="Q19" s="118"/>
      <c r="R19" s="111"/>
      <c r="S19" s="119"/>
      <c r="T19" s="120">
        <f t="shared" si="0"/>
        <v>16</v>
      </c>
      <c r="U19" s="106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8"/>
    </row>
    <row r="20" spans="1:32" s="68" customFormat="1" ht="11.25" hidden="1" thickBot="1" x14ac:dyDescent="0.2">
      <c r="A20" s="109" t="s">
        <v>863</v>
      </c>
      <c r="B20" s="110" t="s">
        <v>864</v>
      </c>
      <c r="C20" s="111">
        <v>31</v>
      </c>
      <c r="D20" s="112">
        <v>0</v>
      </c>
      <c r="E20" s="113">
        <v>1</v>
      </c>
      <c r="F20" s="113"/>
      <c r="G20" s="113"/>
      <c r="H20" s="113"/>
      <c r="I20" s="113"/>
      <c r="J20" s="113"/>
      <c r="K20" s="114"/>
      <c r="L20" s="115">
        <v>32</v>
      </c>
      <c r="M20" s="116">
        <v>929</v>
      </c>
      <c r="N20" s="111">
        <v>31</v>
      </c>
      <c r="O20" s="114">
        <v>1</v>
      </c>
      <c r="P20" s="117"/>
      <c r="Q20" s="118"/>
      <c r="R20" s="111"/>
      <c r="S20" s="119"/>
      <c r="T20" s="120">
        <f t="shared" si="0"/>
        <v>32</v>
      </c>
      <c r="U20" s="106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8"/>
    </row>
    <row r="21" spans="1:32" s="68" customFormat="1" ht="11.25" hidden="1" thickBot="1" x14ac:dyDescent="0.2">
      <c r="A21" s="122">
        <f>SUM(L16:L27)</f>
        <v>422</v>
      </c>
      <c r="B21" s="110" t="s">
        <v>865</v>
      </c>
      <c r="C21" s="111">
        <v>28</v>
      </c>
      <c r="D21" s="112">
        <v>8</v>
      </c>
      <c r="E21" s="113">
        <v>0</v>
      </c>
      <c r="F21" s="113"/>
      <c r="G21" s="113"/>
      <c r="H21" s="113"/>
      <c r="I21" s="113"/>
      <c r="J21" s="113"/>
      <c r="K21" s="114"/>
      <c r="L21" s="115">
        <v>36</v>
      </c>
      <c r="M21" s="116">
        <v>965</v>
      </c>
      <c r="N21" s="111">
        <v>36</v>
      </c>
      <c r="O21" s="114">
        <v>0</v>
      </c>
      <c r="P21" s="117"/>
      <c r="Q21" s="118"/>
      <c r="R21" s="111"/>
      <c r="S21" s="119"/>
      <c r="T21" s="120">
        <f t="shared" si="0"/>
        <v>36</v>
      </c>
      <c r="U21" s="106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8"/>
    </row>
    <row r="22" spans="1:32" s="68" customFormat="1" ht="11.25" hidden="1" thickBot="1" x14ac:dyDescent="0.2">
      <c r="A22" s="109"/>
      <c r="B22" s="110" t="s">
        <v>866</v>
      </c>
      <c r="C22" s="111">
        <v>19</v>
      </c>
      <c r="D22" s="112">
        <v>46</v>
      </c>
      <c r="E22" s="113">
        <v>9</v>
      </c>
      <c r="F22" s="113"/>
      <c r="G22" s="113"/>
      <c r="H22" s="113"/>
      <c r="I22" s="113"/>
      <c r="J22" s="113"/>
      <c r="K22" s="114"/>
      <c r="L22" s="115">
        <v>74</v>
      </c>
      <c r="M22" s="116">
        <v>1039</v>
      </c>
      <c r="N22" s="111">
        <v>65</v>
      </c>
      <c r="O22" s="114">
        <v>9</v>
      </c>
      <c r="P22" s="117"/>
      <c r="Q22" s="118"/>
      <c r="R22" s="111"/>
      <c r="S22" s="119"/>
      <c r="T22" s="120">
        <f t="shared" si="0"/>
        <v>74</v>
      </c>
      <c r="U22" s="106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8"/>
    </row>
    <row r="23" spans="1:32" s="68" customFormat="1" ht="11.25" hidden="1" thickBot="1" x14ac:dyDescent="0.2">
      <c r="A23" s="109" t="s">
        <v>867</v>
      </c>
      <c r="B23" s="110" t="s">
        <v>868</v>
      </c>
      <c r="C23" s="111">
        <v>17</v>
      </c>
      <c r="D23" s="112">
        <v>25</v>
      </c>
      <c r="E23" s="113">
        <v>15</v>
      </c>
      <c r="F23" s="113"/>
      <c r="G23" s="113"/>
      <c r="H23" s="113"/>
      <c r="I23" s="113"/>
      <c r="J23" s="113"/>
      <c r="K23" s="114"/>
      <c r="L23" s="115">
        <v>57</v>
      </c>
      <c r="M23" s="116">
        <v>1096</v>
      </c>
      <c r="N23" s="111">
        <v>42</v>
      </c>
      <c r="O23" s="114">
        <v>15</v>
      </c>
      <c r="P23" s="117"/>
      <c r="Q23" s="118"/>
      <c r="R23" s="111"/>
      <c r="S23" s="119"/>
      <c r="T23" s="120">
        <f t="shared" si="0"/>
        <v>57</v>
      </c>
      <c r="U23" s="106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8"/>
    </row>
    <row r="24" spans="1:32" s="68" customFormat="1" ht="11.25" hidden="1" thickBot="1" x14ac:dyDescent="0.2">
      <c r="A24" s="121">
        <f>A18+A21</f>
        <v>422</v>
      </c>
      <c r="B24" s="124" t="s">
        <v>874</v>
      </c>
      <c r="C24" s="111">
        <v>23</v>
      </c>
      <c r="D24" s="112">
        <v>40</v>
      </c>
      <c r="E24" s="113">
        <v>0</v>
      </c>
      <c r="F24" s="113"/>
      <c r="G24" s="113"/>
      <c r="H24" s="113"/>
      <c r="I24" s="113"/>
      <c r="J24" s="113"/>
      <c r="K24" s="114"/>
      <c r="L24" s="115">
        <v>63</v>
      </c>
      <c r="M24" s="116">
        <v>1159</v>
      </c>
      <c r="N24" s="111">
        <v>63</v>
      </c>
      <c r="O24" s="114">
        <v>0</v>
      </c>
      <c r="P24" s="117"/>
      <c r="Q24" s="118"/>
      <c r="R24" s="111"/>
      <c r="S24" s="119"/>
      <c r="T24" s="120">
        <f t="shared" si="0"/>
        <v>63</v>
      </c>
      <c r="U24" s="106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8"/>
    </row>
    <row r="25" spans="1:32" s="68" customFormat="1" ht="11.25" hidden="1" thickBot="1" x14ac:dyDescent="0.2">
      <c r="A25" s="109"/>
      <c r="B25" s="110" t="s">
        <v>870</v>
      </c>
      <c r="C25" s="111">
        <v>7</v>
      </c>
      <c r="D25" s="112">
        <v>22</v>
      </c>
      <c r="E25" s="113">
        <v>0</v>
      </c>
      <c r="F25" s="113"/>
      <c r="G25" s="113"/>
      <c r="H25" s="113"/>
      <c r="I25" s="113"/>
      <c r="J25" s="113"/>
      <c r="K25" s="114"/>
      <c r="L25" s="115">
        <v>29</v>
      </c>
      <c r="M25" s="116">
        <v>1188</v>
      </c>
      <c r="N25" s="111">
        <v>29</v>
      </c>
      <c r="O25" s="114">
        <v>0</v>
      </c>
      <c r="P25" s="117"/>
      <c r="Q25" s="118"/>
      <c r="R25" s="111"/>
      <c r="S25" s="119"/>
      <c r="T25" s="120">
        <f t="shared" si="0"/>
        <v>29</v>
      </c>
      <c r="U25" s="106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8"/>
    </row>
    <row r="26" spans="1:32" s="68" customFormat="1" ht="11.25" hidden="1" thickBot="1" x14ac:dyDescent="0.2">
      <c r="A26" s="109"/>
      <c r="B26" s="110" t="s">
        <v>871</v>
      </c>
      <c r="C26" s="111">
        <v>14</v>
      </c>
      <c r="D26" s="112">
        <v>7</v>
      </c>
      <c r="E26" s="113">
        <v>0</v>
      </c>
      <c r="F26" s="113"/>
      <c r="G26" s="113"/>
      <c r="H26" s="113"/>
      <c r="I26" s="113"/>
      <c r="J26" s="113"/>
      <c r="K26" s="114"/>
      <c r="L26" s="115">
        <v>21</v>
      </c>
      <c r="M26" s="116">
        <v>1209</v>
      </c>
      <c r="N26" s="111">
        <v>21</v>
      </c>
      <c r="O26" s="114">
        <v>0</v>
      </c>
      <c r="P26" s="117"/>
      <c r="Q26" s="118"/>
      <c r="R26" s="111"/>
      <c r="S26" s="119"/>
      <c r="T26" s="120">
        <f t="shared" si="0"/>
        <v>21</v>
      </c>
      <c r="U26" s="106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8"/>
    </row>
    <row r="27" spans="1:32" s="68" customFormat="1" ht="11.25" hidden="1" thickBot="1" x14ac:dyDescent="0.2">
      <c r="A27" s="125"/>
      <c r="B27" s="126" t="s">
        <v>872</v>
      </c>
      <c r="C27" s="127">
        <v>39</v>
      </c>
      <c r="D27" s="128">
        <v>12</v>
      </c>
      <c r="E27" s="129">
        <v>0</v>
      </c>
      <c r="F27" s="129"/>
      <c r="G27" s="129"/>
      <c r="H27" s="129"/>
      <c r="I27" s="129"/>
      <c r="J27" s="129"/>
      <c r="K27" s="130"/>
      <c r="L27" s="131">
        <v>51</v>
      </c>
      <c r="M27" s="132">
        <v>1260</v>
      </c>
      <c r="N27" s="127">
        <v>51</v>
      </c>
      <c r="O27" s="130">
        <v>0</v>
      </c>
      <c r="P27" s="133"/>
      <c r="Q27" s="134"/>
      <c r="R27" s="135"/>
      <c r="S27" s="136"/>
      <c r="T27" s="137">
        <f t="shared" si="0"/>
        <v>51</v>
      </c>
      <c r="U27" s="106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8"/>
    </row>
    <row r="28" spans="1:32" s="68" customFormat="1" ht="11.25" hidden="1" thickBot="1" x14ac:dyDescent="0.2">
      <c r="A28" s="94" t="s">
        <v>875</v>
      </c>
      <c r="B28" s="95" t="s">
        <v>859</v>
      </c>
      <c r="C28" s="96">
        <v>23</v>
      </c>
      <c r="D28" s="97">
        <v>11</v>
      </c>
      <c r="E28" s="98">
        <v>0</v>
      </c>
      <c r="F28" s="98">
        <v>0</v>
      </c>
      <c r="G28" s="98"/>
      <c r="H28" s="98">
        <v>0</v>
      </c>
      <c r="I28" s="98"/>
      <c r="J28" s="98"/>
      <c r="K28" s="99"/>
      <c r="L28" s="100">
        <v>34</v>
      </c>
      <c r="M28" s="101">
        <v>1294</v>
      </c>
      <c r="N28" s="96">
        <v>34</v>
      </c>
      <c r="O28" s="99">
        <v>0</v>
      </c>
      <c r="P28" s="102"/>
      <c r="Q28" s="103"/>
      <c r="R28" s="96"/>
      <c r="S28" s="104"/>
      <c r="T28" s="105">
        <f t="shared" si="0"/>
        <v>34</v>
      </c>
      <c r="U28" s="106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8"/>
    </row>
    <row r="29" spans="1:32" s="68" customFormat="1" ht="11.25" hidden="1" thickBot="1" x14ac:dyDescent="0.2">
      <c r="A29" s="109"/>
      <c r="B29" s="110" t="s">
        <v>860</v>
      </c>
      <c r="C29" s="111">
        <v>46</v>
      </c>
      <c r="D29" s="112">
        <v>28</v>
      </c>
      <c r="E29" s="113">
        <v>3</v>
      </c>
      <c r="F29" s="113">
        <v>0</v>
      </c>
      <c r="G29" s="113"/>
      <c r="H29" s="113">
        <v>0</v>
      </c>
      <c r="I29" s="113"/>
      <c r="J29" s="113"/>
      <c r="K29" s="114"/>
      <c r="L29" s="115">
        <v>77</v>
      </c>
      <c r="M29" s="116">
        <v>1371</v>
      </c>
      <c r="N29" s="111">
        <v>74</v>
      </c>
      <c r="O29" s="114">
        <v>3</v>
      </c>
      <c r="P29" s="117"/>
      <c r="Q29" s="118"/>
      <c r="R29" s="111"/>
      <c r="S29" s="119"/>
      <c r="T29" s="120">
        <f t="shared" si="0"/>
        <v>77</v>
      </c>
      <c r="U29" s="106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8"/>
    </row>
    <row r="30" spans="1:32" s="68" customFormat="1" ht="11.25" hidden="1" thickBot="1" x14ac:dyDescent="0.2">
      <c r="A30" s="121"/>
      <c r="B30" s="110" t="s">
        <v>861</v>
      </c>
      <c r="C30" s="111">
        <v>15</v>
      </c>
      <c r="D30" s="112">
        <v>24</v>
      </c>
      <c r="E30" s="113">
        <v>14</v>
      </c>
      <c r="F30" s="113">
        <v>0</v>
      </c>
      <c r="G30" s="113"/>
      <c r="H30" s="113">
        <v>0</v>
      </c>
      <c r="I30" s="113"/>
      <c r="J30" s="113"/>
      <c r="K30" s="114"/>
      <c r="L30" s="115">
        <v>53</v>
      </c>
      <c r="M30" s="116">
        <v>1424</v>
      </c>
      <c r="N30" s="111">
        <v>39</v>
      </c>
      <c r="O30" s="114">
        <v>14</v>
      </c>
      <c r="P30" s="117"/>
      <c r="Q30" s="118"/>
      <c r="R30" s="111"/>
      <c r="S30" s="119"/>
      <c r="T30" s="120">
        <f t="shared" si="0"/>
        <v>53</v>
      </c>
      <c r="U30" s="106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8"/>
    </row>
    <row r="31" spans="1:32" s="68" customFormat="1" ht="11.25" hidden="1" thickBot="1" x14ac:dyDescent="0.2">
      <c r="A31" s="109"/>
      <c r="B31" s="110" t="s">
        <v>862</v>
      </c>
      <c r="C31" s="111">
        <v>0</v>
      </c>
      <c r="D31" s="112">
        <v>5</v>
      </c>
      <c r="E31" s="113">
        <v>2</v>
      </c>
      <c r="F31" s="113">
        <v>0</v>
      </c>
      <c r="G31" s="113"/>
      <c r="H31" s="113">
        <v>0</v>
      </c>
      <c r="I31" s="113"/>
      <c r="J31" s="113"/>
      <c r="K31" s="114"/>
      <c r="L31" s="115">
        <v>7</v>
      </c>
      <c r="M31" s="116">
        <v>1431</v>
      </c>
      <c r="N31" s="111">
        <v>5</v>
      </c>
      <c r="O31" s="114">
        <v>2</v>
      </c>
      <c r="P31" s="117"/>
      <c r="Q31" s="118"/>
      <c r="R31" s="111"/>
      <c r="S31" s="119"/>
      <c r="T31" s="120">
        <f t="shared" si="0"/>
        <v>7</v>
      </c>
      <c r="U31" s="106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8"/>
    </row>
    <row r="32" spans="1:32" s="68" customFormat="1" ht="11.25" hidden="1" thickBot="1" x14ac:dyDescent="0.2">
      <c r="A32" s="109" t="s">
        <v>863</v>
      </c>
      <c r="B32" s="110" t="s">
        <v>864</v>
      </c>
      <c r="C32" s="111">
        <v>0</v>
      </c>
      <c r="D32" s="112">
        <v>4</v>
      </c>
      <c r="E32" s="113">
        <v>0</v>
      </c>
      <c r="F32" s="113">
        <v>0</v>
      </c>
      <c r="G32" s="113"/>
      <c r="H32" s="113">
        <v>0</v>
      </c>
      <c r="I32" s="113"/>
      <c r="J32" s="113"/>
      <c r="K32" s="114"/>
      <c r="L32" s="115">
        <v>4</v>
      </c>
      <c r="M32" s="116">
        <v>1435</v>
      </c>
      <c r="N32" s="111">
        <v>4</v>
      </c>
      <c r="O32" s="114">
        <v>0</v>
      </c>
      <c r="P32" s="117"/>
      <c r="Q32" s="118"/>
      <c r="R32" s="111"/>
      <c r="S32" s="119"/>
      <c r="T32" s="120">
        <f t="shared" si="0"/>
        <v>4</v>
      </c>
      <c r="U32" s="106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8"/>
    </row>
    <row r="33" spans="1:32" s="68" customFormat="1" ht="11.25" hidden="1" thickBot="1" x14ac:dyDescent="0.2">
      <c r="A33" s="122">
        <f>SUM(L28:L39)</f>
        <v>362</v>
      </c>
      <c r="B33" s="110" t="s">
        <v>865</v>
      </c>
      <c r="C33" s="111">
        <v>0</v>
      </c>
      <c r="D33" s="112">
        <v>41</v>
      </c>
      <c r="E33" s="113">
        <v>3</v>
      </c>
      <c r="F33" s="113">
        <v>0</v>
      </c>
      <c r="G33" s="113"/>
      <c r="H33" s="113">
        <v>0</v>
      </c>
      <c r="I33" s="113"/>
      <c r="J33" s="113"/>
      <c r="K33" s="114"/>
      <c r="L33" s="115">
        <v>44</v>
      </c>
      <c r="M33" s="116">
        <v>1479</v>
      </c>
      <c r="N33" s="111">
        <v>41</v>
      </c>
      <c r="O33" s="114">
        <v>3</v>
      </c>
      <c r="P33" s="117"/>
      <c r="Q33" s="118"/>
      <c r="R33" s="111"/>
      <c r="S33" s="119"/>
      <c r="T33" s="120">
        <f t="shared" si="0"/>
        <v>44</v>
      </c>
      <c r="U33" s="106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8"/>
    </row>
    <row r="34" spans="1:32" s="68" customFormat="1" ht="11.25" hidden="1" thickBot="1" x14ac:dyDescent="0.2">
      <c r="A34" s="109"/>
      <c r="B34" s="110" t="s">
        <v>866</v>
      </c>
      <c r="C34" s="111">
        <v>19</v>
      </c>
      <c r="D34" s="112">
        <v>17</v>
      </c>
      <c r="E34" s="113">
        <v>4</v>
      </c>
      <c r="F34" s="113">
        <v>13</v>
      </c>
      <c r="G34" s="113"/>
      <c r="H34" s="113">
        <v>0</v>
      </c>
      <c r="I34" s="113"/>
      <c r="J34" s="113"/>
      <c r="K34" s="114"/>
      <c r="L34" s="115">
        <v>53</v>
      </c>
      <c r="M34" s="116">
        <v>1532</v>
      </c>
      <c r="N34" s="111">
        <v>49</v>
      </c>
      <c r="O34" s="114">
        <v>4</v>
      </c>
      <c r="P34" s="117"/>
      <c r="Q34" s="118"/>
      <c r="R34" s="111"/>
      <c r="S34" s="119"/>
      <c r="T34" s="120">
        <f t="shared" si="0"/>
        <v>53</v>
      </c>
      <c r="U34" s="106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8"/>
    </row>
    <row r="35" spans="1:32" s="68" customFormat="1" ht="11.25" hidden="1" thickBot="1" x14ac:dyDescent="0.2">
      <c r="A35" s="109" t="s">
        <v>867</v>
      </c>
      <c r="B35" s="110" t="s">
        <v>868</v>
      </c>
      <c r="C35" s="111">
        <v>10</v>
      </c>
      <c r="D35" s="112">
        <v>20</v>
      </c>
      <c r="E35" s="113">
        <v>0</v>
      </c>
      <c r="F35" s="113">
        <v>0</v>
      </c>
      <c r="G35" s="113"/>
      <c r="H35" s="113">
        <v>27</v>
      </c>
      <c r="I35" s="113"/>
      <c r="J35" s="113"/>
      <c r="K35" s="114"/>
      <c r="L35" s="115">
        <v>57</v>
      </c>
      <c r="M35" s="116">
        <v>1589</v>
      </c>
      <c r="N35" s="111">
        <v>57</v>
      </c>
      <c r="O35" s="114">
        <v>0</v>
      </c>
      <c r="P35" s="117"/>
      <c r="Q35" s="118"/>
      <c r="R35" s="111"/>
      <c r="S35" s="119"/>
      <c r="T35" s="120">
        <f t="shared" si="0"/>
        <v>57</v>
      </c>
      <c r="U35" s="106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8"/>
    </row>
    <row r="36" spans="1:32" s="68" customFormat="1" ht="11.25" hidden="1" thickBot="1" x14ac:dyDescent="0.2">
      <c r="A36" s="121">
        <f>A30+A33</f>
        <v>362</v>
      </c>
      <c r="B36" s="124" t="s">
        <v>876</v>
      </c>
      <c r="C36" s="111">
        <v>5</v>
      </c>
      <c r="D36" s="112">
        <v>22</v>
      </c>
      <c r="E36" s="113">
        <v>0</v>
      </c>
      <c r="F36" s="113">
        <v>0</v>
      </c>
      <c r="G36" s="113"/>
      <c r="H36" s="113">
        <v>0</v>
      </c>
      <c r="I36" s="113"/>
      <c r="J36" s="113"/>
      <c r="K36" s="114"/>
      <c r="L36" s="115">
        <v>27</v>
      </c>
      <c r="M36" s="116">
        <v>1616</v>
      </c>
      <c r="N36" s="111">
        <v>27</v>
      </c>
      <c r="O36" s="114">
        <v>0</v>
      </c>
      <c r="P36" s="117"/>
      <c r="Q36" s="118"/>
      <c r="R36" s="111"/>
      <c r="S36" s="119"/>
      <c r="T36" s="120">
        <f t="shared" si="0"/>
        <v>27</v>
      </c>
      <c r="U36" s="106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8"/>
    </row>
    <row r="37" spans="1:32" s="68" customFormat="1" ht="11.25" hidden="1" thickBot="1" x14ac:dyDescent="0.2">
      <c r="A37" s="109"/>
      <c r="B37" s="110" t="s">
        <v>870</v>
      </c>
      <c r="C37" s="111">
        <v>0</v>
      </c>
      <c r="D37" s="112">
        <v>0</v>
      </c>
      <c r="E37" s="113">
        <v>0</v>
      </c>
      <c r="F37" s="113">
        <v>0</v>
      </c>
      <c r="G37" s="113"/>
      <c r="H37" s="113">
        <v>0</v>
      </c>
      <c r="I37" s="113"/>
      <c r="J37" s="113"/>
      <c r="K37" s="114"/>
      <c r="L37" s="115">
        <v>0</v>
      </c>
      <c r="M37" s="116">
        <v>1616</v>
      </c>
      <c r="N37" s="111">
        <v>0</v>
      </c>
      <c r="O37" s="114">
        <v>0</v>
      </c>
      <c r="P37" s="117"/>
      <c r="Q37" s="118"/>
      <c r="R37" s="111"/>
      <c r="S37" s="119"/>
      <c r="T37" s="120">
        <f t="shared" si="0"/>
        <v>0</v>
      </c>
      <c r="U37" s="106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8"/>
    </row>
    <row r="38" spans="1:32" s="68" customFormat="1" ht="11.25" hidden="1" thickBot="1" x14ac:dyDescent="0.2">
      <c r="A38" s="109"/>
      <c r="B38" s="110" t="s">
        <v>871</v>
      </c>
      <c r="C38" s="111">
        <v>1</v>
      </c>
      <c r="D38" s="112">
        <v>4</v>
      </c>
      <c r="E38" s="113">
        <v>0</v>
      </c>
      <c r="F38" s="113">
        <v>0</v>
      </c>
      <c r="G38" s="113"/>
      <c r="H38" s="113">
        <v>1</v>
      </c>
      <c r="I38" s="113"/>
      <c r="J38" s="113"/>
      <c r="K38" s="114"/>
      <c r="L38" s="115">
        <v>6</v>
      </c>
      <c r="M38" s="116">
        <v>1622</v>
      </c>
      <c r="N38" s="111">
        <v>6</v>
      </c>
      <c r="O38" s="114">
        <v>0</v>
      </c>
      <c r="P38" s="117"/>
      <c r="Q38" s="118"/>
      <c r="R38" s="111"/>
      <c r="S38" s="119"/>
      <c r="T38" s="120">
        <f t="shared" si="0"/>
        <v>6</v>
      </c>
      <c r="U38" s="106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8"/>
    </row>
    <row r="39" spans="1:32" s="68" customFormat="1" ht="11.25" hidden="1" thickBot="1" x14ac:dyDescent="0.2">
      <c r="A39" s="138"/>
      <c r="B39" s="139" t="s">
        <v>872</v>
      </c>
      <c r="C39" s="135">
        <v>0</v>
      </c>
      <c r="D39" s="140">
        <v>0</v>
      </c>
      <c r="E39" s="141">
        <v>0</v>
      </c>
      <c r="F39" s="141">
        <v>0</v>
      </c>
      <c r="G39" s="141"/>
      <c r="H39" s="141">
        <v>0</v>
      </c>
      <c r="I39" s="141">
        <v>0</v>
      </c>
      <c r="J39" s="141"/>
      <c r="K39" s="142"/>
      <c r="L39" s="143">
        <v>0</v>
      </c>
      <c r="M39" s="144">
        <v>1622</v>
      </c>
      <c r="N39" s="111">
        <v>0</v>
      </c>
      <c r="O39" s="114">
        <v>0</v>
      </c>
      <c r="P39" s="117"/>
      <c r="Q39" s="118"/>
      <c r="R39" s="111"/>
      <c r="S39" s="119"/>
      <c r="T39" s="120">
        <f t="shared" si="0"/>
        <v>0</v>
      </c>
      <c r="U39" s="106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8"/>
    </row>
    <row r="40" spans="1:32" s="68" customFormat="1" ht="11.25" hidden="1" thickBot="1" x14ac:dyDescent="0.2">
      <c r="A40" s="145" t="s">
        <v>877</v>
      </c>
      <c r="B40" s="146" t="s">
        <v>859</v>
      </c>
      <c r="C40" s="147">
        <v>0</v>
      </c>
      <c r="D40" s="148">
        <v>0</v>
      </c>
      <c r="E40" s="149">
        <v>0</v>
      </c>
      <c r="F40" s="149">
        <v>34</v>
      </c>
      <c r="G40" s="149"/>
      <c r="H40" s="149">
        <v>39</v>
      </c>
      <c r="I40" s="149">
        <v>0</v>
      </c>
      <c r="J40" s="149"/>
      <c r="K40" s="150"/>
      <c r="L40" s="151">
        <v>73</v>
      </c>
      <c r="M40" s="152">
        <v>1695</v>
      </c>
      <c r="N40" s="147">
        <v>73</v>
      </c>
      <c r="O40" s="150">
        <v>0</v>
      </c>
      <c r="P40" s="102"/>
      <c r="Q40" s="103"/>
      <c r="R40" s="96"/>
      <c r="S40" s="104"/>
      <c r="T40" s="105">
        <f t="shared" si="0"/>
        <v>73</v>
      </c>
      <c r="U40" s="106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8"/>
    </row>
    <row r="41" spans="1:32" s="68" customFormat="1" ht="11.25" hidden="1" thickBot="1" x14ac:dyDescent="0.2">
      <c r="A41" s="153"/>
      <c r="B41" s="110" t="s">
        <v>860</v>
      </c>
      <c r="C41" s="111">
        <v>0</v>
      </c>
      <c r="D41" s="112">
        <v>0</v>
      </c>
      <c r="E41" s="113">
        <v>0</v>
      </c>
      <c r="F41" s="113">
        <v>10</v>
      </c>
      <c r="G41" s="113"/>
      <c r="H41" s="113">
        <v>35</v>
      </c>
      <c r="I41" s="113">
        <v>0</v>
      </c>
      <c r="J41" s="113"/>
      <c r="K41" s="114"/>
      <c r="L41" s="115">
        <v>45</v>
      </c>
      <c r="M41" s="116">
        <v>1740</v>
      </c>
      <c r="N41" s="111">
        <v>45</v>
      </c>
      <c r="O41" s="114">
        <v>0</v>
      </c>
      <c r="P41" s="117"/>
      <c r="Q41" s="118"/>
      <c r="R41" s="111"/>
      <c r="S41" s="119"/>
      <c r="T41" s="120">
        <f t="shared" si="0"/>
        <v>45</v>
      </c>
      <c r="U41" s="106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8"/>
    </row>
    <row r="42" spans="1:32" s="68" customFormat="1" ht="11.25" hidden="1" thickBot="1" x14ac:dyDescent="0.2">
      <c r="A42" s="154"/>
      <c r="B42" s="110" t="s">
        <v>861</v>
      </c>
      <c r="C42" s="111">
        <v>0</v>
      </c>
      <c r="D42" s="112">
        <v>0</v>
      </c>
      <c r="E42" s="113">
        <v>7</v>
      </c>
      <c r="F42" s="113">
        <v>26</v>
      </c>
      <c r="G42" s="113"/>
      <c r="H42" s="113">
        <v>26</v>
      </c>
      <c r="I42" s="113">
        <v>0</v>
      </c>
      <c r="J42" s="113"/>
      <c r="K42" s="114"/>
      <c r="L42" s="115">
        <v>59</v>
      </c>
      <c r="M42" s="116">
        <v>1799</v>
      </c>
      <c r="N42" s="111">
        <v>52</v>
      </c>
      <c r="O42" s="114">
        <v>7</v>
      </c>
      <c r="P42" s="117"/>
      <c r="Q42" s="118"/>
      <c r="R42" s="111"/>
      <c r="S42" s="119"/>
      <c r="T42" s="120">
        <f t="shared" si="0"/>
        <v>59</v>
      </c>
      <c r="U42" s="106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8"/>
    </row>
    <row r="43" spans="1:32" s="68" customFormat="1" ht="11.25" hidden="1" thickBot="1" x14ac:dyDescent="0.2">
      <c r="A43" s="153"/>
      <c r="B43" s="110" t="s">
        <v>862</v>
      </c>
      <c r="C43" s="111">
        <v>0</v>
      </c>
      <c r="D43" s="112">
        <v>0</v>
      </c>
      <c r="E43" s="113">
        <v>0</v>
      </c>
      <c r="F43" s="113">
        <v>9</v>
      </c>
      <c r="G43" s="113"/>
      <c r="H43" s="113">
        <v>48</v>
      </c>
      <c r="I43" s="113">
        <v>0</v>
      </c>
      <c r="J43" s="113"/>
      <c r="K43" s="114"/>
      <c r="L43" s="115">
        <v>57</v>
      </c>
      <c r="M43" s="116">
        <v>1856</v>
      </c>
      <c r="N43" s="111">
        <v>57</v>
      </c>
      <c r="O43" s="114">
        <v>0</v>
      </c>
      <c r="P43" s="117"/>
      <c r="Q43" s="118"/>
      <c r="R43" s="111"/>
      <c r="S43" s="119"/>
      <c r="T43" s="120">
        <f t="shared" si="0"/>
        <v>57</v>
      </c>
      <c r="U43" s="106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8"/>
    </row>
    <row r="44" spans="1:32" s="68" customFormat="1" ht="11.25" hidden="1" thickBot="1" x14ac:dyDescent="0.2">
      <c r="A44" s="153" t="s">
        <v>863</v>
      </c>
      <c r="B44" s="110" t="s">
        <v>864</v>
      </c>
      <c r="C44" s="111">
        <v>0</v>
      </c>
      <c r="D44" s="112">
        <v>0</v>
      </c>
      <c r="E44" s="113">
        <v>0</v>
      </c>
      <c r="F44" s="113">
        <v>25</v>
      </c>
      <c r="G44" s="113"/>
      <c r="H44" s="113">
        <v>52</v>
      </c>
      <c r="I44" s="113">
        <v>0</v>
      </c>
      <c r="J44" s="113"/>
      <c r="K44" s="114"/>
      <c r="L44" s="115">
        <v>77</v>
      </c>
      <c r="M44" s="116">
        <v>1933</v>
      </c>
      <c r="N44" s="111">
        <v>77</v>
      </c>
      <c r="O44" s="114">
        <v>0</v>
      </c>
      <c r="P44" s="117"/>
      <c r="Q44" s="118"/>
      <c r="R44" s="111"/>
      <c r="S44" s="119"/>
      <c r="T44" s="120">
        <f t="shared" si="0"/>
        <v>77</v>
      </c>
      <c r="U44" s="106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8"/>
    </row>
    <row r="45" spans="1:32" s="68" customFormat="1" ht="11.25" hidden="1" thickBot="1" x14ac:dyDescent="0.2">
      <c r="A45" s="155">
        <f>SUM(L40:L51)</f>
        <v>628</v>
      </c>
      <c r="B45" s="110" t="s">
        <v>865</v>
      </c>
      <c r="C45" s="111">
        <v>0</v>
      </c>
      <c r="D45" s="112">
        <v>0</v>
      </c>
      <c r="E45" s="113">
        <v>0</v>
      </c>
      <c r="F45" s="113">
        <v>20</v>
      </c>
      <c r="G45" s="113"/>
      <c r="H45" s="113">
        <v>24</v>
      </c>
      <c r="I45" s="113">
        <v>0</v>
      </c>
      <c r="J45" s="113"/>
      <c r="K45" s="114"/>
      <c r="L45" s="115">
        <v>44</v>
      </c>
      <c r="M45" s="116">
        <v>1977</v>
      </c>
      <c r="N45" s="111">
        <v>44</v>
      </c>
      <c r="O45" s="114">
        <v>0</v>
      </c>
      <c r="P45" s="117"/>
      <c r="Q45" s="118"/>
      <c r="R45" s="111"/>
      <c r="S45" s="119"/>
      <c r="T45" s="120">
        <f t="shared" si="0"/>
        <v>44</v>
      </c>
      <c r="U45" s="106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8"/>
    </row>
    <row r="46" spans="1:32" s="68" customFormat="1" ht="11.25" hidden="1" thickBot="1" x14ac:dyDescent="0.2">
      <c r="A46" s="153"/>
      <c r="B46" s="110" t="s">
        <v>866</v>
      </c>
      <c r="C46" s="111">
        <v>0</v>
      </c>
      <c r="D46" s="112">
        <v>0</v>
      </c>
      <c r="E46" s="113">
        <v>0</v>
      </c>
      <c r="F46" s="113">
        <v>0</v>
      </c>
      <c r="G46" s="113"/>
      <c r="H46" s="113">
        <v>50</v>
      </c>
      <c r="I46" s="113">
        <v>2</v>
      </c>
      <c r="J46" s="113"/>
      <c r="K46" s="114"/>
      <c r="L46" s="115">
        <v>52</v>
      </c>
      <c r="M46" s="116">
        <v>2029</v>
      </c>
      <c r="N46" s="111">
        <v>52</v>
      </c>
      <c r="O46" s="114">
        <v>0</v>
      </c>
      <c r="P46" s="117"/>
      <c r="Q46" s="118"/>
      <c r="R46" s="111"/>
      <c r="S46" s="119"/>
      <c r="T46" s="120">
        <f t="shared" si="0"/>
        <v>52</v>
      </c>
      <c r="U46" s="106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8"/>
    </row>
    <row r="47" spans="1:32" s="68" customFormat="1" ht="11.25" hidden="1" thickBot="1" x14ac:dyDescent="0.2">
      <c r="A47" s="153" t="s">
        <v>867</v>
      </c>
      <c r="B47" s="110" t="s">
        <v>868</v>
      </c>
      <c r="C47" s="111">
        <v>0</v>
      </c>
      <c r="D47" s="112">
        <v>0</v>
      </c>
      <c r="E47" s="113">
        <v>0</v>
      </c>
      <c r="F47" s="113">
        <v>0</v>
      </c>
      <c r="G47" s="113"/>
      <c r="H47" s="113">
        <v>24</v>
      </c>
      <c r="I47" s="113">
        <v>6</v>
      </c>
      <c r="J47" s="113"/>
      <c r="K47" s="114"/>
      <c r="L47" s="115">
        <v>30</v>
      </c>
      <c r="M47" s="116">
        <v>2059</v>
      </c>
      <c r="N47" s="111">
        <v>30</v>
      </c>
      <c r="O47" s="114">
        <v>0</v>
      </c>
      <c r="P47" s="117"/>
      <c r="Q47" s="118"/>
      <c r="R47" s="111"/>
      <c r="S47" s="119"/>
      <c r="T47" s="120">
        <f t="shared" si="0"/>
        <v>30</v>
      </c>
      <c r="U47" s="106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8"/>
    </row>
    <row r="48" spans="1:32" s="68" customFormat="1" ht="11.25" hidden="1" thickBot="1" x14ac:dyDescent="0.2">
      <c r="A48" s="154">
        <f>A42+A45</f>
        <v>628</v>
      </c>
      <c r="B48" s="124" t="s">
        <v>878</v>
      </c>
      <c r="C48" s="111">
        <v>0</v>
      </c>
      <c r="D48" s="112">
        <v>0</v>
      </c>
      <c r="E48" s="113">
        <v>2</v>
      </c>
      <c r="F48" s="113">
        <v>0</v>
      </c>
      <c r="G48" s="113"/>
      <c r="H48" s="113">
        <v>22</v>
      </c>
      <c r="I48" s="113">
        <v>39</v>
      </c>
      <c r="J48" s="113"/>
      <c r="K48" s="114"/>
      <c r="L48" s="115">
        <v>63</v>
      </c>
      <c r="M48" s="116">
        <v>2122</v>
      </c>
      <c r="N48" s="111">
        <v>61</v>
      </c>
      <c r="O48" s="114">
        <v>2</v>
      </c>
      <c r="P48" s="117"/>
      <c r="Q48" s="118"/>
      <c r="R48" s="111"/>
      <c r="S48" s="119"/>
      <c r="T48" s="120">
        <f t="shared" si="0"/>
        <v>63</v>
      </c>
      <c r="U48" s="106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8"/>
    </row>
    <row r="49" spans="1:32" s="68" customFormat="1" ht="11.25" hidden="1" thickBot="1" x14ac:dyDescent="0.2">
      <c r="A49" s="156"/>
      <c r="B49" s="110" t="s">
        <v>870</v>
      </c>
      <c r="C49" s="111">
        <v>0</v>
      </c>
      <c r="D49" s="112">
        <v>0</v>
      </c>
      <c r="E49" s="113">
        <v>2</v>
      </c>
      <c r="F49" s="113">
        <v>0</v>
      </c>
      <c r="G49" s="113"/>
      <c r="H49" s="113">
        <v>16</v>
      </c>
      <c r="I49" s="113">
        <v>30</v>
      </c>
      <c r="J49" s="113"/>
      <c r="K49" s="114"/>
      <c r="L49" s="115">
        <v>48</v>
      </c>
      <c r="M49" s="116">
        <v>2170</v>
      </c>
      <c r="N49" s="111">
        <v>46</v>
      </c>
      <c r="O49" s="114">
        <v>2</v>
      </c>
      <c r="P49" s="117"/>
      <c r="Q49" s="118"/>
      <c r="R49" s="111"/>
      <c r="S49" s="119"/>
      <c r="T49" s="120">
        <f t="shared" si="0"/>
        <v>48</v>
      </c>
      <c r="U49" s="106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0" spans="1:32" s="68" customFormat="1" ht="11.25" hidden="1" thickBot="1" x14ac:dyDescent="0.2">
      <c r="A50" s="156"/>
      <c r="B50" s="124" t="s">
        <v>871</v>
      </c>
      <c r="C50" s="111">
        <v>0</v>
      </c>
      <c r="D50" s="112">
        <v>0</v>
      </c>
      <c r="E50" s="113">
        <v>0</v>
      </c>
      <c r="F50" s="113">
        <v>10</v>
      </c>
      <c r="G50" s="113"/>
      <c r="H50" s="113">
        <v>18</v>
      </c>
      <c r="I50" s="113">
        <v>0</v>
      </c>
      <c r="J50" s="113"/>
      <c r="K50" s="114"/>
      <c r="L50" s="115">
        <v>28</v>
      </c>
      <c r="M50" s="116">
        <v>2198</v>
      </c>
      <c r="N50" s="111">
        <v>28</v>
      </c>
      <c r="O50" s="114">
        <v>0</v>
      </c>
      <c r="P50" s="117"/>
      <c r="Q50" s="118"/>
      <c r="R50" s="111"/>
      <c r="S50" s="119"/>
      <c r="T50" s="120">
        <f t="shared" si="0"/>
        <v>28</v>
      </c>
      <c r="U50" s="106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1" spans="1:32" s="68" customFormat="1" ht="11.25" hidden="1" thickBot="1" x14ac:dyDescent="0.2">
      <c r="A51" s="157"/>
      <c r="B51" s="158" t="s">
        <v>872</v>
      </c>
      <c r="C51" s="159">
        <v>0</v>
      </c>
      <c r="D51" s="160">
        <v>0</v>
      </c>
      <c r="E51" s="161">
        <v>0</v>
      </c>
      <c r="F51" s="161">
        <v>0</v>
      </c>
      <c r="G51" s="161"/>
      <c r="H51" s="161">
        <v>36</v>
      </c>
      <c r="I51" s="161">
        <v>16</v>
      </c>
      <c r="J51" s="161"/>
      <c r="K51" s="162"/>
      <c r="L51" s="163">
        <v>52</v>
      </c>
      <c r="M51" s="164">
        <v>2250</v>
      </c>
      <c r="N51" s="159">
        <v>52</v>
      </c>
      <c r="O51" s="162">
        <v>0</v>
      </c>
      <c r="P51" s="165"/>
      <c r="Q51" s="166"/>
      <c r="R51" s="167"/>
      <c r="S51" s="168"/>
      <c r="T51" s="169">
        <f t="shared" si="0"/>
        <v>52</v>
      </c>
      <c r="U51" s="106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8"/>
    </row>
    <row r="52" spans="1:32" s="68" customFormat="1" ht="11.25" hidden="1" thickBot="1" x14ac:dyDescent="0.2">
      <c r="A52" s="145" t="s">
        <v>879</v>
      </c>
      <c r="B52" s="170" t="s">
        <v>859</v>
      </c>
      <c r="C52" s="147">
        <v>0</v>
      </c>
      <c r="D52" s="148">
        <v>0</v>
      </c>
      <c r="E52" s="149">
        <v>8</v>
      </c>
      <c r="F52" s="149">
        <v>12</v>
      </c>
      <c r="G52" s="149">
        <v>0</v>
      </c>
      <c r="H52" s="149">
        <v>13</v>
      </c>
      <c r="I52" s="149">
        <v>0</v>
      </c>
      <c r="J52" s="149"/>
      <c r="K52" s="150">
        <v>0</v>
      </c>
      <c r="L52" s="151">
        <f t="shared" ref="L52:L74" si="1">SUM(C52:K52)</f>
        <v>33</v>
      </c>
      <c r="M52" s="152">
        <f t="shared" ref="M52:M83" si="2">M51+L52</f>
        <v>2283</v>
      </c>
      <c r="N52" s="147">
        <v>25</v>
      </c>
      <c r="O52" s="171">
        <v>8</v>
      </c>
      <c r="P52" s="172"/>
      <c r="Q52" s="173"/>
      <c r="R52" s="174"/>
      <c r="S52" s="175"/>
      <c r="T52" s="176">
        <f t="shared" si="0"/>
        <v>33</v>
      </c>
      <c r="U52" s="106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8"/>
    </row>
    <row r="53" spans="1:32" s="68" customFormat="1" ht="11.25" hidden="1" thickBot="1" x14ac:dyDescent="0.2">
      <c r="A53" s="153"/>
      <c r="B53" s="110" t="s">
        <v>860</v>
      </c>
      <c r="C53" s="111">
        <v>0</v>
      </c>
      <c r="D53" s="112">
        <v>0</v>
      </c>
      <c r="E53" s="113">
        <v>0</v>
      </c>
      <c r="F53" s="113">
        <v>51</v>
      </c>
      <c r="G53" s="113">
        <v>0</v>
      </c>
      <c r="H53" s="113">
        <v>26</v>
      </c>
      <c r="I53" s="113">
        <v>0</v>
      </c>
      <c r="J53" s="113"/>
      <c r="K53" s="114">
        <v>0</v>
      </c>
      <c r="L53" s="115">
        <f t="shared" si="1"/>
        <v>77</v>
      </c>
      <c r="M53" s="116">
        <f t="shared" si="2"/>
        <v>2360</v>
      </c>
      <c r="N53" s="111">
        <v>77</v>
      </c>
      <c r="O53" s="177">
        <v>0</v>
      </c>
      <c r="P53" s="178"/>
      <c r="Q53" s="179"/>
      <c r="R53" s="180"/>
      <c r="S53" s="181"/>
      <c r="T53" s="182">
        <f t="shared" si="0"/>
        <v>77</v>
      </c>
      <c r="U53" s="106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8"/>
    </row>
    <row r="54" spans="1:32" s="68" customFormat="1" ht="11.25" hidden="1" thickBot="1" x14ac:dyDescent="0.2">
      <c r="A54" s="154"/>
      <c r="B54" s="124" t="s">
        <v>861</v>
      </c>
      <c r="C54" s="111">
        <v>0</v>
      </c>
      <c r="D54" s="112">
        <v>0</v>
      </c>
      <c r="E54" s="113">
        <v>0</v>
      </c>
      <c r="F54" s="113">
        <v>24</v>
      </c>
      <c r="G54" s="113">
        <v>0</v>
      </c>
      <c r="H54" s="113">
        <v>55</v>
      </c>
      <c r="I54" s="113">
        <v>0</v>
      </c>
      <c r="J54" s="113"/>
      <c r="K54" s="114">
        <v>0</v>
      </c>
      <c r="L54" s="115">
        <f t="shared" si="1"/>
        <v>79</v>
      </c>
      <c r="M54" s="116">
        <f t="shared" si="2"/>
        <v>2439</v>
      </c>
      <c r="N54" s="111">
        <v>79</v>
      </c>
      <c r="O54" s="177">
        <v>0</v>
      </c>
      <c r="P54" s="178"/>
      <c r="Q54" s="179"/>
      <c r="R54" s="180"/>
      <c r="S54" s="181"/>
      <c r="T54" s="182">
        <f t="shared" si="0"/>
        <v>79</v>
      </c>
      <c r="U54" s="106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8"/>
    </row>
    <row r="55" spans="1:32" s="68" customFormat="1" ht="11.25" hidden="1" thickBot="1" x14ac:dyDescent="0.2">
      <c r="A55" s="153"/>
      <c r="B55" s="124" t="s">
        <v>862</v>
      </c>
      <c r="C55" s="111">
        <v>0</v>
      </c>
      <c r="D55" s="112">
        <v>0</v>
      </c>
      <c r="E55" s="113">
        <v>0</v>
      </c>
      <c r="F55" s="113">
        <v>39</v>
      </c>
      <c r="G55" s="113">
        <v>0</v>
      </c>
      <c r="H55" s="113">
        <v>43</v>
      </c>
      <c r="I55" s="113">
        <v>31</v>
      </c>
      <c r="J55" s="113"/>
      <c r="K55" s="114">
        <v>0</v>
      </c>
      <c r="L55" s="115">
        <f t="shared" si="1"/>
        <v>113</v>
      </c>
      <c r="M55" s="116">
        <f t="shared" si="2"/>
        <v>2552</v>
      </c>
      <c r="N55" s="111">
        <v>113</v>
      </c>
      <c r="O55" s="177">
        <v>0</v>
      </c>
      <c r="P55" s="178"/>
      <c r="Q55" s="179"/>
      <c r="R55" s="180"/>
      <c r="S55" s="181"/>
      <c r="T55" s="182">
        <f t="shared" si="0"/>
        <v>113</v>
      </c>
      <c r="U55" s="106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8"/>
    </row>
    <row r="56" spans="1:32" s="68" customFormat="1" ht="11.25" hidden="1" thickBot="1" x14ac:dyDescent="0.2">
      <c r="A56" s="153" t="s">
        <v>863</v>
      </c>
      <c r="B56" s="124" t="s">
        <v>864</v>
      </c>
      <c r="C56" s="111">
        <v>0</v>
      </c>
      <c r="D56" s="112">
        <v>0</v>
      </c>
      <c r="E56" s="113">
        <v>0</v>
      </c>
      <c r="F56" s="113">
        <v>47</v>
      </c>
      <c r="G56" s="113">
        <v>0</v>
      </c>
      <c r="H56" s="113">
        <v>109</v>
      </c>
      <c r="I56" s="113">
        <v>4</v>
      </c>
      <c r="J56" s="113"/>
      <c r="K56" s="114">
        <v>0</v>
      </c>
      <c r="L56" s="115">
        <f t="shared" si="1"/>
        <v>160</v>
      </c>
      <c r="M56" s="116">
        <f t="shared" si="2"/>
        <v>2712</v>
      </c>
      <c r="N56" s="111">
        <v>160</v>
      </c>
      <c r="O56" s="177">
        <v>0</v>
      </c>
      <c r="P56" s="178"/>
      <c r="Q56" s="179"/>
      <c r="R56" s="180"/>
      <c r="S56" s="181"/>
      <c r="T56" s="182">
        <f t="shared" si="0"/>
        <v>160</v>
      </c>
      <c r="U56" s="106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8"/>
    </row>
    <row r="57" spans="1:32" s="68" customFormat="1" ht="11.25" hidden="1" thickBot="1" x14ac:dyDescent="0.2">
      <c r="A57" s="154">
        <f>SUM(L52:L63)</f>
        <v>1454</v>
      </c>
      <c r="B57" s="124" t="s">
        <v>865</v>
      </c>
      <c r="C57" s="111">
        <v>0</v>
      </c>
      <c r="D57" s="112">
        <v>0</v>
      </c>
      <c r="E57" s="113">
        <v>0</v>
      </c>
      <c r="F57" s="113">
        <v>109</v>
      </c>
      <c r="G57" s="113">
        <v>0</v>
      </c>
      <c r="H57" s="113">
        <v>50</v>
      </c>
      <c r="I57" s="113">
        <v>47</v>
      </c>
      <c r="J57" s="113"/>
      <c r="K57" s="114">
        <v>0</v>
      </c>
      <c r="L57" s="115">
        <f t="shared" si="1"/>
        <v>206</v>
      </c>
      <c r="M57" s="116">
        <f t="shared" si="2"/>
        <v>2918</v>
      </c>
      <c r="N57" s="111">
        <v>206</v>
      </c>
      <c r="O57" s="177">
        <v>0</v>
      </c>
      <c r="P57" s="178"/>
      <c r="Q57" s="179"/>
      <c r="R57" s="180"/>
      <c r="S57" s="181"/>
      <c r="T57" s="182">
        <f t="shared" si="0"/>
        <v>206</v>
      </c>
      <c r="U57" s="106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8"/>
    </row>
    <row r="58" spans="1:32" s="68" customFormat="1" ht="11.25" hidden="1" thickBot="1" x14ac:dyDescent="0.2">
      <c r="A58" s="153"/>
      <c r="B58" s="124" t="s">
        <v>866</v>
      </c>
      <c r="C58" s="111">
        <v>0</v>
      </c>
      <c r="D58" s="112">
        <v>0</v>
      </c>
      <c r="E58" s="113">
        <v>0</v>
      </c>
      <c r="F58" s="113">
        <v>40</v>
      </c>
      <c r="G58" s="113">
        <v>0</v>
      </c>
      <c r="H58" s="113">
        <v>70</v>
      </c>
      <c r="I58" s="113">
        <v>58</v>
      </c>
      <c r="J58" s="113"/>
      <c r="K58" s="114">
        <v>0</v>
      </c>
      <c r="L58" s="115">
        <f t="shared" si="1"/>
        <v>168</v>
      </c>
      <c r="M58" s="116">
        <f t="shared" si="2"/>
        <v>3086</v>
      </c>
      <c r="N58" s="111">
        <v>168</v>
      </c>
      <c r="O58" s="177">
        <v>0</v>
      </c>
      <c r="P58" s="178"/>
      <c r="Q58" s="179"/>
      <c r="R58" s="180"/>
      <c r="S58" s="181"/>
      <c r="T58" s="182">
        <f t="shared" si="0"/>
        <v>168</v>
      </c>
      <c r="U58" s="106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8"/>
    </row>
    <row r="59" spans="1:32" s="68" customFormat="1" ht="11.25" hidden="1" thickBot="1" x14ac:dyDescent="0.2">
      <c r="A59" s="153" t="s">
        <v>867</v>
      </c>
      <c r="B59" s="124" t="s">
        <v>868</v>
      </c>
      <c r="C59" s="111">
        <v>0</v>
      </c>
      <c r="D59" s="112">
        <v>0</v>
      </c>
      <c r="E59" s="113">
        <v>2</v>
      </c>
      <c r="F59" s="113">
        <v>35</v>
      </c>
      <c r="G59" s="113">
        <v>0</v>
      </c>
      <c r="H59" s="113">
        <v>63</v>
      </c>
      <c r="I59" s="113">
        <v>32</v>
      </c>
      <c r="J59" s="113"/>
      <c r="K59" s="114">
        <v>2</v>
      </c>
      <c r="L59" s="115">
        <f t="shared" si="1"/>
        <v>134</v>
      </c>
      <c r="M59" s="116">
        <f t="shared" si="2"/>
        <v>3220</v>
      </c>
      <c r="N59" s="111">
        <v>132</v>
      </c>
      <c r="O59" s="177">
        <v>2</v>
      </c>
      <c r="P59" s="178"/>
      <c r="Q59" s="179"/>
      <c r="R59" s="180"/>
      <c r="S59" s="181"/>
      <c r="T59" s="182">
        <f t="shared" si="0"/>
        <v>134</v>
      </c>
      <c r="U59" s="106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8"/>
    </row>
    <row r="60" spans="1:32" s="68" customFormat="1" ht="11.25" hidden="1" thickBot="1" x14ac:dyDescent="0.2">
      <c r="A60" s="154">
        <f>A54+A57</f>
        <v>1454</v>
      </c>
      <c r="B60" s="124" t="s">
        <v>880</v>
      </c>
      <c r="C60" s="111">
        <v>0</v>
      </c>
      <c r="D60" s="112">
        <v>0</v>
      </c>
      <c r="E60" s="113">
        <v>1</v>
      </c>
      <c r="F60" s="113">
        <v>30</v>
      </c>
      <c r="G60" s="113">
        <v>0</v>
      </c>
      <c r="H60" s="113">
        <v>110</v>
      </c>
      <c r="I60" s="113">
        <v>11</v>
      </c>
      <c r="J60" s="113"/>
      <c r="K60" s="114">
        <v>1</v>
      </c>
      <c r="L60" s="115">
        <f t="shared" si="1"/>
        <v>153</v>
      </c>
      <c r="M60" s="116">
        <f t="shared" si="2"/>
        <v>3373</v>
      </c>
      <c r="N60" s="111">
        <v>152</v>
      </c>
      <c r="O60" s="177">
        <v>1</v>
      </c>
      <c r="P60" s="178"/>
      <c r="Q60" s="179"/>
      <c r="R60" s="180"/>
      <c r="S60" s="181"/>
      <c r="T60" s="182">
        <f t="shared" si="0"/>
        <v>153</v>
      </c>
      <c r="U60" s="106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8"/>
    </row>
    <row r="61" spans="1:32" s="68" customFormat="1" ht="11.25" hidden="1" thickBot="1" x14ac:dyDescent="0.2">
      <c r="A61" s="156"/>
      <c r="B61" s="124" t="s">
        <v>870</v>
      </c>
      <c r="C61" s="111">
        <v>0</v>
      </c>
      <c r="D61" s="112">
        <v>0</v>
      </c>
      <c r="E61" s="113">
        <v>0</v>
      </c>
      <c r="F61" s="113">
        <v>56</v>
      </c>
      <c r="G61" s="113">
        <v>0</v>
      </c>
      <c r="H61" s="113">
        <v>20</v>
      </c>
      <c r="I61" s="113">
        <v>8</v>
      </c>
      <c r="J61" s="113"/>
      <c r="K61" s="114">
        <v>0</v>
      </c>
      <c r="L61" s="115">
        <f t="shared" si="1"/>
        <v>84</v>
      </c>
      <c r="M61" s="116">
        <f t="shared" si="2"/>
        <v>3457</v>
      </c>
      <c r="N61" s="111">
        <v>84</v>
      </c>
      <c r="O61" s="177">
        <v>0</v>
      </c>
      <c r="P61" s="178"/>
      <c r="Q61" s="179"/>
      <c r="R61" s="180"/>
      <c r="S61" s="181"/>
      <c r="T61" s="182">
        <f t="shared" si="0"/>
        <v>84</v>
      </c>
      <c r="U61" s="106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8"/>
    </row>
    <row r="62" spans="1:32" s="68" customFormat="1" ht="11.25" hidden="1" thickBot="1" x14ac:dyDescent="0.2">
      <c r="A62" s="156"/>
      <c r="B62" s="124" t="s">
        <v>871</v>
      </c>
      <c r="C62" s="111">
        <v>0</v>
      </c>
      <c r="D62" s="112">
        <v>0</v>
      </c>
      <c r="E62" s="113">
        <v>1</v>
      </c>
      <c r="F62" s="113">
        <v>64</v>
      </c>
      <c r="G62" s="113">
        <v>0</v>
      </c>
      <c r="H62" s="113">
        <v>43</v>
      </c>
      <c r="I62" s="113">
        <v>18</v>
      </c>
      <c r="J62" s="113"/>
      <c r="K62" s="114">
        <v>0</v>
      </c>
      <c r="L62" s="115">
        <f t="shared" si="1"/>
        <v>126</v>
      </c>
      <c r="M62" s="116">
        <f t="shared" si="2"/>
        <v>3583</v>
      </c>
      <c r="N62" s="111">
        <v>125</v>
      </c>
      <c r="O62" s="177">
        <v>1</v>
      </c>
      <c r="P62" s="178"/>
      <c r="Q62" s="179"/>
      <c r="R62" s="180"/>
      <c r="S62" s="181"/>
      <c r="T62" s="182">
        <f t="shared" si="0"/>
        <v>126</v>
      </c>
      <c r="U62" s="106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8"/>
    </row>
    <row r="63" spans="1:32" s="68" customFormat="1" ht="11.25" hidden="1" thickBot="1" x14ac:dyDescent="0.2">
      <c r="A63" s="157"/>
      <c r="B63" s="183" t="s">
        <v>872</v>
      </c>
      <c r="C63" s="127">
        <v>0</v>
      </c>
      <c r="D63" s="128">
        <v>0</v>
      </c>
      <c r="E63" s="129">
        <v>0</v>
      </c>
      <c r="F63" s="129">
        <v>0</v>
      </c>
      <c r="G63" s="129">
        <v>0</v>
      </c>
      <c r="H63" s="129">
        <v>43</v>
      </c>
      <c r="I63" s="129">
        <v>78</v>
      </c>
      <c r="J63" s="129"/>
      <c r="K63" s="130">
        <v>0</v>
      </c>
      <c r="L63" s="131">
        <f t="shared" si="1"/>
        <v>121</v>
      </c>
      <c r="M63" s="132">
        <f t="shared" si="2"/>
        <v>3704</v>
      </c>
      <c r="N63" s="127">
        <v>121</v>
      </c>
      <c r="O63" s="184">
        <v>0</v>
      </c>
      <c r="P63" s="185"/>
      <c r="Q63" s="186"/>
      <c r="R63" s="187"/>
      <c r="S63" s="188"/>
      <c r="T63" s="189">
        <f t="shared" si="0"/>
        <v>121</v>
      </c>
      <c r="U63" s="106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8"/>
    </row>
    <row r="64" spans="1:32" s="68" customFormat="1" ht="11.25" hidden="1" thickBot="1" x14ac:dyDescent="0.2">
      <c r="A64" s="145" t="s">
        <v>881</v>
      </c>
      <c r="B64" s="170" t="s">
        <v>859</v>
      </c>
      <c r="C64" s="147">
        <v>0</v>
      </c>
      <c r="D64" s="148">
        <v>0</v>
      </c>
      <c r="E64" s="149">
        <v>0</v>
      </c>
      <c r="F64" s="149">
        <v>27</v>
      </c>
      <c r="G64" s="149">
        <v>0</v>
      </c>
      <c r="H64" s="149">
        <v>42</v>
      </c>
      <c r="I64" s="149">
        <v>28</v>
      </c>
      <c r="J64" s="149"/>
      <c r="K64" s="150">
        <v>0</v>
      </c>
      <c r="L64" s="151">
        <f t="shared" si="1"/>
        <v>97</v>
      </c>
      <c r="M64" s="152">
        <f t="shared" si="2"/>
        <v>3801</v>
      </c>
      <c r="N64" s="147">
        <v>97</v>
      </c>
      <c r="O64" s="171">
        <v>0</v>
      </c>
      <c r="P64" s="172"/>
      <c r="Q64" s="173"/>
      <c r="R64" s="174"/>
      <c r="S64" s="175"/>
      <c r="T64" s="176">
        <f t="shared" si="0"/>
        <v>97</v>
      </c>
      <c r="U64" s="106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8"/>
    </row>
    <row r="65" spans="1:32" s="68" customFormat="1" ht="11.25" hidden="1" thickBot="1" x14ac:dyDescent="0.2">
      <c r="A65" s="153"/>
      <c r="B65" s="110" t="s">
        <v>860</v>
      </c>
      <c r="C65" s="111">
        <v>0</v>
      </c>
      <c r="D65" s="112">
        <v>0</v>
      </c>
      <c r="E65" s="113">
        <v>1</v>
      </c>
      <c r="F65" s="113">
        <v>77</v>
      </c>
      <c r="G65" s="113">
        <v>0</v>
      </c>
      <c r="H65" s="113">
        <v>27</v>
      </c>
      <c r="I65" s="113">
        <v>21</v>
      </c>
      <c r="J65" s="113"/>
      <c r="K65" s="114">
        <v>0</v>
      </c>
      <c r="L65" s="115">
        <f t="shared" si="1"/>
        <v>126</v>
      </c>
      <c r="M65" s="116">
        <f t="shared" si="2"/>
        <v>3927</v>
      </c>
      <c r="N65" s="111">
        <v>125</v>
      </c>
      <c r="O65" s="177">
        <v>1</v>
      </c>
      <c r="P65" s="178"/>
      <c r="Q65" s="179"/>
      <c r="R65" s="180"/>
      <c r="S65" s="181"/>
      <c r="T65" s="182">
        <f t="shared" si="0"/>
        <v>126</v>
      </c>
      <c r="U65" s="106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8"/>
    </row>
    <row r="66" spans="1:32" s="68" customFormat="1" ht="11.25" hidden="1" thickBot="1" x14ac:dyDescent="0.2">
      <c r="A66" s="154"/>
      <c r="B66" s="124" t="s">
        <v>861</v>
      </c>
      <c r="C66" s="111">
        <v>0</v>
      </c>
      <c r="D66" s="112">
        <v>0</v>
      </c>
      <c r="E66" s="113">
        <v>0</v>
      </c>
      <c r="F66" s="113">
        <v>65</v>
      </c>
      <c r="G66" s="113">
        <v>1</v>
      </c>
      <c r="H66" s="113">
        <v>44</v>
      </c>
      <c r="I66" s="113">
        <v>39</v>
      </c>
      <c r="J66" s="113"/>
      <c r="K66" s="114">
        <v>0</v>
      </c>
      <c r="L66" s="115">
        <f t="shared" si="1"/>
        <v>149</v>
      </c>
      <c r="M66" s="116">
        <f t="shared" si="2"/>
        <v>4076</v>
      </c>
      <c r="N66" s="111">
        <v>148</v>
      </c>
      <c r="O66" s="177">
        <v>1</v>
      </c>
      <c r="P66" s="178"/>
      <c r="Q66" s="179"/>
      <c r="R66" s="180"/>
      <c r="S66" s="181"/>
      <c r="T66" s="182">
        <f t="shared" si="0"/>
        <v>149</v>
      </c>
      <c r="U66" s="106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8"/>
    </row>
    <row r="67" spans="1:32" s="68" customFormat="1" ht="11.25" hidden="1" thickBot="1" x14ac:dyDescent="0.2">
      <c r="A67" s="190"/>
      <c r="B67" s="124" t="s">
        <v>862</v>
      </c>
      <c r="C67" s="111">
        <v>0</v>
      </c>
      <c r="D67" s="112">
        <v>0</v>
      </c>
      <c r="E67" s="113">
        <v>0</v>
      </c>
      <c r="F67" s="113">
        <v>49</v>
      </c>
      <c r="G67" s="113">
        <v>0</v>
      </c>
      <c r="H67" s="113">
        <v>65</v>
      </c>
      <c r="I67" s="113">
        <v>0</v>
      </c>
      <c r="J67" s="113"/>
      <c r="K67" s="114">
        <v>0</v>
      </c>
      <c r="L67" s="115">
        <f t="shared" si="1"/>
        <v>114</v>
      </c>
      <c r="M67" s="116">
        <f t="shared" si="2"/>
        <v>4190</v>
      </c>
      <c r="N67" s="111">
        <v>114</v>
      </c>
      <c r="O67" s="177">
        <v>0</v>
      </c>
      <c r="P67" s="178"/>
      <c r="Q67" s="179"/>
      <c r="R67" s="180"/>
      <c r="S67" s="181"/>
      <c r="T67" s="182">
        <f t="shared" si="0"/>
        <v>114</v>
      </c>
      <c r="U67" s="106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8"/>
    </row>
    <row r="68" spans="1:32" s="68" customFormat="1" ht="11.25" hidden="1" thickBot="1" x14ac:dyDescent="0.2">
      <c r="A68" s="191"/>
      <c r="B68" s="124" t="s">
        <v>864</v>
      </c>
      <c r="C68" s="111">
        <v>0</v>
      </c>
      <c r="D68" s="112">
        <v>0</v>
      </c>
      <c r="E68" s="113">
        <v>0</v>
      </c>
      <c r="F68" s="113">
        <v>91</v>
      </c>
      <c r="G68" s="113">
        <v>0</v>
      </c>
      <c r="H68" s="113">
        <v>42</v>
      </c>
      <c r="I68" s="113">
        <v>0</v>
      </c>
      <c r="J68" s="113"/>
      <c r="K68" s="114">
        <v>1</v>
      </c>
      <c r="L68" s="115">
        <f t="shared" si="1"/>
        <v>134</v>
      </c>
      <c r="M68" s="116">
        <f t="shared" si="2"/>
        <v>4324</v>
      </c>
      <c r="N68" s="111">
        <v>134</v>
      </c>
      <c r="O68" s="177">
        <v>0</v>
      </c>
      <c r="P68" s="178"/>
      <c r="Q68" s="179"/>
      <c r="R68" s="180"/>
      <c r="S68" s="181"/>
      <c r="T68" s="182">
        <f t="shared" ref="T68:T131" si="3">L68+R68</f>
        <v>134</v>
      </c>
      <c r="U68" s="106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8"/>
    </row>
    <row r="69" spans="1:32" s="68" customFormat="1" ht="11.25" hidden="1" thickBot="1" x14ac:dyDescent="0.2">
      <c r="A69" s="153" t="s">
        <v>863</v>
      </c>
      <c r="B69" s="124" t="s">
        <v>865</v>
      </c>
      <c r="C69" s="111">
        <v>0</v>
      </c>
      <c r="D69" s="112">
        <v>0</v>
      </c>
      <c r="E69" s="113">
        <v>0</v>
      </c>
      <c r="F69" s="113">
        <v>105</v>
      </c>
      <c r="G69" s="113">
        <v>0</v>
      </c>
      <c r="H69" s="113">
        <v>56</v>
      </c>
      <c r="I69" s="113">
        <v>2</v>
      </c>
      <c r="J69" s="113"/>
      <c r="K69" s="114">
        <v>0</v>
      </c>
      <c r="L69" s="115">
        <f t="shared" si="1"/>
        <v>163</v>
      </c>
      <c r="M69" s="116">
        <f t="shared" si="2"/>
        <v>4487</v>
      </c>
      <c r="N69" s="111">
        <v>163</v>
      </c>
      <c r="O69" s="177">
        <v>0</v>
      </c>
      <c r="P69" s="178"/>
      <c r="Q69" s="179"/>
      <c r="R69" s="180"/>
      <c r="S69" s="181"/>
      <c r="T69" s="182">
        <f t="shared" si="3"/>
        <v>163</v>
      </c>
      <c r="U69" s="106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8"/>
    </row>
    <row r="70" spans="1:32" s="68" customFormat="1" ht="11.25" hidden="1" thickBot="1" x14ac:dyDescent="0.2">
      <c r="A70" s="154">
        <f>SUM(L64:L75)</f>
        <v>1878</v>
      </c>
      <c r="B70" s="124" t="s">
        <v>866</v>
      </c>
      <c r="C70" s="111">
        <v>0</v>
      </c>
      <c r="D70" s="112">
        <v>0</v>
      </c>
      <c r="E70" s="113">
        <v>11</v>
      </c>
      <c r="F70" s="113">
        <v>33</v>
      </c>
      <c r="G70" s="113">
        <v>0</v>
      </c>
      <c r="H70" s="113">
        <v>140</v>
      </c>
      <c r="I70" s="113">
        <v>6</v>
      </c>
      <c r="J70" s="113"/>
      <c r="K70" s="114">
        <v>0</v>
      </c>
      <c r="L70" s="115">
        <f t="shared" si="1"/>
        <v>190</v>
      </c>
      <c r="M70" s="116">
        <f t="shared" si="2"/>
        <v>4677</v>
      </c>
      <c r="N70" s="111">
        <v>179</v>
      </c>
      <c r="O70" s="177">
        <v>11</v>
      </c>
      <c r="P70" s="178"/>
      <c r="Q70" s="179"/>
      <c r="R70" s="180"/>
      <c r="S70" s="181"/>
      <c r="T70" s="182">
        <f t="shared" si="3"/>
        <v>190</v>
      </c>
      <c r="U70" s="106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8"/>
    </row>
    <row r="71" spans="1:32" s="68" customFormat="1" ht="11.25" hidden="1" thickBot="1" x14ac:dyDescent="0.2">
      <c r="A71" s="190"/>
      <c r="B71" s="124" t="s">
        <v>868</v>
      </c>
      <c r="C71" s="111">
        <v>0</v>
      </c>
      <c r="D71" s="112">
        <v>0</v>
      </c>
      <c r="E71" s="113">
        <v>23</v>
      </c>
      <c r="F71" s="113">
        <v>2</v>
      </c>
      <c r="G71" s="113">
        <v>0</v>
      </c>
      <c r="H71" s="113">
        <v>167</v>
      </c>
      <c r="I71" s="113">
        <v>0</v>
      </c>
      <c r="J71" s="113"/>
      <c r="K71" s="114">
        <v>10</v>
      </c>
      <c r="L71" s="115">
        <f t="shared" si="1"/>
        <v>202</v>
      </c>
      <c r="M71" s="116">
        <f t="shared" si="2"/>
        <v>4879</v>
      </c>
      <c r="N71" s="111">
        <v>179</v>
      </c>
      <c r="O71" s="177">
        <v>23</v>
      </c>
      <c r="P71" s="178"/>
      <c r="Q71" s="179"/>
      <c r="R71" s="180"/>
      <c r="S71" s="181"/>
      <c r="T71" s="182">
        <f t="shared" si="3"/>
        <v>202</v>
      </c>
      <c r="U71" s="106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8"/>
    </row>
    <row r="72" spans="1:32" s="68" customFormat="1" ht="11.25" hidden="1" thickBot="1" x14ac:dyDescent="0.2">
      <c r="A72" s="191"/>
      <c r="B72" s="124" t="s">
        <v>882</v>
      </c>
      <c r="C72" s="111">
        <v>0</v>
      </c>
      <c r="D72" s="112">
        <v>0</v>
      </c>
      <c r="E72" s="113">
        <v>7</v>
      </c>
      <c r="F72" s="113">
        <v>0</v>
      </c>
      <c r="G72" s="113">
        <v>0</v>
      </c>
      <c r="H72" s="113">
        <v>149</v>
      </c>
      <c r="I72" s="113">
        <v>0</v>
      </c>
      <c r="J72" s="113"/>
      <c r="K72" s="114">
        <v>12</v>
      </c>
      <c r="L72" s="115">
        <f t="shared" si="1"/>
        <v>168</v>
      </c>
      <c r="M72" s="116">
        <f t="shared" si="2"/>
        <v>5047</v>
      </c>
      <c r="N72" s="111">
        <v>161</v>
      </c>
      <c r="O72" s="177">
        <v>7</v>
      </c>
      <c r="P72" s="178"/>
      <c r="Q72" s="179"/>
      <c r="R72" s="180"/>
      <c r="S72" s="181"/>
      <c r="T72" s="182">
        <f t="shared" si="3"/>
        <v>168</v>
      </c>
      <c r="U72" s="106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8"/>
    </row>
    <row r="73" spans="1:32" s="68" customFormat="1" ht="11.25" hidden="1" thickBot="1" x14ac:dyDescent="0.2">
      <c r="A73" s="153" t="s">
        <v>867</v>
      </c>
      <c r="B73" s="124" t="s">
        <v>870</v>
      </c>
      <c r="C73" s="111">
        <v>0</v>
      </c>
      <c r="D73" s="112">
        <v>0</v>
      </c>
      <c r="E73" s="113">
        <v>0</v>
      </c>
      <c r="F73" s="113">
        <v>0</v>
      </c>
      <c r="G73" s="113">
        <v>0</v>
      </c>
      <c r="H73" s="113">
        <v>178</v>
      </c>
      <c r="I73" s="113">
        <v>0</v>
      </c>
      <c r="J73" s="113"/>
      <c r="K73" s="114">
        <v>24</v>
      </c>
      <c r="L73" s="115">
        <f t="shared" si="1"/>
        <v>202</v>
      </c>
      <c r="M73" s="116">
        <f t="shared" si="2"/>
        <v>5249</v>
      </c>
      <c r="N73" s="111">
        <v>202</v>
      </c>
      <c r="O73" s="114">
        <v>0</v>
      </c>
      <c r="P73" s="117"/>
      <c r="Q73" s="118"/>
      <c r="R73" s="111"/>
      <c r="S73" s="119"/>
      <c r="T73" s="120">
        <f t="shared" si="3"/>
        <v>202</v>
      </c>
      <c r="U73" s="106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8"/>
    </row>
    <row r="74" spans="1:32" s="68" customFormat="1" ht="11.25" hidden="1" thickBot="1" x14ac:dyDescent="0.2">
      <c r="A74" s="154">
        <f>A66+A70</f>
        <v>1878</v>
      </c>
      <c r="B74" s="124" t="s">
        <v>871</v>
      </c>
      <c r="C74" s="111">
        <v>0</v>
      </c>
      <c r="D74" s="112">
        <v>0</v>
      </c>
      <c r="E74" s="113">
        <v>3</v>
      </c>
      <c r="F74" s="113">
        <v>13</v>
      </c>
      <c r="G74" s="113">
        <v>0</v>
      </c>
      <c r="H74" s="113">
        <v>111</v>
      </c>
      <c r="I74" s="113">
        <v>0</v>
      </c>
      <c r="J74" s="113"/>
      <c r="K74" s="114">
        <v>118</v>
      </c>
      <c r="L74" s="115">
        <f t="shared" si="1"/>
        <v>245</v>
      </c>
      <c r="M74" s="116">
        <f t="shared" si="2"/>
        <v>5494</v>
      </c>
      <c r="N74" s="111">
        <v>242</v>
      </c>
      <c r="O74" s="114">
        <v>3</v>
      </c>
      <c r="P74" s="117"/>
      <c r="Q74" s="118"/>
      <c r="R74" s="111"/>
      <c r="S74" s="119"/>
      <c r="T74" s="120">
        <f t="shared" si="3"/>
        <v>245</v>
      </c>
      <c r="U74" s="106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8"/>
    </row>
    <row r="75" spans="1:32" s="68" customFormat="1" ht="11.25" hidden="1" thickBot="1" x14ac:dyDescent="0.2">
      <c r="A75" s="190"/>
      <c r="B75" s="192" t="s">
        <v>872</v>
      </c>
      <c r="C75" s="127">
        <v>0</v>
      </c>
      <c r="D75" s="128">
        <v>0</v>
      </c>
      <c r="E75" s="129">
        <v>0</v>
      </c>
      <c r="F75" s="129">
        <v>70</v>
      </c>
      <c r="G75" s="129">
        <v>0</v>
      </c>
      <c r="H75" s="129">
        <v>17</v>
      </c>
      <c r="I75" s="129">
        <v>0</v>
      </c>
      <c r="J75" s="129"/>
      <c r="K75" s="130">
        <v>1</v>
      </c>
      <c r="L75" s="131">
        <v>88</v>
      </c>
      <c r="M75" s="132">
        <f t="shared" si="2"/>
        <v>5582</v>
      </c>
      <c r="N75" s="127">
        <v>88</v>
      </c>
      <c r="O75" s="130">
        <v>0</v>
      </c>
      <c r="P75" s="133"/>
      <c r="Q75" s="134"/>
      <c r="R75" s="135"/>
      <c r="S75" s="136"/>
      <c r="T75" s="137">
        <f t="shared" si="3"/>
        <v>88</v>
      </c>
      <c r="U75" s="106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8"/>
    </row>
    <row r="76" spans="1:32" s="68" customFormat="1" ht="11.25" hidden="1" thickBot="1" x14ac:dyDescent="0.2">
      <c r="A76" s="193"/>
      <c r="B76" s="170" t="s">
        <v>859</v>
      </c>
      <c r="C76" s="147">
        <v>0</v>
      </c>
      <c r="D76" s="148">
        <v>0</v>
      </c>
      <c r="E76" s="149">
        <v>1</v>
      </c>
      <c r="F76" s="149">
        <v>65</v>
      </c>
      <c r="G76" s="149">
        <v>0</v>
      </c>
      <c r="H76" s="149">
        <v>20</v>
      </c>
      <c r="I76" s="149">
        <v>0</v>
      </c>
      <c r="J76" s="149"/>
      <c r="K76" s="150">
        <v>1</v>
      </c>
      <c r="L76" s="151">
        <f t="shared" ref="L76:L83" si="4">SUM(C76:K76)</f>
        <v>87</v>
      </c>
      <c r="M76" s="152">
        <f t="shared" si="2"/>
        <v>5669</v>
      </c>
      <c r="N76" s="147">
        <v>86</v>
      </c>
      <c r="O76" s="150">
        <v>1</v>
      </c>
      <c r="P76" s="102"/>
      <c r="Q76" s="103"/>
      <c r="R76" s="96"/>
      <c r="S76" s="104"/>
      <c r="T76" s="105">
        <f t="shared" si="3"/>
        <v>87</v>
      </c>
      <c r="U76" s="106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8"/>
    </row>
    <row r="77" spans="1:32" s="68" customFormat="1" ht="11.25" hidden="1" thickBot="1" x14ac:dyDescent="0.2">
      <c r="A77" s="153" t="s">
        <v>883</v>
      </c>
      <c r="B77" s="124" t="s">
        <v>860</v>
      </c>
      <c r="C77" s="111">
        <v>0</v>
      </c>
      <c r="D77" s="112">
        <v>0</v>
      </c>
      <c r="E77" s="113">
        <v>3</v>
      </c>
      <c r="F77" s="113">
        <v>99</v>
      </c>
      <c r="G77" s="113">
        <v>0</v>
      </c>
      <c r="H77" s="113">
        <v>12</v>
      </c>
      <c r="I77" s="113">
        <v>0</v>
      </c>
      <c r="J77" s="113"/>
      <c r="K77" s="114">
        <v>2</v>
      </c>
      <c r="L77" s="115">
        <f t="shared" si="4"/>
        <v>116</v>
      </c>
      <c r="M77" s="116">
        <f t="shared" si="2"/>
        <v>5785</v>
      </c>
      <c r="N77" s="111">
        <v>113</v>
      </c>
      <c r="O77" s="114">
        <v>3</v>
      </c>
      <c r="P77" s="117"/>
      <c r="Q77" s="118"/>
      <c r="R77" s="111"/>
      <c r="S77" s="119"/>
      <c r="T77" s="120">
        <f t="shared" si="3"/>
        <v>116</v>
      </c>
      <c r="U77" s="106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8"/>
    </row>
    <row r="78" spans="1:32" s="68" customFormat="1" ht="11.25" hidden="1" thickBot="1" x14ac:dyDescent="0.2">
      <c r="A78" s="153"/>
      <c r="B78" s="124" t="s">
        <v>861</v>
      </c>
      <c r="C78" s="111">
        <v>0</v>
      </c>
      <c r="D78" s="112">
        <v>0</v>
      </c>
      <c r="E78" s="113">
        <v>20</v>
      </c>
      <c r="F78" s="113">
        <v>50</v>
      </c>
      <c r="G78" s="113">
        <v>0</v>
      </c>
      <c r="H78" s="113">
        <v>47</v>
      </c>
      <c r="I78" s="113">
        <v>0</v>
      </c>
      <c r="J78" s="113"/>
      <c r="K78" s="114">
        <v>1</v>
      </c>
      <c r="L78" s="115">
        <f t="shared" si="4"/>
        <v>118</v>
      </c>
      <c r="M78" s="116">
        <f t="shared" si="2"/>
        <v>5903</v>
      </c>
      <c r="N78" s="111">
        <v>98</v>
      </c>
      <c r="O78" s="114">
        <v>20</v>
      </c>
      <c r="P78" s="117"/>
      <c r="Q78" s="118"/>
      <c r="R78" s="111"/>
      <c r="S78" s="119"/>
      <c r="T78" s="120">
        <f t="shared" si="3"/>
        <v>118</v>
      </c>
      <c r="U78" s="106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8"/>
    </row>
    <row r="79" spans="1:32" s="68" customFormat="1" ht="11.25" hidden="1" thickBot="1" x14ac:dyDescent="0.2">
      <c r="A79" s="194"/>
      <c r="B79" s="124" t="s">
        <v>862</v>
      </c>
      <c r="C79" s="111">
        <v>0</v>
      </c>
      <c r="D79" s="112">
        <v>0</v>
      </c>
      <c r="E79" s="113">
        <v>6</v>
      </c>
      <c r="F79" s="113">
        <v>50</v>
      </c>
      <c r="G79" s="113">
        <v>0</v>
      </c>
      <c r="H79" s="113">
        <v>21</v>
      </c>
      <c r="I79" s="113">
        <v>0</v>
      </c>
      <c r="J79" s="113"/>
      <c r="K79" s="114">
        <v>64</v>
      </c>
      <c r="L79" s="115">
        <f t="shared" si="4"/>
        <v>141</v>
      </c>
      <c r="M79" s="116">
        <f t="shared" si="2"/>
        <v>6044</v>
      </c>
      <c r="N79" s="111">
        <v>135</v>
      </c>
      <c r="O79" s="114">
        <v>6</v>
      </c>
      <c r="P79" s="117"/>
      <c r="Q79" s="118"/>
      <c r="R79" s="111"/>
      <c r="S79" s="119"/>
      <c r="T79" s="120">
        <f t="shared" si="3"/>
        <v>141</v>
      </c>
      <c r="U79" s="106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8"/>
    </row>
    <row r="80" spans="1:32" s="68" customFormat="1" ht="11.25" hidden="1" thickBot="1" x14ac:dyDescent="0.2">
      <c r="A80" s="190"/>
      <c r="B80" s="124" t="s">
        <v>864</v>
      </c>
      <c r="C80" s="111">
        <v>0</v>
      </c>
      <c r="D80" s="112">
        <v>0</v>
      </c>
      <c r="E80" s="113">
        <v>48</v>
      </c>
      <c r="F80" s="113">
        <v>2</v>
      </c>
      <c r="G80" s="113">
        <v>0</v>
      </c>
      <c r="H80" s="113">
        <v>66</v>
      </c>
      <c r="I80" s="113">
        <v>2</v>
      </c>
      <c r="J80" s="113"/>
      <c r="K80" s="114">
        <v>53</v>
      </c>
      <c r="L80" s="115">
        <f t="shared" si="4"/>
        <v>171</v>
      </c>
      <c r="M80" s="116">
        <f t="shared" si="2"/>
        <v>6215</v>
      </c>
      <c r="N80" s="111">
        <v>123</v>
      </c>
      <c r="O80" s="114">
        <v>48</v>
      </c>
      <c r="P80" s="117"/>
      <c r="Q80" s="118"/>
      <c r="R80" s="111"/>
      <c r="S80" s="119"/>
      <c r="T80" s="120">
        <f t="shared" si="3"/>
        <v>171</v>
      </c>
      <c r="U80" s="106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8"/>
    </row>
    <row r="81" spans="1:32" s="68" customFormat="1" ht="11.25" hidden="1" thickBot="1" x14ac:dyDescent="0.2">
      <c r="A81" s="153" t="s">
        <v>863</v>
      </c>
      <c r="B81" s="124" t="s">
        <v>865</v>
      </c>
      <c r="C81" s="111">
        <v>0</v>
      </c>
      <c r="D81" s="112">
        <v>0</v>
      </c>
      <c r="E81" s="113">
        <v>52</v>
      </c>
      <c r="F81" s="113">
        <v>0</v>
      </c>
      <c r="G81" s="113">
        <v>0</v>
      </c>
      <c r="H81" s="113">
        <v>174</v>
      </c>
      <c r="I81" s="113">
        <v>1</v>
      </c>
      <c r="J81" s="113"/>
      <c r="K81" s="114">
        <v>6</v>
      </c>
      <c r="L81" s="115">
        <f t="shared" si="4"/>
        <v>233</v>
      </c>
      <c r="M81" s="116">
        <f t="shared" si="2"/>
        <v>6448</v>
      </c>
      <c r="N81" s="111">
        <v>181</v>
      </c>
      <c r="O81" s="114">
        <v>52</v>
      </c>
      <c r="P81" s="117"/>
      <c r="Q81" s="118"/>
      <c r="R81" s="111"/>
      <c r="S81" s="119"/>
      <c r="T81" s="120">
        <f t="shared" si="3"/>
        <v>233</v>
      </c>
      <c r="U81" s="106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8"/>
    </row>
    <row r="82" spans="1:32" s="68" customFormat="1" ht="11.25" hidden="1" thickBot="1" x14ac:dyDescent="0.2">
      <c r="A82" s="194">
        <f>SUM(L76:L87)</f>
        <v>1993</v>
      </c>
      <c r="B82" s="124" t="s">
        <v>866</v>
      </c>
      <c r="C82" s="111">
        <v>0</v>
      </c>
      <c r="D82" s="112">
        <v>0</v>
      </c>
      <c r="E82" s="113">
        <v>27</v>
      </c>
      <c r="F82" s="113">
        <v>0</v>
      </c>
      <c r="G82" s="113">
        <v>0</v>
      </c>
      <c r="H82" s="113">
        <v>171</v>
      </c>
      <c r="I82" s="113">
        <v>8</v>
      </c>
      <c r="J82" s="113"/>
      <c r="K82" s="114">
        <v>0</v>
      </c>
      <c r="L82" s="115">
        <f t="shared" si="4"/>
        <v>206</v>
      </c>
      <c r="M82" s="116">
        <f t="shared" si="2"/>
        <v>6654</v>
      </c>
      <c r="N82" s="111">
        <v>179</v>
      </c>
      <c r="O82" s="114">
        <v>27</v>
      </c>
      <c r="P82" s="117"/>
      <c r="Q82" s="118"/>
      <c r="R82" s="111"/>
      <c r="S82" s="119"/>
      <c r="T82" s="120">
        <f t="shared" si="3"/>
        <v>206</v>
      </c>
      <c r="U82" s="106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8"/>
    </row>
    <row r="83" spans="1:32" s="68" customFormat="1" ht="11.25" hidden="1" thickBot="1" x14ac:dyDescent="0.2">
      <c r="A83" s="190"/>
      <c r="B83" s="124" t="s">
        <v>868</v>
      </c>
      <c r="C83" s="111">
        <v>0</v>
      </c>
      <c r="D83" s="112">
        <v>0</v>
      </c>
      <c r="E83" s="113">
        <v>61</v>
      </c>
      <c r="F83" s="113">
        <v>0</v>
      </c>
      <c r="G83" s="113">
        <v>0</v>
      </c>
      <c r="H83" s="113">
        <v>115</v>
      </c>
      <c r="I83" s="113">
        <v>0</v>
      </c>
      <c r="J83" s="113"/>
      <c r="K83" s="114">
        <v>2</v>
      </c>
      <c r="L83" s="115">
        <f t="shared" si="4"/>
        <v>178</v>
      </c>
      <c r="M83" s="116">
        <f t="shared" si="2"/>
        <v>6832</v>
      </c>
      <c r="N83" s="111">
        <f t="shared" ref="N83:N93" si="5">C83+D83+F83+H83+I83+K83</f>
        <v>117</v>
      </c>
      <c r="O83" s="114">
        <f t="shared" ref="O83:O146" si="6">E83+G83</f>
        <v>61</v>
      </c>
      <c r="P83" s="117"/>
      <c r="Q83" s="118"/>
      <c r="R83" s="111"/>
      <c r="S83" s="119"/>
      <c r="T83" s="120">
        <f t="shared" si="3"/>
        <v>178</v>
      </c>
      <c r="U83" s="106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8"/>
    </row>
    <row r="84" spans="1:32" s="68" customFormat="1" ht="11.25" hidden="1" thickBot="1" x14ac:dyDescent="0.2">
      <c r="A84" s="153" t="s">
        <v>867</v>
      </c>
      <c r="B84" s="124" t="s">
        <v>884</v>
      </c>
      <c r="C84" s="111">
        <v>0</v>
      </c>
      <c r="D84" s="112">
        <v>0</v>
      </c>
      <c r="E84" s="113">
        <v>72</v>
      </c>
      <c r="F84" s="113">
        <v>0</v>
      </c>
      <c r="G84" s="113">
        <v>0</v>
      </c>
      <c r="H84" s="113">
        <v>137</v>
      </c>
      <c r="I84" s="113">
        <v>0</v>
      </c>
      <c r="J84" s="113"/>
      <c r="K84" s="114">
        <v>0</v>
      </c>
      <c r="L84" s="115">
        <v>209</v>
      </c>
      <c r="M84" s="116">
        <v>7041</v>
      </c>
      <c r="N84" s="111">
        <f t="shared" si="5"/>
        <v>137</v>
      </c>
      <c r="O84" s="114">
        <f t="shared" si="6"/>
        <v>72</v>
      </c>
      <c r="P84" s="117"/>
      <c r="Q84" s="118"/>
      <c r="R84" s="111"/>
      <c r="S84" s="119"/>
      <c r="T84" s="120">
        <f t="shared" si="3"/>
        <v>209</v>
      </c>
      <c r="U84" s="106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8"/>
    </row>
    <row r="85" spans="1:32" s="68" customFormat="1" ht="11.25" hidden="1" thickBot="1" x14ac:dyDescent="0.2">
      <c r="A85" s="194">
        <f>A79+A82</f>
        <v>1993</v>
      </c>
      <c r="B85" s="124" t="s">
        <v>870</v>
      </c>
      <c r="C85" s="111">
        <v>0</v>
      </c>
      <c r="D85" s="112">
        <v>0</v>
      </c>
      <c r="E85" s="113">
        <v>92</v>
      </c>
      <c r="F85" s="113">
        <v>0</v>
      </c>
      <c r="G85" s="113">
        <v>0</v>
      </c>
      <c r="H85" s="113">
        <v>125</v>
      </c>
      <c r="I85" s="113">
        <v>0</v>
      </c>
      <c r="J85" s="113"/>
      <c r="K85" s="114">
        <v>24</v>
      </c>
      <c r="L85" s="115">
        <f t="shared" ref="L85:L148" si="7">SUM(C85:K85)</f>
        <v>241</v>
      </c>
      <c r="M85" s="116">
        <f t="shared" ref="M85:M148" si="8">M84+L85</f>
        <v>7282</v>
      </c>
      <c r="N85" s="111">
        <f t="shared" si="5"/>
        <v>149</v>
      </c>
      <c r="O85" s="114">
        <f t="shared" si="6"/>
        <v>92</v>
      </c>
      <c r="P85" s="117"/>
      <c r="Q85" s="118"/>
      <c r="R85" s="111"/>
      <c r="S85" s="119"/>
      <c r="T85" s="120">
        <f t="shared" si="3"/>
        <v>241</v>
      </c>
      <c r="U85" s="106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8"/>
    </row>
    <row r="86" spans="1:32" s="68" customFormat="1" ht="11.25" hidden="1" thickBot="1" x14ac:dyDescent="0.2">
      <c r="A86" s="190"/>
      <c r="B86" s="124" t="s">
        <v>871</v>
      </c>
      <c r="C86" s="111">
        <v>0</v>
      </c>
      <c r="D86" s="112">
        <v>0</v>
      </c>
      <c r="E86" s="113">
        <v>46</v>
      </c>
      <c r="F86" s="113">
        <v>0</v>
      </c>
      <c r="G86" s="113">
        <v>0</v>
      </c>
      <c r="H86" s="113">
        <v>31</v>
      </c>
      <c r="I86" s="113">
        <v>0</v>
      </c>
      <c r="J86" s="113"/>
      <c r="K86" s="114">
        <v>101</v>
      </c>
      <c r="L86" s="115">
        <f t="shared" si="7"/>
        <v>178</v>
      </c>
      <c r="M86" s="116">
        <f t="shared" si="8"/>
        <v>7460</v>
      </c>
      <c r="N86" s="111">
        <f t="shared" si="5"/>
        <v>132</v>
      </c>
      <c r="O86" s="114">
        <f t="shared" si="6"/>
        <v>46</v>
      </c>
      <c r="P86" s="117"/>
      <c r="Q86" s="118"/>
      <c r="R86" s="111"/>
      <c r="S86" s="119"/>
      <c r="T86" s="120">
        <f t="shared" si="3"/>
        <v>178</v>
      </c>
      <c r="U86" s="106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8"/>
    </row>
    <row r="87" spans="1:32" s="68" customFormat="1" ht="11.25" hidden="1" thickBot="1" x14ac:dyDescent="0.2">
      <c r="A87" s="195"/>
      <c r="B87" s="192" t="s">
        <v>872</v>
      </c>
      <c r="C87" s="127">
        <v>0</v>
      </c>
      <c r="D87" s="128">
        <v>0</v>
      </c>
      <c r="E87" s="129">
        <v>22</v>
      </c>
      <c r="F87" s="129">
        <v>26</v>
      </c>
      <c r="G87" s="129">
        <v>0</v>
      </c>
      <c r="H87" s="129">
        <v>65</v>
      </c>
      <c r="I87" s="129">
        <v>2</v>
      </c>
      <c r="J87" s="129"/>
      <c r="K87" s="130">
        <v>0</v>
      </c>
      <c r="L87" s="131">
        <f t="shared" si="7"/>
        <v>115</v>
      </c>
      <c r="M87" s="132">
        <f t="shared" si="8"/>
        <v>7575</v>
      </c>
      <c r="N87" s="127">
        <f t="shared" si="5"/>
        <v>93</v>
      </c>
      <c r="O87" s="130">
        <f t="shared" si="6"/>
        <v>22</v>
      </c>
      <c r="P87" s="133"/>
      <c r="Q87" s="134"/>
      <c r="R87" s="135"/>
      <c r="S87" s="136"/>
      <c r="T87" s="137">
        <f t="shared" si="3"/>
        <v>115</v>
      </c>
      <c r="U87" s="106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8"/>
    </row>
    <row r="88" spans="1:32" s="68" customFormat="1" ht="11.25" hidden="1" thickBot="1" x14ac:dyDescent="0.2">
      <c r="A88" s="190" t="s">
        <v>885</v>
      </c>
      <c r="B88" s="170" t="s">
        <v>859</v>
      </c>
      <c r="C88" s="147">
        <v>0</v>
      </c>
      <c r="D88" s="148">
        <v>0</v>
      </c>
      <c r="E88" s="149">
        <v>3</v>
      </c>
      <c r="F88" s="149">
        <v>45</v>
      </c>
      <c r="G88" s="149">
        <v>0</v>
      </c>
      <c r="H88" s="149">
        <v>46</v>
      </c>
      <c r="I88" s="149">
        <v>0</v>
      </c>
      <c r="J88" s="149"/>
      <c r="K88" s="150">
        <v>24</v>
      </c>
      <c r="L88" s="151">
        <f t="shared" si="7"/>
        <v>118</v>
      </c>
      <c r="M88" s="152">
        <f t="shared" si="8"/>
        <v>7693</v>
      </c>
      <c r="N88" s="147">
        <f t="shared" si="5"/>
        <v>115</v>
      </c>
      <c r="O88" s="150">
        <f t="shared" si="6"/>
        <v>3</v>
      </c>
      <c r="P88" s="102"/>
      <c r="Q88" s="103"/>
      <c r="R88" s="96"/>
      <c r="S88" s="104"/>
      <c r="T88" s="105">
        <f t="shared" si="3"/>
        <v>118</v>
      </c>
      <c r="U88" s="106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8"/>
    </row>
    <row r="89" spans="1:32" s="68" customFormat="1" ht="11.25" hidden="1" thickBot="1" x14ac:dyDescent="0.2">
      <c r="A89" s="153"/>
      <c r="B89" s="124" t="s">
        <v>860</v>
      </c>
      <c r="C89" s="111">
        <v>0</v>
      </c>
      <c r="D89" s="112">
        <v>0</v>
      </c>
      <c r="E89" s="113">
        <v>52</v>
      </c>
      <c r="F89" s="113">
        <v>27</v>
      </c>
      <c r="G89" s="113">
        <v>0</v>
      </c>
      <c r="H89" s="113">
        <v>59</v>
      </c>
      <c r="I89" s="113">
        <v>0</v>
      </c>
      <c r="J89" s="113"/>
      <c r="K89" s="114">
        <v>64</v>
      </c>
      <c r="L89" s="115">
        <f t="shared" si="7"/>
        <v>202</v>
      </c>
      <c r="M89" s="116">
        <f t="shared" si="8"/>
        <v>7895</v>
      </c>
      <c r="N89" s="111">
        <f t="shared" si="5"/>
        <v>150</v>
      </c>
      <c r="O89" s="114">
        <f t="shared" si="6"/>
        <v>52</v>
      </c>
      <c r="P89" s="117"/>
      <c r="Q89" s="118"/>
      <c r="R89" s="111"/>
      <c r="S89" s="119"/>
      <c r="T89" s="120">
        <f t="shared" si="3"/>
        <v>202</v>
      </c>
      <c r="U89" s="106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8"/>
    </row>
    <row r="90" spans="1:32" s="68" customFormat="1" ht="11.25" hidden="1" thickBot="1" x14ac:dyDescent="0.2">
      <c r="A90" s="194"/>
      <c r="B90" s="124" t="s">
        <v>861</v>
      </c>
      <c r="C90" s="111">
        <v>0</v>
      </c>
      <c r="D90" s="112">
        <v>0</v>
      </c>
      <c r="E90" s="113">
        <v>69</v>
      </c>
      <c r="F90" s="113">
        <v>50</v>
      </c>
      <c r="G90" s="113">
        <v>0</v>
      </c>
      <c r="H90" s="113">
        <v>23</v>
      </c>
      <c r="I90" s="113">
        <v>0</v>
      </c>
      <c r="J90" s="113"/>
      <c r="K90" s="114">
        <v>42</v>
      </c>
      <c r="L90" s="115">
        <f t="shared" si="7"/>
        <v>184</v>
      </c>
      <c r="M90" s="116">
        <f t="shared" si="8"/>
        <v>8079</v>
      </c>
      <c r="N90" s="111">
        <f t="shared" si="5"/>
        <v>115</v>
      </c>
      <c r="O90" s="114">
        <f t="shared" si="6"/>
        <v>69</v>
      </c>
      <c r="P90" s="117"/>
      <c r="Q90" s="118"/>
      <c r="R90" s="111"/>
      <c r="S90" s="119"/>
      <c r="T90" s="120">
        <f t="shared" si="3"/>
        <v>184</v>
      </c>
      <c r="U90" s="106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8"/>
    </row>
    <row r="91" spans="1:32" s="68" customFormat="1" ht="11.25" hidden="1" thickBot="1" x14ac:dyDescent="0.2">
      <c r="A91" s="190"/>
      <c r="B91" s="124" t="s">
        <v>862</v>
      </c>
      <c r="C91" s="111">
        <v>0</v>
      </c>
      <c r="D91" s="112">
        <v>0</v>
      </c>
      <c r="E91" s="113">
        <v>60</v>
      </c>
      <c r="F91" s="113">
        <v>23</v>
      </c>
      <c r="G91" s="113">
        <v>0</v>
      </c>
      <c r="H91" s="113">
        <v>26</v>
      </c>
      <c r="I91" s="113">
        <v>0</v>
      </c>
      <c r="J91" s="113"/>
      <c r="K91" s="114">
        <v>35</v>
      </c>
      <c r="L91" s="115">
        <f t="shared" si="7"/>
        <v>144</v>
      </c>
      <c r="M91" s="116">
        <f t="shared" si="8"/>
        <v>8223</v>
      </c>
      <c r="N91" s="111">
        <f t="shared" si="5"/>
        <v>84</v>
      </c>
      <c r="O91" s="114">
        <f t="shared" si="6"/>
        <v>60</v>
      </c>
      <c r="P91" s="117"/>
      <c r="Q91" s="118"/>
      <c r="R91" s="111"/>
      <c r="S91" s="119"/>
      <c r="T91" s="120">
        <f t="shared" si="3"/>
        <v>144</v>
      </c>
      <c r="U91" s="106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8"/>
    </row>
    <row r="92" spans="1:32" s="68" customFormat="1" ht="11.25" hidden="1" thickBot="1" x14ac:dyDescent="0.2">
      <c r="A92" s="153" t="s">
        <v>863</v>
      </c>
      <c r="B92" s="124" t="s">
        <v>864</v>
      </c>
      <c r="C92" s="111">
        <v>0</v>
      </c>
      <c r="D92" s="112">
        <v>0</v>
      </c>
      <c r="E92" s="113">
        <v>33</v>
      </c>
      <c r="F92" s="113">
        <v>35</v>
      </c>
      <c r="G92" s="113">
        <v>0</v>
      </c>
      <c r="H92" s="113">
        <v>90</v>
      </c>
      <c r="I92" s="113">
        <v>0</v>
      </c>
      <c r="J92" s="113"/>
      <c r="K92" s="114">
        <v>15</v>
      </c>
      <c r="L92" s="115">
        <f t="shared" si="7"/>
        <v>173</v>
      </c>
      <c r="M92" s="116">
        <f t="shared" si="8"/>
        <v>8396</v>
      </c>
      <c r="N92" s="111">
        <f t="shared" si="5"/>
        <v>140</v>
      </c>
      <c r="O92" s="114">
        <f t="shared" si="6"/>
        <v>33</v>
      </c>
      <c r="P92" s="117"/>
      <c r="Q92" s="118"/>
      <c r="R92" s="111"/>
      <c r="S92" s="119"/>
      <c r="T92" s="120">
        <f t="shared" si="3"/>
        <v>173</v>
      </c>
      <c r="U92" s="106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8"/>
    </row>
    <row r="93" spans="1:32" s="68" customFormat="1" ht="11.25" hidden="1" thickBot="1" x14ac:dyDescent="0.2">
      <c r="A93" s="194">
        <f>SUM(L88:L99)</f>
        <v>2038</v>
      </c>
      <c r="B93" s="124" t="s">
        <v>865</v>
      </c>
      <c r="C93" s="111">
        <v>0</v>
      </c>
      <c r="D93" s="112">
        <v>0</v>
      </c>
      <c r="E93" s="113">
        <v>44</v>
      </c>
      <c r="F93" s="113">
        <v>29</v>
      </c>
      <c r="G93" s="113">
        <v>0</v>
      </c>
      <c r="H93" s="113">
        <v>44</v>
      </c>
      <c r="I93" s="113">
        <v>0</v>
      </c>
      <c r="J93" s="113"/>
      <c r="K93" s="114">
        <v>32</v>
      </c>
      <c r="L93" s="115">
        <f t="shared" si="7"/>
        <v>149</v>
      </c>
      <c r="M93" s="116">
        <f t="shared" si="8"/>
        <v>8545</v>
      </c>
      <c r="N93" s="111">
        <f t="shared" si="5"/>
        <v>105</v>
      </c>
      <c r="O93" s="114">
        <f t="shared" si="6"/>
        <v>44</v>
      </c>
      <c r="P93" s="117"/>
      <c r="Q93" s="118"/>
      <c r="R93" s="111"/>
      <c r="S93" s="119"/>
      <c r="T93" s="120">
        <f t="shared" si="3"/>
        <v>149</v>
      </c>
      <c r="U93" s="106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8"/>
    </row>
    <row r="94" spans="1:32" s="68" customFormat="1" ht="11.25" hidden="1" thickBot="1" x14ac:dyDescent="0.2">
      <c r="A94" s="196"/>
      <c r="B94" s="124" t="s">
        <v>866</v>
      </c>
      <c r="C94" s="111">
        <v>0</v>
      </c>
      <c r="D94" s="112">
        <v>0</v>
      </c>
      <c r="E94" s="113">
        <v>0</v>
      </c>
      <c r="F94" s="113">
        <v>33</v>
      </c>
      <c r="G94" s="113">
        <v>0</v>
      </c>
      <c r="H94" s="113">
        <v>99</v>
      </c>
      <c r="I94" s="113">
        <v>2</v>
      </c>
      <c r="J94" s="113"/>
      <c r="K94" s="114">
        <v>4</v>
      </c>
      <c r="L94" s="115">
        <f t="shared" si="7"/>
        <v>138</v>
      </c>
      <c r="M94" s="116">
        <f t="shared" si="8"/>
        <v>8683</v>
      </c>
      <c r="N94" s="111">
        <f t="shared" ref="N94:N157" si="9">C94+D94+F94+H94+I94+K94+J94</f>
        <v>138</v>
      </c>
      <c r="O94" s="114">
        <f t="shared" si="6"/>
        <v>0</v>
      </c>
      <c r="P94" s="117"/>
      <c r="Q94" s="118"/>
      <c r="R94" s="111"/>
      <c r="S94" s="119"/>
      <c r="T94" s="120">
        <f t="shared" si="3"/>
        <v>138</v>
      </c>
      <c r="U94" s="106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8"/>
    </row>
    <row r="95" spans="1:32" s="68" customFormat="1" ht="11.25" hidden="1" thickBot="1" x14ac:dyDescent="0.2">
      <c r="A95" s="196"/>
      <c r="B95" s="124" t="s">
        <v>868</v>
      </c>
      <c r="C95" s="111">
        <v>0</v>
      </c>
      <c r="D95" s="112">
        <v>0</v>
      </c>
      <c r="E95" s="113">
        <v>42</v>
      </c>
      <c r="F95" s="113">
        <v>2</v>
      </c>
      <c r="G95" s="113">
        <v>0</v>
      </c>
      <c r="H95" s="113">
        <v>88</v>
      </c>
      <c r="I95" s="113">
        <v>2</v>
      </c>
      <c r="J95" s="113"/>
      <c r="K95" s="114">
        <v>25</v>
      </c>
      <c r="L95" s="115">
        <f t="shared" si="7"/>
        <v>159</v>
      </c>
      <c r="M95" s="116">
        <f t="shared" si="8"/>
        <v>8842</v>
      </c>
      <c r="N95" s="111">
        <f t="shared" si="9"/>
        <v>117</v>
      </c>
      <c r="O95" s="114">
        <f t="shared" si="6"/>
        <v>42</v>
      </c>
      <c r="P95" s="117"/>
      <c r="Q95" s="118"/>
      <c r="R95" s="111"/>
      <c r="S95" s="119"/>
      <c r="T95" s="120">
        <f t="shared" si="3"/>
        <v>159</v>
      </c>
      <c r="U95" s="106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8"/>
    </row>
    <row r="96" spans="1:32" s="68" customFormat="1" ht="11.25" hidden="1" thickBot="1" x14ac:dyDescent="0.2">
      <c r="A96" s="153" t="s">
        <v>867</v>
      </c>
      <c r="B96" s="124" t="s">
        <v>886</v>
      </c>
      <c r="C96" s="111">
        <v>0</v>
      </c>
      <c r="D96" s="112">
        <v>0</v>
      </c>
      <c r="E96" s="113">
        <v>11</v>
      </c>
      <c r="F96" s="113">
        <v>0</v>
      </c>
      <c r="G96" s="113">
        <v>0</v>
      </c>
      <c r="H96" s="113">
        <v>103</v>
      </c>
      <c r="I96" s="113">
        <v>1</v>
      </c>
      <c r="J96" s="113">
        <v>0</v>
      </c>
      <c r="K96" s="114">
        <v>67</v>
      </c>
      <c r="L96" s="115">
        <f t="shared" si="7"/>
        <v>182</v>
      </c>
      <c r="M96" s="116">
        <f t="shared" si="8"/>
        <v>9024</v>
      </c>
      <c r="N96" s="111">
        <f t="shared" si="9"/>
        <v>171</v>
      </c>
      <c r="O96" s="114">
        <f t="shared" si="6"/>
        <v>11</v>
      </c>
      <c r="P96" s="117"/>
      <c r="Q96" s="118"/>
      <c r="R96" s="111"/>
      <c r="S96" s="119"/>
      <c r="T96" s="120">
        <f t="shared" si="3"/>
        <v>182</v>
      </c>
      <c r="U96" s="106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8"/>
    </row>
    <row r="97" spans="1:32" s="68" customFormat="1" ht="11.25" hidden="1" thickBot="1" x14ac:dyDescent="0.2">
      <c r="A97" s="194">
        <f>A90+A93</f>
        <v>2038</v>
      </c>
      <c r="B97" s="124" t="s">
        <v>870</v>
      </c>
      <c r="C97" s="111">
        <v>0</v>
      </c>
      <c r="D97" s="112">
        <v>0</v>
      </c>
      <c r="E97" s="113">
        <v>2</v>
      </c>
      <c r="F97" s="113">
        <v>5</v>
      </c>
      <c r="G97" s="113">
        <v>0</v>
      </c>
      <c r="H97" s="113">
        <v>195</v>
      </c>
      <c r="I97" s="113">
        <v>3</v>
      </c>
      <c r="J97" s="113">
        <v>0</v>
      </c>
      <c r="K97" s="114">
        <v>35</v>
      </c>
      <c r="L97" s="115">
        <f t="shared" si="7"/>
        <v>240</v>
      </c>
      <c r="M97" s="116">
        <f t="shared" si="8"/>
        <v>9264</v>
      </c>
      <c r="N97" s="111">
        <f t="shared" si="9"/>
        <v>238</v>
      </c>
      <c r="O97" s="114">
        <f t="shared" si="6"/>
        <v>2</v>
      </c>
      <c r="P97" s="117"/>
      <c r="Q97" s="118"/>
      <c r="R97" s="111"/>
      <c r="S97" s="119"/>
      <c r="T97" s="120">
        <f t="shared" si="3"/>
        <v>240</v>
      </c>
      <c r="U97" s="106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8"/>
    </row>
    <row r="98" spans="1:32" s="68" customFormat="1" ht="11.25" hidden="1" thickBot="1" x14ac:dyDescent="0.2">
      <c r="A98" s="196"/>
      <c r="B98" s="124" t="s">
        <v>871</v>
      </c>
      <c r="C98" s="111">
        <v>0</v>
      </c>
      <c r="D98" s="112">
        <v>0</v>
      </c>
      <c r="E98" s="113">
        <v>0</v>
      </c>
      <c r="F98" s="113">
        <v>5</v>
      </c>
      <c r="G98" s="113">
        <v>0</v>
      </c>
      <c r="H98" s="113">
        <v>71</v>
      </c>
      <c r="I98" s="113">
        <v>18</v>
      </c>
      <c r="J98" s="113">
        <v>0</v>
      </c>
      <c r="K98" s="114">
        <v>61</v>
      </c>
      <c r="L98" s="115">
        <f t="shared" si="7"/>
        <v>155</v>
      </c>
      <c r="M98" s="116">
        <f t="shared" si="8"/>
        <v>9419</v>
      </c>
      <c r="N98" s="111">
        <f t="shared" si="9"/>
        <v>155</v>
      </c>
      <c r="O98" s="114">
        <f t="shared" si="6"/>
        <v>0</v>
      </c>
      <c r="P98" s="117"/>
      <c r="Q98" s="118"/>
      <c r="R98" s="111"/>
      <c r="S98" s="119"/>
      <c r="T98" s="120">
        <f t="shared" si="3"/>
        <v>155</v>
      </c>
      <c r="U98" s="106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8"/>
    </row>
    <row r="99" spans="1:32" s="68" customFormat="1" ht="11.25" hidden="1" thickBot="1" x14ac:dyDescent="0.2">
      <c r="A99" s="197"/>
      <c r="B99" s="192" t="s">
        <v>872</v>
      </c>
      <c r="C99" s="127">
        <v>0</v>
      </c>
      <c r="D99" s="128">
        <v>0</v>
      </c>
      <c r="E99" s="129">
        <v>0</v>
      </c>
      <c r="F99" s="129">
        <v>87</v>
      </c>
      <c r="G99" s="129">
        <v>0</v>
      </c>
      <c r="H99" s="129">
        <v>65</v>
      </c>
      <c r="I99" s="129">
        <v>7</v>
      </c>
      <c r="J99" s="129">
        <v>35</v>
      </c>
      <c r="K99" s="130">
        <v>0</v>
      </c>
      <c r="L99" s="131">
        <f t="shared" si="7"/>
        <v>194</v>
      </c>
      <c r="M99" s="132">
        <f t="shared" si="8"/>
        <v>9613</v>
      </c>
      <c r="N99" s="127">
        <f t="shared" si="9"/>
        <v>194</v>
      </c>
      <c r="O99" s="130">
        <f t="shared" si="6"/>
        <v>0</v>
      </c>
      <c r="P99" s="133"/>
      <c r="Q99" s="134"/>
      <c r="R99" s="135"/>
      <c r="S99" s="136"/>
      <c r="T99" s="137">
        <f t="shared" si="3"/>
        <v>194</v>
      </c>
      <c r="U99" s="106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8"/>
    </row>
    <row r="100" spans="1:32" s="68" customFormat="1" ht="11.25" hidden="1" thickBot="1" x14ac:dyDescent="0.2">
      <c r="A100" s="190" t="s">
        <v>887</v>
      </c>
      <c r="B100" s="170" t="s">
        <v>859</v>
      </c>
      <c r="C100" s="147">
        <v>0</v>
      </c>
      <c r="D100" s="148">
        <v>0</v>
      </c>
      <c r="E100" s="149">
        <v>2</v>
      </c>
      <c r="F100" s="149">
        <v>33</v>
      </c>
      <c r="G100" s="149">
        <v>0</v>
      </c>
      <c r="H100" s="149">
        <v>23</v>
      </c>
      <c r="I100" s="149">
        <v>30</v>
      </c>
      <c r="J100" s="149">
        <v>123</v>
      </c>
      <c r="K100" s="150">
        <v>9</v>
      </c>
      <c r="L100" s="151">
        <f t="shared" si="7"/>
        <v>220</v>
      </c>
      <c r="M100" s="152">
        <f t="shared" si="8"/>
        <v>9833</v>
      </c>
      <c r="N100" s="147">
        <f t="shared" si="9"/>
        <v>218</v>
      </c>
      <c r="O100" s="150">
        <f t="shared" si="6"/>
        <v>2</v>
      </c>
      <c r="P100" s="102"/>
      <c r="Q100" s="103"/>
      <c r="R100" s="96"/>
      <c r="S100" s="104"/>
      <c r="T100" s="105">
        <f t="shared" si="3"/>
        <v>220</v>
      </c>
      <c r="U100" s="106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8"/>
    </row>
    <row r="101" spans="1:32" s="68" customFormat="1" ht="11.25" hidden="1" thickBot="1" x14ac:dyDescent="0.2">
      <c r="A101" s="153"/>
      <c r="B101" s="124" t="s">
        <v>860</v>
      </c>
      <c r="C101" s="111">
        <v>0</v>
      </c>
      <c r="D101" s="112">
        <v>0</v>
      </c>
      <c r="E101" s="113">
        <v>0</v>
      </c>
      <c r="F101" s="113">
        <v>20</v>
      </c>
      <c r="G101" s="113">
        <v>0</v>
      </c>
      <c r="H101" s="113">
        <v>91</v>
      </c>
      <c r="I101" s="113">
        <v>21</v>
      </c>
      <c r="J101" s="113">
        <v>22</v>
      </c>
      <c r="K101" s="114">
        <v>96</v>
      </c>
      <c r="L101" s="115">
        <f t="shared" si="7"/>
        <v>250</v>
      </c>
      <c r="M101" s="116">
        <f t="shared" si="8"/>
        <v>10083</v>
      </c>
      <c r="N101" s="111">
        <f t="shared" si="9"/>
        <v>250</v>
      </c>
      <c r="O101" s="114">
        <f t="shared" si="6"/>
        <v>0</v>
      </c>
      <c r="P101" s="117"/>
      <c r="Q101" s="118"/>
      <c r="R101" s="111"/>
      <c r="S101" s="119"/>
      <c r="T101" s="120">
        <f t="shared" si="3"/>
        <v>250</v>
      </c>
      <c r="U101" s="106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8"/>
    </row>
    <row r="102" spans="1:32" s="68" customFormat="1" ht="11.25" hidden="1" thickBot="1" x14ac:dyDescent="0.2">
      <c r="A102" s="194"/>
      <c r="B102" s="124" t="s">
        <v>861</v>
      </c>
      <c r="C102" s="111">
        <v>0</v>
      </c>
      <c r="D102" s="112">
        <v>0</v>
      </c>
      <c r="E102" s="113">
        <v>106</v>
      </c>
      <c r="F102" s="113">
        <v>0</v>
      </c>
      <c r="G102" s="113">
        <v>0</v>
      </c>
      <c r="H102" s="113">
        <v>99</v>
      </c>
      <c r="I102" s="113">
        <v>38</v>
      </c>
      <c r="J102" s="113">
        <v>18</v>
      </c>
      <c r="K102" s="114">
        <v>25</v>
      </c>
      <c r="L102" s="115">
        <f t="shared" si="7"/>
        <v>286</v>
      </c>
      <c r="M102" s="116">
        <f t="shared" si="8"/>
        <v>10369</v>
      </c>
      <c r="N102" s="111">
        <f t="shared" si="9"/>
        <v>180</v>
      </c>
      <c r="O102" s="114">
        <f t="shared" si="6"/>
        <v>106</v>
      </c>
      <c r="P102" s="117"/>
      <c r="Q102" s="118"/>
      <c r="R102" s="111"/>
      <c r="S102" s="119"/>
      <c r="T102" s="120">
        <f t="shared" si="3"/>
        <v>286</v>
      </c>
      <c r="U102" s="106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8"/>
    </row>
    <row r="103" spans="1:32" s="68" customFormat="1" ht="11.25" hidden="1" thickBot="1" x14ac:dyDescent="0.2">
      <c r="A103" s="190"/>
      <c r="B103" s="124" t="s">
        <v>862</v>
      </c>
      <c r="C103" s="111">
        <v>0</v>
      </c>
      <c r="D103" s="112">
        <v>0</v>
      </c>
      <c r="E103" s="113">
        <v>25</v>
      </c>
      <c r="F103" s="113">
        <v>0</v>
      </c>
      <c r="G103" s="113">
        <v>0</v>
      </c>
      <c r="H103" s="113">
        <v>104</v>
      </c>
      <c r="I103" s="113">
        <v>25</v>
      </c>
      <c r="J103" s="113">
        <v>53</v>
      </c>
      <c r="K103" s="114">
        <v>23</v>
      </c>
      <c r="L103" s="115">
        <f t="shared" si="7"/>
        <v>230</v>
      </c>
      <c r="M103" s="116">
        <f t="shared" si="8"/>
        <v>10599</v>
      </c>
      <c r="N103" s="111">
        <f t="shared" si="9"/>
        <v>205</v>
      </c>
      <c r="O103" s="114">
        <f t="shared" si="6"/>
        <v>25</v>
      </c>
      <c r="P103" s="117"/>
      <c r="Q103" s="118"/>
      <c r="R103" s="111"/>
      <c r="S103" s="119"/>
      <c r="T103" s="120">
        <f t="shared" si="3"/>
        <v>230</v>
      </c>
      <c r="U103" s="106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8"/>
    </row>
    <row r="104" spans="1:32" s="68" customFormat="1" ht="11.25" hidden="1" thickBot="1" x14ac:dyDescent="0.2">
      <c r="A104" s="153" t="s">
        <v>863</v>
      </c>
      <c r="B104" s="124" t="s">
        <v>864</v>
      </c>
      <c r="C104" s="111">
        <v>0</v>
      </c>
      <c r="D104" s="112">
        <v>0</v>
      </c>
      <c r="E104" s="113">
        <v>32</v>
      </c>
      <c r="F104" s="113">
        <v>8</v>
      </c>
      <c r="G104" s="113">
        <v>0</v>
      </c>
      <c r="H104" s="113">
        <v>166</v>
      </c>
      <c r="I104" s="113">
        <v>24</v>
      </c>
      <c r="J104" s="113">
        <v>9</v>
      </c>
      <c r="K104" s="114">
        <v>5</v>
      </c>
      <c r="L104" s="115">
        <f t="shared" si="7"/>
        <v>244</v>
      </c>
      <c r="M104" s="116">
        <f t="shared" si="8"/>
        <v>10843</v>
      </c>
      <c r="N104" s="111">
        <f t="shared" si="9"/>
        <v>212</v>
      </c>
      <c r="O104" s="114">
        <f t="shared" si="6"/>
        <v>32</v>
      </c>
      <c r="P104" s="117"/>
      <c r="Q104" s="118"/>
      <c r="R104" s="111"/>
      <c r="S104" s="119"/>
      <c r="T104" s="120">
        <f t="shared" si="3"/>
        <v>244</v>
      </c>
      <c r="U104" s="106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8"/>
    </row>
    <row r="105" spans="1:32" s="68" customFormat="1" ht="11.25" hidden="1" thickBot="1" x14ac:dyDescent="0.2">
      <c r="A105" s="194">
        <f>SUM(L100:L111)</f>
        <v>3301</v>
      </c>
      <c r="B105" s="124" t="s">
        <v>865</v>
      </c>
      <c r="C105" s="111">
        <v>0</v>
      </c>
      <c r="D105" s="112">
        <v>0</v>
      </c>
      <c r="E105" s="113">
        <v>63</v>
      </c>
      <c r="F105" s="113">
        <v>34</v>
      </c>
      <c r="G105" s="113">
        <v>0</v>
      </c>
      <c r="H105" s="113">
        <v>200</v>
      </c>
      <c r="I105" s="113">
        <v>9</v>
      </c>
      <c r="J105" s="113">
        <v>0</v>
      </c>
      <c r="K105" s="114">
        <v>21</v>
      </c>
      <c r="L105" s="115">
        <f t="shared" si="7"/>
        <v>327</v>
      </c>
      <c r="M105" s="116">
        <f t="shared" si="8"/>
        <v>11170</v>
      </c>
      <c r="N105" s="111">
        <f t="shared" si="9"/>
        <v>264</v>
      </c>
      <c r="O105" s="114">
        <f t="shared" si="6"/>
        <v>63</v>
      </c>
      <c r="P105" s="117"/>
      <c r="Q105" s="118"/>
      <c r="R105" s="111"/>
      <c r="S105" s="119"/>
      <c r="T105" s="120">
        <f t="shared" si="3"/>
        <v>327</v>
      </c>
      <c r="U105" s="106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8"/>
    </row>
    <row r="106" spans="1:32" s="68" customFormat="1" ht="11.25" hidden="1" thickBot="1" x14ac:dyDescent="0.2">
      <c r="A106" s="190"/>
      <c r="B106" s="124" t="s">
        <v>866</v>
      </c>
      <c r="C106" s="111">
        <v>0</v>
      </c>
      <c r="D106" s="112">
        <v>0</v>
      </c>
      <c r="E106" s="113">
        <v>83</v>
      </c>
      <c r="F106" s="113">
        <v>22</v>
      </c>
      <c r="G106" s="113">
        <v>0</v>
      </c>
      <c r="H106" s="113">
        <v>196</v>
      </c>
      <c r="I106" s="113">
        <v>11</v>
      </c>
      <c r="J106" s="113">
        <v>0</v>
      </c>
      <c r="K106" s="114">
        <v>13</v>
      </c>
      <c r="L106" s="115">
        <f t="shared" si="7"/>
        <v>325</v>
      </c>
      <c r="M106" s="116">
        <f t="shared" si="8"/>
        <v>11495</v>
      </c>
      <c r="N106" s="111">
        <f t="shared" si="9"/>
        <v>242</v>
      </c>
      <c r="O106" s="114">
        <f t="shared" si="6"/>
        <v>83</v>
      </c>
      <c r="P106" s="117"/>
      <c r="Q106" s="118"/>
      <c r="R106" s="111"/>
      <c r="S106" s="119"/>
      <c r="T106" s="120">
        <f t="shared" si="3"/>
        <v>325</v>
      </c>
      <c r="U106" s="106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8"/>
    </row>
    <row r="107" spans="1:32" s="68" customFormat="1" ht="11.25" hidden="1" thickBot="1" x14ac:dyDescent="0.2">
      <c r="A107" s="196"/>
      <c r="B107" s="124" t="s">
        <v>868</v>
      </c>
      <c r="C107" s="111">
        <v>0</v>
      </c>
      <c r="D107" s="112">
        <v>0</v>
      </c>
      <c r="E107" s="113">
        <v>40</v>
      </c>
      <c r="F107" s="113">
        <v>10</v>
      </c>
      <c r="G107" s="113">
        <v>0</v>
      </c>
      <c r="H107" s="113">
        <v>178</v>
      </c>
      <c r="I107" s="113">
        <v>2</v>
      </c>
      <c r="J107" s="113">
        <v>18</v>
      </c>
      <c r="K107" s="114">
        <v>4</v>
      </c>
      <c r="L107" s="115">
        <f t="shared" si="7"/>
        <v>252</v>
      </c>
      <c r="M107" s="116">
        <f t="shared" si="8"/>
        <v>11747</v>
      </c>
      <c r="N107" s="111">
        <f t="shared" si="9"/>
        <v>212</v>
      </c>
      <c r="O107" s="114">
        <f t="shared" si="6"/>
        <v>40</v>
      </c>
      <c r="P107" s="117"/>
      <c r="Q107" s="118"/>
      <c r="R107" s="111"/>
      <c r="S107" s="119"/>
      <c r="T107" s="120">
        <f t="shared" si="3"/>
        <v>252</v>
      </c>
      <c r="U107" s="106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8"/>
    </row>
    <row r="108" spans="1:32" s="68" customFormat="1" ht="11.25" hidden="1" thickBot="1" x14ac:dyDescent="0.2">
      <c r="A108" s="153" t="s">
        <v>888</v>
      </c>
      <c r="B108" s="124" t="s">
        <v>889</v>
      </c>
      <c r="C108" s="111">
        <v>0</v>
      </c>
      <c r="D108" s="112">
        <v>0</v>
      </c>
      <c r="E108" s="113">
        <v>15</v>
      </c>
      <c r="F108" s="113">
        <v>43</v>
      </c>
      <c r="G108" s="113">
        <v>0</v>
      </c>
      <c r="H108" s="113">
        <v>134</v>
      </c>
      <c r="I108" s="113">
        <v>1</v>
      </c>
      <c r="J108" s="113">
        <v>2</v>
      </c>
      <c r="K108" s="114">
        <v>78</v>
      </c>
      <c r="L108" s="115">
        <f t="shared" si="7"/>
        <v>273</v>
      </c>
      <c r="M108" s="116">
        <f t="shared" si="8"/>
        <v>12020</v>
      </c>
      <c r="N108" s="111">
        <f t="shared" si="9"/>
        <v>258</v>
      </c>
      <c r="O108" s="114">
        <f t="shared" si="6"/>
        <v>15</v>
      </c>
      <c r="P108" s="117"/>
      <c r="Q108" s="118"/>
      <c r="R108" s="111"/>
      <c r="S108" s="119"/>
      <c r="T108" s="120">
        <f t="shared" si="3"/>
        <v>273</v>
      </c>
      <c r="U108" s="106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8"/>
    </row>
    <row r="109" spans="1:32" s="68" customFormat="1" ht="11.25" hidden="1" thickBot="1" x14ac:dyDescent="0.2">
      <c r="A109" s="194">
        <f>A102+A105</f>
        <v>3301</v>
      </c>
      <c r="B109" s="124" t="s">
        <v>870</v>
      </c>
      <c r="C109" s="111">
        <v>0</v>
      </c>
      <c r="D109" s="112">
        <v>0</v>
      </c>
      <c r="E109" s="113">
        <v>76</v>
      </c>
      <c r="F109" s="113">
        <v>0</v>
      </c>
      <c r="G109" s="113">
        <v>0</v>
      </c>
      <c r="H109" s="113">
        <v>95</v>
      </c>
      <c r="I109" s="113">
        <v>1</v>
      </c>
      <c r="J109" s="113">
        <v>0</v>
      </c>
      <c r="K109" s="114">
        <v>116</v>
      </c>
      <c r="L109" s="115">
        <f t="shared" si="7"/>
        <v>288</v>
      </c>
      <c r="M109" s="116">
        <f t="shared" si="8"/>
        <v>12308</v>
      </c>
      <c r="N109" s="111">
        <f t="shared" si="9"/>
        <v>212</v>
      </c>
      <c r="O109" s="114">
        <f t="shared" si="6"/>
        <v>76</v>
      </c>
      <c r="P109" s="117"/>
      <c r="Q109" s="118"/>
      <c r="R109" s="111"/>
      <c r="S109" s="119"/>
      <c r="T109" s="120">
        <f t="shared" si="3"/>
        <v>288</v>
      </c>
      <c r="U109" s="106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8"/>
    </row>
    <row r="110" spans="1:32" s="68" customFormat="1" ht="11.25" hidden="1" thickBot="1" x14ac:dyDescent="0.2">
      <c r="A110" s="190"/>
      <c r="B110" s="124" t="s">
        <v>871</v>
      </c>
      <c r="C110" s="111">
        <v>0</v>
      </c>
      <c r="D110" s="112">
        <v>0</v>
      </c>
      <c r="E110" s="113">
        <v>38</v>
      </c>
      <c r="F110" s="113">
        <v>34</v>
      </c>
      <c r="G110" s="113">
        <v>0</v>
      </c>
      <c r="H110" s="113">
        <v>45</v>
      </c>
      <c r="I110" s="113">
        <v>0</v>
      </c>
      <c r="J110" s="113">
        <v>0</v>
      </c>
      <c r="K110" s="114">
        <v>130</v>
      </c>
      <c r="L110" s="115">
        <f t="shared" si="7"/>
        <v>247</v>
      </c>
      <c r="M110" s="116">
        <f t="shared" si="8"/>
        <v>12555</v>
      </c>
      <c r="N110" s="111">
        <f t="shared" si="9"/>
        <v>209</v>
      </c>
      <c r="O110" s="114">
        <f t="shared" si="6"/>
        <v>38</v>
      </c>
      <c r="P110" s="117"/>
      <c r="Q110" s="118"/>
      <c r="R110" s="111"/>
      <c r="S110" s="119"/>
      <c r="T110" s="120">
        <f t="shared" si="3"/>
        <v>247</v>
      </c>
      <c r="U110" s="106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8"/>
    </row>
    <row r="111" spans="1:32" s="68" customFormat="1" ht="11.25" hidden="1" thickBot="1" x14ac:dyDescent="0.2">
      <c r="A111" s="197"/>
      <c r="B111" s="192" t="s">
        <v>872</v>
      </c>
      <c r="C111" s="127">
        <v>0</v>
      </c>
      <c r="D111" s="128">
        <v>0</v>
      </c>
      <c r="E111" s="129">
        <v>88</v>
      </c>
      <c r="F111" s="129">
        <v>33</v>
      </c>
      <c r="G111" s="129">
        <v>0</v>
      </c>
      <c r="H111" s="129">
        <v>135</v>
      </c>
      <c r="I111" s="129">
        <v>0</v>
      </c>
      <c r="J111" s="129">
        <v>90</v>
      </c>
      <c r="K111" s="130">
        <v>0</v>
      </c>
      <c r="L111" s="131">
        <f>SUM(C111:K111)+13</f>
        <v>359</v>
      </c>
      <c r="M111" s="132">
        <f t="shared" si="8"/>
        <v>12914</v>
      </c>
      <c r="N111" s="127">
        <f t="shared" si="9"/>
        <v>258</v>
      </c>
      <c r="O111" s="130">
        <f t="shared" si="6"/>
        <v>88</v>
      </c>
      <c r="P111" s="133"/>
      <c r="Q111" s="134"/>
      <c r="R111" s="135"/>
      <c r="S111" s="136"/>
      <c r="T111" s="137">
        <f t="shared" si="3"/>
        <v>359</v>
      </c>
      <c r="U111" s="106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8"/>
    </row>
    <row r="112" spans="1:32" s="68" customFormat="1" ht="11.25" hidden="1" thickBot="1" x14ac:dyDescent="0.2">
      <c r="A112" s="198" t="s">
        <v>890</v>
      </c>
      <c r="B112" s="170" t="s">
        <v>859</v>
      </c>
      <c r="C112" s="147">
        <v>0</v>
      </c>
      <c r="D112" s="148">
        <v>0</v>
      </c>
      <c r="E112" s="149">
        <v>11</v>
      </c>
      <c r="F112" s="149">
        <v>43</v>
      </c>
      <c r="G112" s="149">
        <v>0</v>
      </c>
      <c r="H112" s="149">
        <v>125</v>
      </c>
      <c r="I112" s="149">
        <v>57</v>
      </c>
      <c r="J112" s="149">
        <v>110</v>
      </c>
      <c r="K112" s="150">
        <v>3</v>
      </c>
      <c r="L112" s="151">
        <f t="shared" si="7"/>
        <v>349</v>
      </c>
      <c r="M112" s="199">
        <f t="shared" si="8"/>
        <v>13263</v>
      </c>
      <c r="N112" s="147">
        <f t="shared" si="9"/>
        <v>338</v>
      </c>
      <c r="O112" s="150">
        <f t="shared" si="6"/>
        <v>11</v>
      </c>
      <c r="P112" s="102"/>
      <c r="Q112" s="103"/>
      <c r="R112" s="96"/>
      <c r="S112" s="104"/>
      <c r="T112" s="105">
        <f t="shared" si="3"/>
        <v>349</v>
      </c>
      <c r="U112" s="106"/>
      <c r="V112" s="200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8"/>
    </row>
    <row r="113" spans="1:32" s="68" customFormat="1" ht="11.25" hidden="1" thickBot="1" x14ac:dyDescent="0.2">
      <c r="A113" s="153"/>
      <c r="B113" s="124" t="s">
        <v>860</v>
      </c>
      <c r="C113" s="111">
        <v>0</v>
      </c>
      <c r="D113" s="112">
        <v>0</v>
      </c>
      <c r="E113" s="113">
        <v>0</v>
      </c>
      <c r="F113" s="113">
        <v>0</v>
      </c>
      <c r="G113" s="113">
        <v>0</v>
      </c>
      <c r="H113" s="113">
        <v>165</v>
      </c>
      <c r="I113" s="113">
        <v>74</v>
      </c>
      <c r="J113" s="113">
        <v>99</v>
      </c>
      <c r="K113" s="114">
        <v>13</v>
      </c>
      <c r="L113" s="115">
        <f t="shared" si="7"/>
        <v>351</v>
      </c>
      <c r="M113" s="201">
        <f t="shared" si="8"/>
        <v>13614</v>
      </c>
      <c r="N113" s="111">
        <f t="shared" si="9"/>
        <v>351</v>
      </c>
      <c r="O113" s="114">
        <f t="shared" si="6"/>
        <v>0</v>
      </c>
      <c r="P113" s="117"/>
      <c r="Q113" s="118"/>
      <c r="R113" s="111"/>
      <c r="S113" s="119"/>
      <c r="T113" s="120">
        <f t="shared" si="3"/>
        <v>351</v>
      </c>
      <c r="U113" s="106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8"/>
    </row>
    <row r="114" spans="1:32" s="68" customFormat="1" ht="11.25" hidden="1" thickBot="1" x14ac:dyDescent="0.2">
      <c r="A114" s="154"/>
      <c r="B114" s="124" t="s">
        <v>861</v>
      </c>
      <c r="C114" s="111">
        <v>0</v>
      </c>
      <c r="D114" s="112">
        <v>0</v>
      </c>
      <c r="E114" s="113">
        <v>16</v>
      </c>
      <c r="F114" s="113">
        <v>0</v>
      </c>
      <c r="G114" s="113">
        <v>0</v>
      </c>
      <c r="H114" s="113">
        <v>228</v>
      </c>
      <c r="I114" s="113">
        <v>9</v>
      </c>
      <c r="J114" s="113">
        <v>151</v>
      </c>
      <c r="K114" s="114">
        <v>25</v>
      </c>
      <c r="L114" s="115">
        <f t="shared" si="7"/>
        <v>429</v>
      </c>
      <c r="M114" s="201">
        <f t="shared" si="8"/>
        <v>14043</v>
      </c>
      <c r="N114" s="111">
        <f t="shared" si="9"/>
        <v>413</v>
      </c>
      <c r="O114" s="114">
        <f t="shared" si="6"/>
        <v>16</v>
      </c>
      <c r="P114" s="117"/>
      <c r="Q114" s="118"/>
      <c r="R114" s="111"/>
      <c r="S114" s="119"/>
      <c r="T114" s="120">
        <f t="shared" si="3"/>
        <v>429</v>
      </c>
      <c r="U114" s="106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8"/>
    </row>
    <row r="115" spans="1:32" s="68" customFormat="1" ht="11.25" hidden="1" thickBot="1" x14ac:dyDescent="0.2">
      <c r="A115" s="202"/>
      <c r="B115" s="124" t="s">
        <v>862</v>
      </c>
      <c r="C115" s="111">
        <v>0</v>
      </c>
      <c r="D115" s="112">
        <v>0</v>
      </c>
      <c r="E115" s="113">
        <v>59</v>
      </c>
      <c r="F115" s="113">
        <v>0</v>
      </c>
      <c r="G115" s="113">
        <v>0</v>
      </c>
      <c r="H115" s="113">
        <v>142</v>
      </c>
      <c r="I115" s="113">
        <v>14</v>
      </c>
      <c r="J115" s="113">
        <v>159</v>
      </c>
      <c r="K115" s="114">
        <v>35</v>
      </c>
      <c r="L115" s="115">
        <f t="shared" si="7"/>
        <v>409</v>
      </c>
      <c r="M115" s="203">
        <f t="shared" si="8"/>
        <v>14452</v>
      </c>
      <c r="N115" s="204">
        <f t="shared" si="9"/>
        <v>350</v>
      </c>
      <c r="O115" s="205">
        <f t="shared" si="6"/>
        <v>59</v>
      </c>
      <c r="P115" s="206"/>
      <c r="Q115" s="207"/>
      <c r="R115" s="204"/>
      <c r="S115" s="208"/>
      <c r="T115" s="209">
        <f t="shared" si="3"/>
        <v>409</v>
      </c>
      <c r="U115" s="106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8"/>
    </row>
    <row r="116" spans="1:32" s="68" customFormat="1" ht="11.25" hidden="1" thickBot="1" x14ac:dyDescent="0.2">
      <c r="A116" s="153" t="s">
        <v>863</v>
      </c>
      <c r="B116" s="124" t="s">
        <v>891</v>
      </c>
      <c r="C116" s="111">
        <v>0</v>
      </c>
      <c r="D116" s="112">
        <v>0</v>
      </c>
      <c r="E116" s="113">
        <v>38</v>
      </c>
      <c r="F116" s="113">
        <v>49</v>
      </c>
      <c r="G116" s="113">
        <v>0</v>
      </c>
      <c r="H116" s="113">
        <v>21</v>
      </c>
      <c r="I116" s="113">
        <v>0</v>
      </c>
      <c r="J116" s="113">
        <v>19</v>
      </c>
      <c r="K116" s="114">
        <v>52</v>
      </c>
      <c r="L116" s="115">
        <f t="shared" si="7"/>
        <v>179</v>
      </c>
      <c r="M116" s="201">
        <f t="shared" si="8"/>
        <v>14631</v>
      </c>
      <c r="N116" s="111">
        <f t="shared" si="9"/>
        <v>141</v>
      </c>
      <c r="O116" s="114">
        <f t="shared" si="6"/>
        <v>38</v>
      </c>
      <c r="P116" s="117"/>
      <c r="Q116" s="118"/>
      <c r="R116" s="111"/>
      <c r="S116" s="119"/>
      <c r="T116" s="120">
        <f t="shared" si="3"/>
        <v>179</v>
      </c>
      <c r="U116" s="106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8"/>
    </row>
    <row r="117" spans="1:32" s="68" customFormat="1" ht="11.25" hidden="1" thickBot="1" x14ac:dyDescent="0.2">
      <c r="A117" s="154">
        <f>SUM(L112:L123)</f>
        <v>3266</v>
      </c>
      <c r="B117" s="124" t="s">
        <v>865</v>
      </c>
      <c r="C117" s="111">
        <v>0</v>
      </c>
      <c r="D117" s="112">
        <v>0</v>
      </c>
      <c r="E117" s="113">
        <v>34</v>
      </c>
      <c r="F117" s="113">
        <v>26</v>
      </c>
      <c r="G117" s="113">
        <v>0</v>
      </c>
      <c r="H117" s="113">
        <v>81</v>
      </c>
      <c r="I117" s="113">
        <v>15</v>
      </c>
      <c r="J117" s="113">
        <v>75</v>
      </c>
      <c r="K117" s="114">
        <v>158</v>
      </c>
      <c r="L117" s="115">
        <f t="shared" si="7"/>
        <v>389</v>
      </c>
      <c r="M117" s="201">
        <f t="shared" si="8"/>
        <v>15020</v>
      </c>
      <c r="N117" s="111">
        <f t="shared" si="9"/>
        <v>355</v>
      </c>
      <c r="O117" s="114">
        <f t="shared" si="6"/>
        <v>34</v>
      </c>
      <c r="P117" s="117"/>
      <c r="Q117" s="118"/>
      <c r="R117" s="111"/>
      <c r="S117" s="119"/>
      <c r="T117" s="120">
        <f t="shared" si="3"/>
        <v>389</v>
      </c>
      <c r="U117" s="106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8"/>
    </row>
    <row r="118" spans="1:32" s="68" customFormat="1" ht="11.25" hidden="1" thickBot="1" x14ac:dyDescent="0.2">
      <c r="A118" s="210"/>
      <c r="B118" s="124" t="s">
        <v>866</v>
      </c>
      <c r="C118" s="111">
        <v>0</v>
      </c>
      <c r="D118" s="112">
        <v>0</v>
      </c>
      <c r="E118" s="113">
        <v>40</v>
      </c>
      <c r="F118" s="113">
        <v>46</v>
      </c>
      <c r="G118" s="113">
        <v>0</v>
      </c>
      <c r="H118" s="113">
        <v>108</v>
      </c>
      <c r="I118" s="113">
        <v>1</v>
      </c>
      <c r="J118" s="113">
        <v>79</v>
      </c>
      <c r="K118" s="114">
        <v>106</v>
      </c>
      <c r="L118" s="115">
        <f t="shared" si="7"/>
        <v>380</v>
      </c>
      <c r="M118" s="201">
        <f t="shared" si="8"/>
        <v>15400</v>
      </c>
      <c r="N118" s="111">
        <f t="shared" si="9"/>
        <v>340</v>
      </c>
      <c r="O118" s="114">
        <f t="shared" si="6"/>
        <v>40</v>
      </c>
      <c r="P118" s="117"/>
      <c r="Q118" s="118"/>
      <c r="R118" s="111"/>
      <c r="S118" s="119"/>
      <c r="T118" s="120">
        <f t="shared" si="3"/>
        <v>380</v>
      </c>
      <c r="U118" s="106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8"/>
    </row>
    <row r="119" spans="1:32" s="68" customFormat="1" ht="11.25" hidden="1" thickBot="1" x14ac:dyDescent="0.2">
      <c r="A119" s="211"/>
      <c r="B119" s="124" t="s">
        <v>868</v>
      </c>
      <c r="C119" s="111">
        <v>0</v>
      </c>
      <c r="D119" s="112">
        <v>0</v>
      </c>
      <c r="E119" s="113">
        <v>48</v>
      </c>
      <c r="F119" s="113">
        <v>9</v>
      </c>
      <c r="G119" s="113">
        <v>0</v>
      </c>
      <c r="H119" s="113">
        <v>148</v>
      </c>
      <c r="I119" s="113">
        <v>13</v>
      </c>
      <c r="J119" s="113">
        <v>11</v>
      </c>
      <c r="K119" s="114">
        <v>67</v>
      </c>
      <c r="L119" s="115">
        <f t="shared" si="7"/>
        <v>296</v>
      </c>
      <c r="M119" s="201">
        <f t="shared" si="8"/>
        <v>15696</v>
      </c>
      <c r="N119" s="111">
        <f t="shared" si="9"/>
        <v>248</v>
      </c>
      <c r="O119" s="114">
        <f t="shared" si="6"/>
        <v>48</v>
      </c>
      <c r="P119" s="117"/>
      <c r="Q119" s="118"/>
      <c r="R119" s="111"/>
      <c r="S119" s="119"/>
      <c r="T119" s="120">
        <f t="shared" si="3"/>
        <v>296</v>
      </c>
      <c r="U119" s="212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108"/>
    </row>
    <row r="120" spans="1:32" s="68" customFormat="1" ht="11.25" hidden="1" thickBot="1" x14ac:dyDescent="0.2">
      <c r="A120" s="153" t="s">
        <v>867</v>
      </c>
      <c r="B120" s="124" t="s">
        <v>892</v>
      </c>
      <c r="C120" s="111">
        <v>0</v>
      </c>
      <c r="D120" s="112">
        <v>0</v>
      </c>
      <c r="E120" s="113">
        <v>5</v>
      </c>
      <c r="F120" s="113">
        <v>0</v>
      </c>
      <c r="G120" s="113">
        <v>0</v>
      </c>
      <c r="H120" s="113">
        <v>116</v>
      </c>
      <c r="I120" s="113">
        <v>2</v>
      </c>
      <c r="J120" s="113">
        <v>30</v>
      </c>
      <c r="K120" s="114">
        <v>44</v>
      </c>
      <c r="L120" s="115">
        <f t="shared" si="7"/>
        <v>197</v>
      </c>
      <c r="M120" s="201">
        <f t="shared" si="8"/>
        <v>15893</v>
      </c>
      <c r="N120" s="111">
        <f t="shared" si="9"/>
        <v>192</v>
      </c>
      <c r="O120" s="114">
        <f t="shared" si="6"/>
        <v>5</v>
      </c>
      <c r="P120" s="117"/>
      <c r="Q120" s="118"/>
      <c r="R120" s="111"/>
      <c r="S120" s="119"/>
      <c r="T120" s="120">
        <f t="shared" si="3"/>
        <v>197</v>
      </c>
      <c r="U120" s="212"/>
      <c r="V120" s="213"/>
      <c r="W120" s="213"/>
      <c r="X120" s="213"/>
      <c r="Y120" s="213"/>
      <c r="Z120" s="213"/>
      <c r="AA120" s="213"/>
      <c r="AB120" s="213"/>
      <c r="AC120" s="213"/>
      <c r="AD120" s="213"/>
      <c r="AE120" s="213"/>
      <c r="AF120" s="108"/>
    </row>
    <row r="121" spans="1:32" s="68" customFormat="1" ht="11.25" hidden="1" thickBot="1" x14ac:dyDescent="0.2">
      <c r="A121" s="154">
        <f>A114+A117</f>
        <v>3266</v>
      </c>
      <c r="B121" s="124" t="s">
        <v>870</v>
      </c>
      <c r="C121" s="111">
        <v>0</v>
      </c>
      <c r="D121" s="112">
        <v>0</v>
      </c>
      <c r="E121" s="113">
        <v>2</v>
      </c>
      <c r="F121" s="113">
        <v>0</v>
      </c>
      <c r="G121" s="113">
        <v>0</v>
      </c>
      <c r="H121" s="113">
        <v>23</v>
      </c>
      <c r="I121" s="113">
        <v>5</v>
      </c>
      <c r="J121" s="113">
        <v>0</v>
      </c>
      <c r="K121" s="114">
        <v>90</v>
      </c>
      <c r="L121" s="115">
        <f t="shared" si="7"/>
        <v>120</v>
      </c>
      <c r="M121" s="201">
        <f t="shared" si="8"/>
        <v>16013</v>
      </c>
      <c r="N121" s="111">
        <f t="shared" si="9"/>
        <v>118</v>
      </c>
      <c r="O121" s="114">
        <f t="shared" si="6"/>
        <v>2</v>
      </c>
      <c r="P121" s="117"/>
      <c r="Q121" s="118"/>
      <c r="R121" s="111"/>
      <c r="S121" s="119"/>
      <c r="T121" s="120">
        <f t="shared" si="3"/>
        <v>120</v>
      </c>
      <c r="U121" s="212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108"/>
    </row>
    <row r="122" spans="1:32" s="68" customFormat="1" ht="11.25" hidden="1" thickBot="1" x14ac:dyDescent="0.2">
      <c r="A122" s="210"/>
      <c r="B122" s="124" t="s">
        <v>871</v>
      </c>
      <c r="C122" s="111">
        <v>0</v>
      </c>
      <c r="D122" s="112">
        <v>0</v>
      </c>
      <c r="E122" s="113">
        <v>0</v>
      </c>
      <c r="F122" s="113">
        <v>0</v>
      </c>
      <c r="G122" s="113">
        <v>0</v>
      </c>
      <c r="H122" s="113">
        <v>3</v>
      </c>
      <c r="I122" s="113">
        <v>0</v>
      </c>
      <c r="J122" s="113">
        <v>0</v>
      </c>
      <c r="K122" s="114">
        <v>124</v>
      </c>
      <c r="L122" s="115">
        <f t="shared" si="7"/>
        <v>127</v>
      </c>
      <c r="M122" s="201">
        <f t="shared" si="8"/>
        <v>16140</v>
      </c>
      <c r="N122" s="111">
        <f t="shared" si="9"/>
        <v>127</v>
      </c>
      <c r="O122" s="114">
        <f t="shared" si="6"/>
        <v>0</v>
      </c>
      <c r="P122" s="117"/>
      <c r="Q122" s="118"/>
      <c r="R122" s="111"/>
      <c r="S122" s="119"/>
      <c r="T122" s="120">
        <f t="shared" si="3"/>
        <v>127</v>
      </c>
      <c r="U122" s="212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108"/>
    </row>
    <row r="123" spans="1:32" s="68" customFormat="1" ht="11.25" hidden="1" thickBot="1" x14ac:dyDescent="0.2">
      <c r="A123" s="214"/>
      <c r="B123" s="192" t="s">
        <v>872</v>
      </c>
      <c r="C123" s="127">
        <v>0</v>
      </c>
      <c r="D123" s="128">
        <v>0</v>
      </c>
      <c r="E123" s="129">
        <v>0</v>
      </c>
      <c r="F123" s="129">
        <v>17</v>
      </c>
      <c r="G123" s="129">
        <v>0</v>
      </c>
      <c r="H123" s="129">
        <v>16</v>
      </c>
      <c r="I123" s="129">
        <v>0</v>
      </c>
      <c r="J123" s="129">
        <v>1</v>
      </c>
      <c r="K123" s="130">
        <v>6</v>
      </c>
      <c r="L123" s="131">
        <f t="shared" si="7"/>
        <v>40</v>
      </c>
      <c r="M123" s="215">
        <f t="shared" si="8"/>
        <v>16180</v>
      </c>
      <c r="N123" s="127">
        <f t="shared" si="9"/>
        <v>40</v>
      </c>
      <c r="O123" s="130">
        <f t="shared" si="6"/>
        <v>0</v>
      </c>
      <c r="P123" s="133"/>
      <c r="Q123" s="134"/>
      <c r="R123" s="135"/>
      <c r="S123" s="136"/>
      <c r="T123" s="137">
        <f t="shared" si="3"/>
        <v>40</v>
      </c>
      <c r="U123" s="212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108"/>
    </row>
    <row r="124" spans="1:32" s="68" customFormat="1" ht="11.25" hidden="1" thickBot="1" x14ac:dyDescent="0.2">
      <c r="A124" s="190" t="s">
        <v>893</v>
      </c>
      <c r="B124" s="216" t="s">
        <v>859</v>
      </c>
      <c r="C124" s="96">
        <v>0</v>
      </c>
      <c r="D124" s="97">
        <v>0</v>
      </c>
      <c r="E124" s="98">
        <v>0</v>
      </c>
      <c r="F124" s="98">
        <v>0</v>
      </c>
      <c r="G124" s="98">
        <v>0</v>
      </c>
      <c r="H124" s="98">
        <v>59</v>
      </c>
      <c r="I124" s="98">
        <v>4</v>
      </c>
      <c r="J124" s="98">
        <v>5</v>
      </c>
      <c r="K124" s="99">
        <v>0</v>
      </c>
      <c r="L124" s="100">
        <f t="shared" si="7"/>
        <v>68</v>
      </c>
      <c r="M124" s="101">
        <f t="shared" si="8"/>
        <v>16248</v>
      </c>
      <c r="N124" s="96">
        <f t="shared" si="9"/>
        <v>68</v>
      </c>
      <c r="O124" s="99">
        <f t="shared" si="6"/>
        <v>0</v>
      </c>
      <c r="P124" s="102"/>
      <c r="Q124" s="103"/>
      <c r="R124" s="96"/>
      <c r="S124" s="104"/>
      <c r="T124" s="105">
        <f t="shared" si="3"/>
        <v>68</v>
      </c>
      <c r="U124" s="217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18"/>
    </row>
    <row r="125" spans="1:32" s="68" customFormat="1" ht="11.25" hidden="1" thickBot="1" x14ac:dyDescent="0.2">
      <c r="A125" s="153" t="s">
        <v>894</v>
      </c>
      <c r="B125" s="219" t="s">
        <v>860</v>
      </c>
      <c r="C125" s="204">
        <v>0</v>
      </c>
      <c r="D125" s="220">
        <v>0</v>
      </c>
      <c r="E125" s="221">
        <v>35</v>
      </c>
      <c r="F125" s="221">
        <v>0</v>
      </c>
      <c r="G125" s="221">
        <v>0</v>
      </c>
      <c r="H125" s="221">
        <v>29</v>
      </c>
      <c r="I125" s="221">
        <v>58</v>
      </c>
      <c r="J125" s="221">
        <v>0</v>
      </c>
      <c r="K125" s="205">
        <v>54</v>
      </c>
      <c r="L125" s="115">
        <f t="shared" si="7"/>
        <v>176</v>
      </c>
      <c r="M125" s="222">
        <f t="shared" si="8"/>
        <v>16424</v>
      </c>
      <c r="N125" s="204">
        <f t="shared" si="9"/>
        <v>141</v>
      </c>
      <c r="O125" s="205">
        <f t="shared" si="6"/>
        <v>35</v>
      </c>
      <c r="P125" s="206"/>
      <c r="Q125" s="207"/>
      <c r="R125" s="204"/>
      <c r="S125" s="208"/>
      <c r="T125" s="209">
        <f t="shared" si="3"/>
        <v>176</v>
      </c>
      <c r="U125" s="217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18"/>
    </row>
    <row r="126" spans="1:32" s="68" customFormat="1" ht="11.25" hidden="1" thickBot="1" x14ac:dyDescent="0.2">
      <c r="A126" s="154">
        <f>SUM(L124:L135)</f>
        <v>1175</v>
      </c>
      <c r="B126" s="124" t="s">
        <v>861</v>
      </c>
      <c r="C126" s="111">
        <v>0</v>
      </c>
      <c r="D126" s="112">
        <v>0</v>
      </c>
      <c r="E126" s="113">
        <v>1</v>
      </c>
      <c r="F126" s="113">
        <v>0</v>
      </c>
      <c r="G126" s="113">
        <v>0</v>
      </c>
      <c r="H126" s="113">
        <v>65</v>
      </c>
      <c r="I126" s="113">
        <v>37</v>
      </c>
      <c r="J126" s="113">
        <v>0</v>
      </c>
      <c r="K126" s="114">
        <v>54</v>
      </c>
      <c r="L126" s="115">
        <f t="shared" si="7"/>
        <v>157</v>
      </c>
      <c r="M126" s="116">
        <f t="shared" si="8"/>
        <v>16581</v>
      </c>
      <c r="N126" s="111">
        <f t="shared" si="9"/>
        <v>156</v>
      </c>
      <c r="O126" s="114">
        <f t="shared" si="6"/>
        <v>1</v>
      </c>
      <c r="P126" s="117"/>
      <c r="Q126" s="118"/>
      <c r="R126" s="111"/>
      <c r="S126" s="119"/>
      <c r="T126" s="120">
        <f t="shared" si="3"/>
        <v>157</v>
      </c>
      <c r="U126" s="217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18"/>
    </row>
    <row r="127" spans="1:32" s="68" customFormat="1" ht="11.25" hidden="1" thickBot="1" x14ac:dyDescent="0.2">
      <c r="A127" s="223"/>
      <c r="B127" s="124" t="s">
        <v>862</v>
      </c>
      <c r="C127" s="111">
        <v>0</v>
      </c>
      <c r="D127" s="112">
        <v>0</v>
      </c>
      <c r="E127" s="113">
        <v>15</v>
      </c>
      <c r="F127" s="113">
        <v>0</v>
      </c>
      <c r="G127" s="113">
        <v>0</v>
      </c>
      <c r="H127" s="113">
        <v>33</v>
      </c>
      <c r="I127" s="113">
        <v>37</v>
      </c>
      <c r="J127" s="113">
        <v>0</v>
      </c>
      <c r="K127" s="114">
        <v>29</v>
      </c>
      <c r="L127" s="115">
        <f t="shared" si="7"/>
        <v>114</v>
      </c>
      <c r="M127" s="116">
        <f t="shared" si="8"/>
        <v>16695</v>
      </c>
      <c r="N127" s="111">
        <f t="shared" si="9"/>
        <v>99</v>
      </c>
      <c r="O127" s="114">
        <f t="shared" si="6"/>
        <v>15</v>
      </c>
      <c r="P127" s="117"/>
      <c r="Q127" s="118"/>
      <c r="R127" s="111"/>
      <c r="S127" s="119"/>
      <c r="T127" s="120">
        <f t="shared" si="3"/>
        <v>114</v>
      </c>
      <c r="U127" s="217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18"/>
    </row>
    <row r="128" spans="1:32" s="68" customFormat="1" ht="11.25" hidden="1" thickBot="1" x14ac:dyDescent="0.2">
      <c r="A128" s="224"/>
      <c r="B128" s="124" t="s">
        <v>895</v>
      </c>
      <c r="C128" s="111">
        <v>0</v>
      </c>
      <c r="D128" s="112">
        <v>0</v>
      </c>
      <c r="E128" s="113">
        <v>11</v>
      </c>
      <c r="F128" s="113">
        <v>13</v>
      </c>
      <c r="G128" s="113">
        <v>0</v>
      </c>
      <c r="H128" s="113">
        <v>26</v>
      </c>
      <c r="I128" s="113">
        <v>51</v>
      </c>
      <c r="J128" s="113">
        <v>2</v>
      </c>
      <c r="K128" s="114">
        <v>13</v>
      </c>
      <c r="L128" s="115">
        <f t="shared" si="7"/>
        <v>116</v>
      </c>
      <c r="M128" s="116">
        <f t="shared" si="8"/>
        <v>16811</v>
      </c>
      <c r="N128" s="111">
        <f t="shared" si="9"/>
        <v>105</v>
      </c>
      <c r="O128" s="114">
        <f t="shared" si="6"/>
        <v>11</v>
      </c>
      <c r="P128" s="117"/>
      <c r="Q128" s="118"/>
      <c r="R128" s="111"/>
      <c r="S128" s="119"/>
      <c r="T128" s="120">
        <f t="shared" si="3"/>
        <v>116</v>
      </c>
      <c r="U128" s="217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18"/>
    </row>
    <row r="129" spans="1:32" s="68" customFormat="1" ht="11.25" hidden="1" thickBot="1" x14ac:dyDescent="0.2">
      <c r="A129" s="225"/>
      <c r="B129" s="124" t="s">
        <v>865</v>
      </c>
      <c r="C129" s="111">
        <v>0</v>
      </c>
      <c r="D129" s="112">
        <v>0</v>
      </c>
      <c r="E129" s="113">
        <v>0</v>
      </c>
      <c r="F129" s="113">
        <v>20</v>
      </c>
      <c r="G129" s="113">
        <v>0</v>
      </c>
      <c r="H129" s="113">
        <v>56</v>
      </c>
      <c r="I129" s="113">
        <v>1</v>
      </c>
      <c r="J129" s="113">
        <v>0</v>
      </c>
      <c r="K129" s="114">
        <v>62</v>
      </c>
      <c r="L129" s="115">
        <f t="shared" si="7"/>
        <v>139</v>
      </c>
      <c r="M129" s="116">
        <f t="shared" si="8"/>
        <v>16950</v>
      </c>
      <c r="N129" s="111">
        <f t="shared" si="9"/>
        <v>139</v>
      </c>
      <c r="O129" s="114">
        <f t="shared" si="6"/>
        <v>0</v>
      </c>
      <c r="P129" s="117"/>
      <c r="Q129" s="118"/>
      <c r="R129" s="111"/>
      <c r="S129" s="119"/>
      <c r="T129" s="120">
        <f t="shared" si="3"/>
        <v>139</v>
      </c>
      <c r="U129" s="217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18"/>
    </row>
    <row r="130" spans="1:32" s="68" customFormat="1" ht="11.25" hidden="1" thickBot="1" x14ac:dyDescent="0.2">
      <c r="A130" s="153"/>
      <c r="B130" s="124" t="s">
        <v>866</v>
      </c>
      <c r="C130" s="111">
        <v>0</v>
      </c>
      <c r="D130" s="112">
        <v>0</v>
      </c>
      <c r="E130" s="113">
        <v>1</v>
      </c>
      <c r="F130" s="113">
        <v>9</v>
      </c>
      <c r="G130" s="113">
        <v>0</v>
      </c>
      <c r="H130" s="113">
        <v>26</v>
      </c>
      <c r="I130" s="113">
        <v>3</v>
      </c>
      <c r="J130" s="113">
        <v>0</v>
      </c>
      <c r="K130" s="114">
        <v>69</v>
      </c>
      <c r="L130" s="115">
        <f t="shared" si="7"/>
        <v>108</v>
      </c>
      <c r="M130" s="116">
        <f t="shared" si="8"/>
        <v>17058</v>
      </c>
      <c r="N130" s="111">
        <f t="shared" si="9"/>
        <v>107</v>
      </c>
      <c r="O130" s="114">
        <f t="shared" si="6"/>
        <v>1</v>
      </c>
      <c r="P130" s="117"/>
      <c r="Q130" s="118"/>
      <c r="R130" s="111"/>
      <c r="S130" s="119"/>
      <c r="T130" s="120">
        <f t="shared" si="3"/>
        <v>108</v>
      </c>
      <c r="U130" s="217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18"/>
    </row>
    <row r="131" spans="1:32" s="68" customFormat="1" ht="11.25" hidden="1" thickBot="1" x14ac:dyDescent="0.2">
      <c r="A131" s="154"/>
      <c r="B131" s="124" t="s">
        <v>868</v>
      </c>
      <c r="C131" s="111">
        <v>0</v>
      </c>
      <c r="D131" s="112">
        <v>0</v>
      </c>
      <c r="E131" s="113">
        <v>5</v>
      </c>
      <c r="F131" s="113">
        <v>0</v>
      </c>
      <c r="G131" s="113">
        <v>0</v>
      </c>
      <c r="H131" s="113">
        <v>5</v>
      </c>
      <c r="I131" s="113">
        <v>4</v>
      </c>
      <c r="J131" s="113">
        <v>0</v>
      </c>
      <c r="K131" s="114">
        <v>93</v>
      </c>
      <c r="L131" s="115">
        <f t="shared" si="7"/>
        <v>107</v>
      </c>
      <c r="M131" s="116">
        <f t="shared" si="8"/>
        <v>17165</v>
      </c>
      <c r="N131" s="111">
        <f t="shared" si="9"/>
        <v>102</v>
      </c>
      <c r="O131" s="114">
        <f t="shared" si="6"/>
        <v>5</v>
      </c>
      <c r="P131" s="117"/>
      <c r="Q131" s="118"/>
      <c r="R131" s="111"/>
      <c r="S131" s="119"/>
      <c r="T131" s="120">
        <f t="shared" si="3"/>
        <v>107</v>
      </c>
      <c r="U131" s="217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18"/>
    </row>
    <row r="132" spans="1:32" s="68" customFormat="1" ht="11.25" hidden="1" thickBot="1" x14ac:dyDescent="0.2">
      <c r="A132" s="223"/>
      <c r="B132" s="124" t="s">
        <v>896</v>
      </c>
      <c r="C132" s="111">
        <v>0</v>
      </c>
      <c r="D132" s="112">
        <v>0</v>
      </c>
      <c r="E132" s="113">
        <v>1</v>
      </c>
      <c r="F132" s="113">
        <v>2</v>
      </c>
      <c r="G132" s="113">
        <v>0</v>
      </c>
      <c r="H132" s="113">
        <v>6</v>
      </c>
      <c r="I132" s="113">
        <v>2</v>
      </c>
      <c r="J132" s="113">
        <v>0</v>
      </c>
      <c r="K132" s="114">
        <v>62</v>
      </c>
      <c r="L132" s="115">
        <f t="shared" si="7"/>
        <v>73</v>
      </c>
      <c r="M132" s="116">
        <f t="shared" si="8"/>
        <v>17238</v>
      </c>
      <c r="N132" s="111">
        <f t="shared" si="9"/>
        <v>72</v>
      </c>
      <c r="O132" s="114">
        <f t="shared" si="6"/>
        <v>1</v>
      </c>
      <c r="P132" s="117"/>
      <c r="Q132" s="118"/>
      <c r="R132" s="111"/>
      <c r="S132" s="119"/>
      <c r="T132" s="120">
        <f t="shared" ref="T132:T195" si="10">L132+R132</f>
        <v>73</v>
      </c>
      <c r="U132" s="217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18"/>
    </row>
    <row r="133" spans="1:32" s="68" customFormat="1" ht="11.25" hidden="1" thickBot="1" x14ac:dyDescent="0.2">
      <c r="A133" s="226"/>
      <c r="B133" s="124" t="s">
        <v>870</v>
      </c>
      <c r="C133" s="111">
        <v>0</v>
      </c>
      <c r="D133" s="112">
        <v>0</v>
      </c>
      <c r="E133" s="113">
        <v>3</v>
      </c>
      <c r="F133" s="113">
        <v>2</v>
      </c>
      <c r="G133" s="113">
        <v>0</v>
      </c>
      <c r="H133" s="113">
        <v>11</v>
      </c>
      <c r="I133" s="113">
        <v>3</v>
      </c>
      <c r="J133" s="113">
        <v>0</v>
      </c>
      <c r="K133" s="114">
        <v>28</v>
      </c>
      <c r="L133" s="115">
        <f t="shared" si="7"/>
        <v>47</v>
      </c>
      <c r="M133" s="116">
        <f t="shared" si="8"/>
        <v>17285</v>
      </c>
      <c r="N133" s="111">
        <f t="shared" si="9"/>
        <v>44</v>
      </c>
      <c r="O133" s="114">
        <f t="shared" si="6"/>
        <v>3</v>
      </c>
      <c r="P133" s="117"/>
      <c r="Q133" s="118"/>
      <c r="R133" s="111"/>
      <c r="S133" s="119"/>
      <c r="T133" s="120">
        <f t="shared" si="10"/>
        <v>47</v>
      </c>
      <c r="U133" s="217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18"/>
    </row>
    <row r="134" spans="1:32" s="68" customFormat="1" ht="11.25" hidden="1" thickBot="1" x14ac:dyDescent="0.2">
      <c r="A134" s="210"/>
      <c r="B134" s="219" t="s">
        <v>871</v>
      </c>
      <c r="C134" s="204">
        <v>0</v>
      </c>
      <c r="D134" s="220">
        <v>0</v>
      </c>
      <c r="E134" s="221">
        <v>0</v>
      </c>
      <c r="F134" s="221">
        <v>0</v>
      </c>
      <c r="G134" s="221">
        <v>0</v>
      </c>
      <c r="H134" s="221">
        <v>7</v>
      </c>
      <c r="I134" s="221">
        <v>3</v>
      </c>
      <c r="J134" s="221">
        <v>0</v>
      </c>
      <c r="K134" s="205">
        <v>32</v>
      </c>
      <c r="L134" s="115">
        <f t="shared" si="7"/>
        <v>42</v>
      </c>
      <c r="M134" s="222">
        <f t="shared" si="8"/>
        <v>17327</v>
      </c>
      <c r="N134" s="204">
        <f t="shared" si="9"/>
        <v>42</v>
      </c>
      <c r="O134" s="205">
        <f t="shared" si="6"/>
        <v>0</v>
      </c>
      <c r="P134" s="206"/>
      <c r="Q134" s="207"/>
      <c r="R134" s="204"/>
      <c r="S134" s="208"/>
      <c r="T134" s="209">
        <f t="shared" si="10"/>
        <v>42</v>
      </c>
      <c r="U134" s="227"/>
      <c r="V134" s="228"/>
      <c r="W134" s="228"/>
      <c r="X134" s="228"/>
      <c r="Y134" s="228"/>
      <c r="Z134" s="228"/>
      <c r="AA134" s="228"/>
      <c r="AB134" s="228"/>
      <c r="AC134" s="228"/>
      <c r="AD134" s="228"/>
      <c r="AE134" s="228"/>
      <c r="AF134" s="229"/>
    </row>
    <row r="135" spans="1:32" s="68" customFormat="1" ht="11.25" hidden="1" thickBot="1" x14ac:dyDescent="0.2">
      <c r="A135" s="230"/>
      <c r="B135" s="192" t="s">
        <v>872</v>
      </c>
      <c r="C135" s="127">
        <v>0</v>
      </c>
      <c r="D135" s="128">
        <v>0</v>
      </c>
      <c r="E135" s="129">
        <v>13</v>
      </c>
      <c r="F135" s="129">
        <v>14</v>
      </c>
      <c r="G135" s="129">
        <v>0</v>
      </c>
      <c r="H135" s="129">
        <v>1</v>
      </c>
      <c r="I135" s="129">
        <v>0</v>
      </c>
      <c r="J135" s="129">
        <v>0</v>
      </c>
      <c r="K135" s="130">
        <v>0</v>
      </c>
      <c r="L135" s="131">
        <f t="shared" si="7"/>
        <v>28</v>
      </c>
      <c r="M135" s="132">
        <f t="shared" si="8"/>
        <v>17355</v>
      </c>
      <c r="N135" s="127">
        <f t="shared" si="9"/>
        <v>15</v>
      </c>
      <c r="O135" s="130">
        <f t="shared" si="6"/>
        <v>13</v>
      </c>
      <c r="P135" s="133"/>
      <c r="Q135" s="134"/>
      <c r="R135" s="135"/>
      <c r="S135" s="136"/>
      <c r="T135" s="137">
        <f t="shared" si="10"/>
        <v>28</v>
      </c>
      <c r="U135" s="231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3"/>
    </row>
    <row r="136" spans="1:32" s="68" customFormat="1" ht="11.25" hidden="1" thickBot="1" x14ac:dyDescent="0.2">
      <c r="A136" s="198" t="s">
        <v>897</v>
      </c>
      <c r="B136" s="170" t="s">
        <v>859</v>
      </c>
      <c r="C136" s="147">
        <v>0</v>
      </c>
      <c r="D136" s="148">
        <v>0</v>
      </c>
      <c r="E136" s="149">
        <v>12</v>
      </c>
      <c r="F136" s="149">
        <v>8</v>
      </c>
      <c r="G136" s="149">
        <v>0</v>
      </c>
      <c r="H136" s="149">
        <v>0</v>
      </c>
      <c r="I136" s="149">
        <v>2</v>
      </c>
      <c r="J136" s="149">
        <v>0</v>
      </c>
      <c r="K136" s="150">
        <v>0</v>
      </c>
      <c r="L136" s="151">
        <f t="shared" si="7"/>
        <v>22</v>
      </c>
      <c r="M136" s="152">
        <f t="shared" si="8"/>
        <v>17377</v>
      </c>
      <c r="N136" s="147">
        <f t="shared" si="9"/>
        <v>10</v>
      </c>
      <c r="O136" s="150">
        <f t="shared" si="6"/>
        <v>12</v>
      </c>
      <c r="P136" s="234"/>
      <c r="Q136" s="235"/>
      <c r="R136" s="236"/>
      <c r="S136" s="237"/>
      <c r="T136" s="105">
        <f t="shared" si="10"/>
        <v>22</v>
      </c>
      <c r="U136" s="238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40"/>
    </row>
    <row r="137" spans="1:32" s="68" customFormat="1" ht="11.25" hidden="1" thickBot="1" x14ac:dyDescent="0.2">
      <c r="A137" s="153" t="s">
        <v>898</v>
      </c>
      <c r="B137" s="124" t="s">
        <v>860</v>
      </c>
      <c r="C137" s="111">
        <v>0</v>
      </c>
      <c r="D137" s="112">
        <v>0</v>
      </c>
      <c r="E137" s="113">
        <v>10</v>
      </c>
      <c r="F137" s="113">
        <v>4</v>
      </c>
      <c r="G137" s="113">
        <v>0</v>
      </c>
      <c r="H137" s="113">
        <v>1</v>
      </c>
      <c r="I137" s="113">
        <v>2</v>
      </c>
      <c r="J137" s="113">
        <v>0</v>
      </c>
      <c r="K137" s="114">
        <v>11</v>
      </c>
      <c r="L137" s="115">
        <f t="shared" si="7"/>
        <v>28</v>
      </c>
      <c r="M137" s="116">
        <f t="shared" si="8"/>
        <v>17405</v>
      </c>
      <c r="N137" s="111">
        <f t="shared" si="9"/>
        <v>18</v>
      </c>
      <c r="O137" s="114">
        <f t="shared" si="6"/>
        <v>10</v>
      </c>
      <c r="P137" s="117"/>
      <c r="Q137" s="118"/>
      <c r="R137" s="241"/>
      <c r="S137" s="119"/>
      <c r="T137" s="120">
        <f t="shared" si="10"/>
        <v>28</v>
      </c>
      <c r="U137" s="217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18"/>
    </row>
    <row r="138" spans="1:32" s="68" customFormat="1" ht="11.25" hidden="1" thickBot="1" x14ac:dyDescent="0.2">
      <c r="A138" s="154">
        <f>SUM(L136:L147)</f>
        <v>583</v>
      </c>
      <c r="B138" s="124" t="s">
        <v>861</v>
      </c>
      <c r="C138" s="111">
        <v>0</v>
      </c>
      <c r="D138" s="112">
        <v>0</v>
      </c>
      <c r="E138" s="113">
        <v>2</v>
      </c>
      <c r="F138" s="113">
        <v>8</v>
      </c>
      <c r="G138" s="113">
        <v>0</v>
      </c>
      <c r="H138" s="113">
        <v>0</v>
      </c>
      <c r="I138" s="113">
        <v>0</v>
      </c>
      <c r="J138" s="113">
        <v>0</v>
      </c>
      <c r="K138" s="119">
        <v>5</v>
      </c>
      <c r="L138" s="115">
        <f t="shared" si="7"/>
        <v>15</v>
      </c>
      <c r="M138" s="116">
        <f t="shared" si="8"/>
        <v>17420</v>
      </c>
      <c r="N138" s="111">
        <f t="shared" si="9"/>
        <v>13</v>
      </c>
      <c r="O138" s="114">
        <f t="shared" si="6"/>
        <v>2</v>
      </c>
      <c r="P138" s="117"/>
      <c r="Q138" s="118"/>
      <c r="R138" s="241"/>
      <c r="S138" s="119"/>
      <c r="T138" s="120">
        <f t="shared" si="10"/>
        <v>15</v>
      </c>
      <c r="U138" s="217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18"/>
    </row>
    <row r="139" spans="1:32" s="68" customFormat="1" ht="11.25" hidden="1" thickBot="1" x14ac:dyDescent="0.2">
      <c r="A139" s="223"/>
      <c r="B139" s="124" t="s">
        <v>862</v>
      </c>
      <c r="C139" s="111">
        <v>0</v>
      </c>
      <c r="D139" s="112">
        <v>0</v>
      </c>
      <c r="E139" s="113">
        <v>0</v>
      </c>
      <c r="F139" s="113">
        <v>0</v>
      </c>
      <c r="G139" s="113">
        <v>0</v>
      </c>
      <c r="H139" s="113">
        <v>3</v>
      </c>
      <c r="I139" s="113">
        <v>0</v>
      </c>
      <c r="J139" s="113">
        <v>0</v>
      </c>
      <c r="K139" s="119">
        <v>6</v>
      </c>
      <c r="L139" s="115">
        <f t="shared" si="7"/>
        <v>9</v>
      </c>
      <c r="M139" s="116">
        <f t="shared" si="8"/>
        <v>17429</v>
      </c>
      <c r="N139" s="111">
        <f t="shared" si="9"/>
        <v>9</v>
      </c>
      <c r="O139" s="114">
        <f t="shared" si="6"/>
        <v>0</v>
      </c>
      <c r="P139" s="117"/>
      <c r="Q139" s="118"/>
      <c r="R139" s="241"/>
      <c r="S139" s="119"/>
      <c r="T139" s="120">
        <f t="shared" si="10"/>
        <v>9</v>
      </c>
      <c r="U139" s="217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18"/>
    </row>
    <row r="140" spans="1:32" s="68" customFormat="1" ht="11.25" hidden="1" thickBot="1" x14ac:dyDescent="0.2">
      <c r="A140" s="226"/>
      <c r="B140" s="124" t="s">
        <v>895</v>
      </c>
      <c r="C140" s="111">
        <v>0</v>
      </c>
      <c r="D140" s="112">
        <v>0</v>
      </c>
      <c r="E140" s="113">
        <v>22</v>
      </c>
      <c r="F140" s="113">
        <v>13</v>
      </c>
      <c r="G140" s="113">
        <v>0</v>
      </c>
      <c r="H140" s="113">
        <v>16</v>
      </c>
      <c r="I140" s="113">
        <v>1</v>
      </c>
      <c r="J140" s="113">
        <v>0</v>
      </c>
      <c r="K140" s="119">
        <v>14</v>
      </c>
      <c r="L140" s="115">
        <f t="shared" si="7"/>
        <v>66</v>
      </c>
      <c r="M140" s="116">
        <f t="shared" si="8"/>
        <v>17495</v>
      </c>
      <c r="N140" s="111">
        <f t="shared" si="9"/>
        <v>44</v>
      </c>
      <c r="O140" s="114">
        <f t="shared" si="6"/>
        <v>22</v>
      </c>
      <c r="P140" s="117"/>
      <c r="Q140" s="118"/>
      <c r="R140" s="241"/>
      <c r="S140" s="119"/>
      <c r="T140" s="120">
        <f t="shared" si="10"/>
        <v>66</v>
      </c>
      <c r="U140" s="217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18"/>
    </row>
    <row r="141" spans="1:32" s="68" customFormat="1" ht="11.25" hidden="1" thickBot="1" x14ac:dyDescent="0.2">
      <c r="A141" s="225"/>
      <c r="B141" s="124" t="s">
        <v>865</v>
      </c>
      <c r="C141" s="111">
        <v>0</v>
      </c>
      <c r="D141" s="112">
        <v>0</v>
      </c>
      <c r="E141" s="113">
        <v>21</v>
      </c>
      <c r="F141" s="113">
        <v>11</v>
      </c>
      <c r="G141" s="113">
        <v>0</v>
      </c>
      <c r="H141" s="113">
        <v>39</v>
      </c>
      <c r="I141" s="113">
        <v>1</v>
      </c>
      <c r="J141" s="113">
        <v>0</v>
      </c>
      <c r="K141" s="114">
        <v>0</v>
      </c>
      <c r="L141" s="115">
        <f t="shared" si="7"/>
        <v>72</v>
      </c>
      <c r="M141" s="116">
        <f t="shared" si="8"/>
        <v>17567</v>
      </c>
      <c r="N141" s="111">
        <f t="shared" si="9"/>
        <v>51</v>
      </c>
      <c r="O141" s="114">
        <f t="shared" si="6"/>
        <v>21</v>
      </c>
      <c r="P141" s="117"/>
      <c r="Q141" s="118"/>
      <c r="R141" s="241"/>
      <c r="S141" s="119"/>
      <c r="T141" s="120">
        <f t="shared" si="10"/>
        <v>72</v>
      </c>
      <c r="U141" s="217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18"/>
    </row>
    <row r="142" spans="1:32" s="68" customFormat="1" ht="11.25" hidden="1" thickBot="1" x14ac:dyDescent="0.2">
      <c r="A142" s="153"/>
      <c r="B142" s="124" t="s">
        <v>866</v>
      </c>
      <c r="C142" s="111">
        <v>0</v>
      </c>
      <c r="D142" s="112">
        <v>0</v>
      </c>
      <c r="E142" s="113">
        <v>29</v>
      </c>
      <c r="F142" s="113">
        <v>12</v>
      </c>
      <c r="G142" s="113">
        <v>0</v>
      </c>
      <c r="H142" s="113">
        <v>18</v>
      </c>
      <c r="I142" s="113">
        <v>3</v>
      </c>
      <c r="J142" s="113">
        <v>0</v>
      </c>
      <c r="K142" s="119">
        <v>0</v>
      </c>
      <c r="L142" s="115">
        <f t="shared" si="7"/>
        <v>62</v>
      </c>
      <c r="M142" s="116">
        <f t="shared" si="8"/>
        <v>17629</v>
      </c>
      <c r="N142" s="111">
        <f t="shared" si="9"/>
        <v>33</v>
      </c>
      <c r="O142" s="114">
        <f t="shared" si="6"/>
        <v>29</v>
      </c>
      <c r="P142" s="117"/>
      <c r="Q142" s="118"/>
      <c r="R142" s="241"/>
      <c r="S142" s="119"/>
      <c r="T142" s="120">
        <f t="shared" si="10"/>
        <v>62</v>
      </c>
      <c r="U142" s="217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18"/>
    </row>
    <row r="143" spans="1:32" s="68" customFormat="1" ht="11.25" hidden="1" thickBot="1" x14ac:dyDescent="0.2">
      <c r="A143" s="154"/>
      <c r="B143" s="124" t="s">
        <v>868</v>
      </c>
      <c r="C143" s="111">
        <v>0</v>
      </c>
      <c r="D143" s="112">
        <v>0</v>
      </c>
      <c r="E143" s="113">
        <v>2</v>
      </c>
      <c r="F143" s="113">
        <v>12</v>
      </c>
      <c r="G143" s="113">
        <v>0</v>
      </c>
      <c r="H143" s="113">
        <v>16</v>
      </c>
      <c r="I143" s="113">
        <v>1</v>
      </c>
      <c r="J143" s="113">
        <v>0</v>
      </c>
      <c r="K143" s="114">
        <v>37</v>
      </c>
      <c r="L143" s="115">
        <f t="shared" si="7"/>
        <v>68</v>
      </c>
      <c r="M143" s="116">
        <f t="shared" si="8"/>
        <v>17697</v>
      </c>
      <c r="N143" s="111">
        <f t="shared" si="9"/>
        <v>66</v>
      </c>
      <c r="O143" s="114">
        <f t="shared" si="6"/>
        <v>2</v>
      </c>
      <c r="P143" s="117"/>
      <c r="Q143" s="118"/>
      <c r="R143" s="241"/>
      <c r="S143" s="119"/>
      <c r="T143" s="120">
        <f t="shared" si="10"/>
        <v>68</v>
      </c>
      <c r="U143" s="217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18"/>
    </row>
    <row r="144" spans="1:32" s="68" customFormat="1" ht="11.25" hidden="1" thickBot="1" x14ac:dyDescent="0.2">
      <c r="A144" s="223"/>
      <c r="B144" s="242" t="s">
        <v>899</v>
      </c>
      <c r="C144" s="135">
        <v>0</v>
      </c>
      <c r="D144" s="140">
        <v>0</v>
      </c>
      <c r="E144" s="141">
        <v>8</v>
      </c>
      <c r="F144" s="141">
        <v>9</v>
      </c>
      <c r="G144" s="141">
        <v>0</v>
      </c>
      <c r="H144" s="141">
        <v>5</v>
      </c>
      <c r="I144" s="141">
        <v>0</v>
      </c>
      <c r="J144" s="141">
        <v>0</v>
      </c>
      <c r="K144" s="142">
        <v>55</v>
      </c>
      <c r="L144" s="143">
        <f t="shared" si="7"/>
        <v>77</v>
      </c>
      <c r="M144" s="144">
        <f t="shared" si="8"/>
        <v>17774</v>
      </c>
      <c r="N144" s="135">
        <f t="shared" si="9"/>
        <v>69</v>
      </c>
      <c r="O144" s="142">
        <f t="shared" si="6"/>
        <v>8</v>
      </c>
      <c r="P144" s="133"/>
      <c r="Q144" s="134"/>
      <c r="R144" s="243"/>
      <c r="S144" s="136"/>
      <c r="T144" s="137">
        <f t="shared" si="10"/>
        <v>77</v>
      </c>
      <c r="U144" s="217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18"/>
    </row>
    <row r="145" spans="1:33" s="68" customFormat="1" ht="11.25" hidden="1" thickBot="1" x14ac:dyDescent="0.2">
      <c r="A145" s="226"/>
      <c r="B145" s="124" t="s">
        <v>870</v>
      </c>
      <c r="C145" s="111">
        <v>0</v>
      </c>
      <c r="D145" s="112">
        <v>0</v>
      </c>
      <c r="E145" s="113">
        <v>7</v>
      </c>
      <c r="F145" s="113">
        <v>8</v>
      </c>
      <c r="G145" s="113">
        <v>0</v>
      </c>
      <c r="H145" s="113">
        <v>42</v>
      </c>
      <c r="I145" s="113">
        <v>3</v>
      </c>
      <c r="J145" s="113">
        <v>0</v>
      </c>
      <c r="K145" s="114">
        <v>18</v>
      </c>
      <c r="L145" s="115">
        <f t="shared" si="7"/>
        <v>78</v>
      </c>
      <c r="M145" s="116">
        <f t="shared" si="8"/>
        <v>17852</v>
      </c>
      <c r="N145" s="111">
        <f t="shared" si="9"/>
        <v>71</v>
      </c>
      <c r="O145" s="114">
        <f t="shared" si="6"/>
        <v>7</v>
      </c>
      <c r="P145" s="117"/>
      <c r="Q145" s="118"/>
      <c r="R145" s="241"/>
      <c r="S145" s="119"/>
      <c r="T145" s="120">
        <f t="shared" si="10"/>
        <v>78</v>
      </c>
      <c r="U145" s="217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18"/>
    </row>
    <row r="146" spans="1:33" s="68" customFormat="1" ht="11.25" hidden="1" thickBot="1" x14ac:dyDescent="0.2">
      <c r="A146" s="244"/>
      <c r="B146" s="124" t="s">
        <v>871</v>
      </c>
      <c r="C146" s="111">
        <v>0</v>
      </c>
      <c r="D146" s="112">
        <v>0</v>
      </c>
      <c r="E146" s="113">
        <v>13</v>
      </c>
      <c r="F146" s="113">
        <v>0</v>
      </c>
      <c r="G146" s="113">
        <v>0</v>
      </c>
      <c r="H146" s="113">
        <v>25</v>
      </c>
      <c r="I146" s="113">
        <v>4</v>
      </c>
      <c r="J146" s="113">
        <v>0</v>
      </c>
      <c r="K146" s="114">
        <v>17</v>
      </c>
      <c r="L146" s="115">
        <f t="shared" si="7"/>
        <v>59</v>
      </c>
      <c r="M146" s="116">
        <f t="shared" si="8"/>
        <v>17911</v>
      </c>
      <c r="N146" s="111">
        <f t="shared" si="9"/>
        <v>46</v>
      </c>
      <c r="O146" s="114">
        <f t="shared" si="6"/>
        <v>13</v>
      </c>
      <c r="P146" s="117"/>
      <c r="Q146" s="118"/>
      <c r="R146" s="241"/>
      <c r="S146" s="119"/>
      <c r="T146" s="120">
        <f t="shared" si="10"/>
        <v>59</v>
      </c>
      <c r="U146" s="239"/>
      <c r="V146" s="239"/>
      <c r="W146" s="239"/>
      <c r="X146" s="239"/>
      <c r="Y146" s="239"/>
      <c r="Z146" s="239"/>
      <c r="AA146" s="239"/>
      <c r="AB146" s="239"/>
      <c r="AC146" s="239"/>
      <c r="AD146" s="239"/>
      <c r="AE146" s="239"/>
      <c r="AF146" s="239"/>
      <c r="AG146" s="245"/>
    </row>
    <row r="147" spans="1:33" s="68" customFormat="1" ht="10.5" hidden="1" customHeight="1" x14ac:dyDescent="0.2">
      <c r="A147" s="246"/>
      <c r="B147" s="124" t="s">
        <v>900</v>
      </c>
      <c r="C147" s="111">
        <v>0</v>
      </c>
      <c r="D147" s="112">
        <v>0</v>
      </c>
      <c r="E147" s="113">
        <v>0</v>
      </c>
      <c r="F147" s="113">
        <v>24</v>
      </c>
      <c r="G147" s="113">
        <v>0</v>
      </c>
      <c r="H147" s="113">
        <v>0</v>
      </c>
      <c r="I147" s="113">
        <v>0</v>
      </c>
      <c r="J147" s="113">
        <v>0</v>
      </c>
      <c r="K147" s="114">
        <v>3</v>
      </c>
      <c r="L147" s="115">
        <f t="shared" si="7"/>
        <v>27</v>
      </c>
      <c r="M147" s="116">
        <f t="shared" si="8"/>
        <v>17938</v>
      </c>
      <c r="N147" s="111">
        <f t="shared" si="9"/>
        <v>27</v>
      </c>
      <c r="O147" s="114">
        <f t="shared" ref="O147:O157" si="11">E147+G147</f>
        <v>0</v>
      </c>
      <c r="P147" s="117"/>
      <c r="Q147" s="118"/>
      <c r="R147" s="241">
        <v>0</v>
      </c>
      <c r="S147" s="119">
        <v>0</v>
      </c>
      <c r="T147" s="120">
        <f t="shared" si="10"/>
        <v>27</v>
      </c>
      <c r="U147" s="239"/>
      <c r="V147" s="239"/>
      <c r="W147" s="239"/>
      <c r="X147" s="239"/>
      <c r="Y147" s="239"/>
      <c r="Z147" s="239"/>
      <c r="AA147" s="239"/>
      <c r="AB147" s="239"/>
      <c r="AC147" s="239"/>
      <c r="AD147" s="239"/>
      <c r="AE147" s="239"/>
      <c r="AF147" s="239"/>
      <c r="AG147" s="245"/>
    </row>
    <row r="148" spans="1:33" s="68" customFormat="1" ht="10.5" hidden="1" customHeight="1" x14ac:dyDescent="0.2">
      <c r="A148" s="247" t="s">
        <v>901</v>
      </c>
      <c r="B148" s="248" t="s">
        <v>859</v>
      </c>
      <c r="C148" s="147">
        <v>0</v>
      </c>
      <c r="D148" s="149">
        <v>0</v>
      </c>
      <c r="E148" s="148">
        <v>2</v>
      </c>
      <c r="F148" s="149">
        <v>0</v>
      </c>
      <c r="G148" s="149">
        <v>0</v>
      </c>
      <c r="H148" s="149">
        <v>7</v>
      </c>
      <c r="I148" s="149">
        <v>0</v>
      </c>
      <c r="J148" s="149">
        <v>0</v>
      </c>
      <c r="K148" s="150">
        <v>24</v>
      </c>
      <c r="L148" s="249">
        <f t="shared" si="7"/>
        <v>33</v>
      </c>
      <c r="M148" s="250">
        <f t="shared" si="8"/>
        <v>17971</v>
      </c>
      <c r="N148" s="147">
        <f t="shared" si="9"/>
        <v>31</v>
      </c>
      <c r="O148" s="150">
        <f t="shared" si="11"/>
        <v>2</v>
      </c>
      <c r="P148" s="234"/>
      <c r="Q148" s="235"/>
      <c r="R148" s="251">
        <v>2</v>
      </c>
      <c r="S148" s="237">
        <f t="shared" ref="S148:S169" si="12">S147+R148</f>
        <v>2</v>
      </c>
      <c r="T148" s="252">
        <f t="shared" si="10"/>
        <v>35</v>
      </c>
      <c r="U148" s="253"/>
      <c r="V148" s="254"/>
      <c r="W148" s="254"/>
      <c r="X148" s="254"/>
      <c r="Y148" s="254"/>
      <c r="Z148" s="254"/>
      <c r="AA148" s="254"/>
      <c r="AB148" s="254"/>
      <c r="AC148" s="254"/>
      <c r="AD148" s="254"/>
      <c r="AE148" s="254"/>
      <c r="AF148" s="254"/>
      <c r="AG148" s="255"/>
    </row>
    <row r="149" spans="1:33" s="68" customFormat="1" ht="10.5" hidden="1" customHeight="1" x14ac:dyDescent="0.2">
      <c r="A149" s="256" t="s">
        <v>898</v>
      </c>
      <c r="B149" s="257" t="s">
        <v>860</v>
      </c>
      <c r="C149" s="111">
        <v>0</v>
      </c>
      <c r="D149" s="113">
        <v>0</v>
      </c>
      <c r="E149" s="112">
        <v>31</v>
      </c>
      <c r="F149" s="113">
        <v>0</v>
      </c>
      <c r="G149" s="113">
        <v>0</v>
      </c>
      <c r="H149" s="113">
        <v>0</v>
      </c>
      <c r="I149" s="113">
        <v>0</v>
      </c>
      <c r="J149" s="113">
        <v>0</v>
      </c>
      <c r="K149" s="114">
        <v>26</v>
      </c>
      <c r="L149" s="258">
        <f t="shared" ref="L149:L166" si="13">SUM(C149:K149)</f>
        <v>57</v>
      </c>
      <c r="M149" s="122">
        <f t="shared" ref="M149:M173" si="14">M148+L149</f>
        <v>18028</v>
      </c>
      <c r="N149" s="111">
        <f t="shared" si="9"/>
        <v>26</v>
      </c>
      <c r="O149" s="114">
        <f t="shared" si="11"/>
        <v>31</v>
      </c>
      <c r="P149" s="117"/>
      <c r="Q149" s="118"/>
      <c r="R149" s="259">
        <v>16</v>
      </c>
      <c r="S149" s="119">
        <f t="shared" si="12"/>
        <v>18</v>
      </c>
      <c r="T149" s="260">
        <f t="shared" si="10"/>
        <v>73</v>
      </c>
      <c r="U149" s="253"/>
      <c r="V149" s="254"/>
      <c r="W149" s="254"/>
      <c r="X149" s="254"/>
      <c r="Y149" s="254"/>
      <c r="Z149" s="254"/>
      <c r="AA149" s="254"/>
      <c r="AB149" s="254"/>
      <c r="AC149" s="254"/>
      <c r="AD149" s="254"/>
      <c r="AE149" s="254"/>
      <c r="AF149" s="254"/>
      <c r="AG149" s="255"/>
    </row>
    <row r="150" spans="1:33" s="68" customFormat="1" ht="10.5" hidden="1" customHeight="1" x14ac:dyDescent="0.2">
      <c r="A150" s="261">
        <f>SUM(L148:L159)</f>
        <v>942</v>
      </c>
      <c r="B150" s="257" t="s">
        <v>861</v>
      </c>
      <c r="C150" s="111">
        <v>0</v>
      </c>
      <c r="D150" s="113">
        <v>0</v>
      </c>
      <c r="E150" s="112">
        <v>5</v>
      </c>
      <c r="F150" s="113">
        <v>1</v>
      </c>
      <c r="G150" s="113">
        <v>0</v>
      </c>
      <c r="H150" s="113">
        <v>27</v>
      </c>
      <c r="I150" s="113">
        <v>9</v>
      </c>
      <c r="J150" s="113">
        <v>0</v>
      </c>
      <c r="K150" s="114">
        <v>25</v>
      </c>
      <c r="L150" s="258">
        <f t="shared" si="13"/>
        <v>67</v>
      </c>
      <c r="M150" s="122">
        <f t="shared" si="14"/>
        <v>18095</v>
      </c>
      <c r="N150" s="111">
        <f t="shared" si="9"/>
        <v>62</v>
      </c>
      <c r="O150" s="114">
        <f t="shared" si="11"/>
        <v>5</v>
      </c>
      <c r="P150" s="117"/>
      <c r="Q150" s="118"/>
      <c r="R150" s="259">
        <v>15</v>
      </c>
      <c r="S150" s="119">
        <f t="shared" si="12"/>
        <v>33</v>
      </c>
      <c r="T150" s="260">
        <f t="shared" si="10"/>
        <v>82</v>
      </c>
      <c r="U150" s="262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4"/>
    </row>
    <row r="151" spans="1:33" s="68" customFormat="1" ht="10.5" hidden="1" customHeight="1" x14ac:dyDescent="0.2">
      <c r="A151" s="265">
        <v>942</v>
      </c>
      <c r="B151" s="257" t="s">
        <v>862</v>
      </c>
      <c r="C151" s="111">
        <v>0</v>
      </c>
      <c r="D151" s="113">
        <v>0</v>
      </c>
      <c r="E151" s="112">
        <v>0</v>
      </c>
      <c r="F151" s="113">
        <v>0</v>
      </c>
      <c r="G151" s="113">
        <v>0</v>
      </c>
      <c r="H151" s="113">
        <v>25</v>
      </c>
      <c r="I151" s="113">
        <v>0</v>
      </c>
      <c r="J151" s="113">
        <v>0</v>
      </c>
      <c r="K151" s="114">
        <v>63</v>
      </c>
      <c r="L151" s="258">
        <f t="shared" si="13"/>
        <v>88</v>
      </c>
      <c r="M151" s="122">
        <f t="shared" si="14"/>
        <v>18183</v>
      </c>
      <c r="N151" s="111">
        <f t="shared" si="9"/>
        <v>88</v>
      </c>
      <c r="O151" s="114">
        <f t="shared" si="11"/>
        <v>0</v>
      </c>
      <c r="P151" s="117"/>
      <c r="Q151" s="118"/>
      <c r="R151" s="259">
        <v>33</v>
      </c>
      <c r="S151" s="119">
        <f t="shared" si="12"/>
        <v>66</v>
      </c>
      <c r="T151" s="260">
        <f t="shared" si="10"/>
        <v>121</v>
      </c>
      <c r="U151" s="262"/>
      <c r="V151" s="263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4"/>
    </row>
    <row r="152" spans="1:33" s="68" customFormat="1" ht="10.5" hidden="1" customHeight="1" x14ac:dyDescent="0.2">
      <c r="A152" s="266">
        <f>A150-A151</f>
        <v>0</v>
      </c>
      <c r="B152" s="257" t="s">
        <v>902</v>
      </c>
      <c r="C152" s="111">
        <v>0</v>
      </c>
      <c r="D152" s="113">
        <v>0</v>
      </c>
      <c r="E152" s="112">
        <v>18</v>
      </c>
      <c r="F152" s="113">
        <v>2</v>
      </c>
      <c r="G152" s="113">
        <v>0</v>
      </c>
      <c r="H152" s="113">
        <v>30</v>
      </c>
      <c r="I152" s="113">
        <v>1</v>
      </c>
      <c r="J152" s="113">
        <v>0</v>
      </c>
      <c r="K152" s="114">
        <v>36</v>
      </c>
      <c r="L152" s="258">
        <f t="shared" si="13"/>
        <v>87</v>
      </c>
      <c r="M152" s="122">
        <f t="shared" si="14"/>
        <v>18270</v>
      </c>
      <c r="N152" s="111">
        <f t="shared" si="9"/>
        <v>69</v>
      </c>
      <c r="O152" s="114">
        <f t="shared" si="11"/>
        <v>18</v>
      </c>
      <c r="P152" s="117"/>
      <c r="Q152" s="118"/>
      <c r="R152" s="259">
        <v>45</v>
      </c>
      <c r="S152" s="119">
        <f t="shared" si="12"/>
        <v>111</v>
      </c>
      <c r="T152" s="260">
        <f t="shared" si="10"/>
        <v>132</v>
      </c>
      <c r="U152" s="262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4"/>
    </row>
    <row r="153" spans="1:33" s="68" customFormat="1" ht="10.5" hidden="1" customHeight="1" x14ac:dyDescent="0.2">
      <c r="A153" s="225"/>
      <c r="B153" s="257" t="s">
        <v>865</v>
      </c>
      <c r="C153" s="111">
        <v>0</v>
      </c>
      <c r="D153" s="113">
        <v>0</v>
      </c>
      <c r="E153" s="112">
        <v>37</v>
      </c>
      <c r="F153" s="113">
        <v>0</v>
      </c>
      <c r="G153" s="113">
        <v>0</v>
      </c>
      <c r="H153" s="113">
        <v>42</v>
      </c>
      <c r="I153" s="113">
        <v>0</v>
      </c>
      <c r="J153" s="113">
        <v>0</v>
      </c>
      <c r="K153" s="114">
        <v>17</v>
      </c>
      <c r="L153" s="258">
        <f t="shared" si="13"/>
        <v>96</v>
      </c>
      <c r="M153" s="267">
        <f t="shared" si="14"/>
        <v>18366</v>
      </c>
      <c r="N153" s="111">
        <f t="shared" si="9"/>
        <v>59</v>
      </c>
      <c r="O153" s="114">
        <f t="shared" si="11"/>
        <v>37</v>
      </c>
      <c r="P153" s="117"/>
      <c r="Q153" s="118"/>
      <c r="R153" s="259">
        <v>36</v>
      </c>
      <c r="S153" s="119">
        <f t="shared" si="12"/>
        <v>147</v>
      </c>
      <c r="T153" s="260">
        <f t="shared" si="10"/>
        <v>132</v>
      </c>
      <c r="U153" s="262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4"/>
    </row>
    <row r="154" spans="1:33" s="68" customFormat="1" ht="10.5" hidden="1" customHeight="1" x14ac:dyDescent="0.2">
      <c r="A154" s="256" t="s">
        <v>903</v>
      </c>
      <c r="B154" s="257" t="s">
        <v>866</v>
      </c>
      <c r="C154" s="111">
        <v>0</v>
      </c>
      <c r="D154" s="113">
        <v>0</v>
      </c>
      <c r="E154" s="112">
        <v>37</v>
      </c>
      <c r="F154" s="113">
        <v>0</v>
      </c>
      <c r="G154" s="113">
        <v>0</v>
      </c>
      <c r="H154" s="113">
        <v>14</v>
      </c>
      <c r="I154" s="113">
        <v>2</v>
      </c>
      <c r="J154" s="113">
        <v>0</v>
      </c>
      <c r="K154" s="114">
        <v>62</v>
      </c>
      <c r="L154" s="258">
        <f t="shared" si="13"/>
        <v>115</v>
      </c>
      <c r="M154" s="267">
        <f t="shared" si="14"/>
        <v>18481</v>
      </c>
      <c r="N154" s="111">
        <f t="shared" si="9"/>
        <v>78</v>
      </c>
      <c r="O154" s="114">
        <f t="shared" si="11"/>
        <v>37</v>
      </c>
      <c r="P154" s="117"/>
      <c r="Q154" s="118"/>
      <c r="R154" s="259">
        <v>43</v>
      </c>
      <c r="S154" s="119">
        <f t="shared" si="12"/>
        <v>190</v>
      </c>
      <c r="T154" s="260">
        <f t="shared" si="10"/>
        <v>158</v>
      </c>
      <c r="U154" s="262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4"/>
    </row>
    <row r="155" spans="1:33" s="68" customFormat="1" ht="10.5" hidden="1" customHeight="1" x14ac:dyDescent="0.2">
      <c r="A155" s="261">
        <f>SUM(R148:R159)</f>
        <v>264</v>
      </c>
      <c r="B155" s="268" t="s">
        <v>868</v>
      </c>
      <c r="C155" s="135">
        <v>0</v>
      </c>
      <c r="D155" s="141">
        <v>0</v>
      </c>
      <c r="E155" s="140">
        <v>22</v>
      </c>
      <c r="F155" s="141">
        <v>5</v>
      </c>
      <c r="G155" s="141">
        <v>0</v>
      </c>
      <c r="H155" s="141">
        <v>0</v>
      </c>
      <c r="I155" s="141">
        <v>0</v>
      </c>
      <c r="J155" s="141">
        <v>2</v>
      </c>
      <c r="K155" s="142">
        <v>69</v>
      </c>
      <c r="L155" s="269">
        <f t="shared" si="13"/>
        <v>98</v>
      </c>
      <c r="M155" s="267">
        <f t="shared" si="14"/>
        <v>18579</v>
      </c>
      <c r="N155" s="111">
        <f t="shared" si="9"/>
        <v>76</v>
      </c>
      <c r="O155" s="114">
        <f t="shared" si="11"/>
        <v>22</v>
      </c>
      <c r="P155" s="117"/>
      <c r="Q155" s="118"/>
      <c r="R155" s="259">
        <v>44</v>
      </c>
      <c r="S155" s="114">
        <f t="shared" si="12"/>
        <v>234</v>
      </c>
      <c r="T155" s="260">
        <f t="shared" si="10"/>
        <v>142</v>
      </c>
      <c r="U155" s="262"/>
      <c r="V155" s="263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4"/>
    </row>
    <row r="156" spans="1:33" s="68" customFormat="1" ht="10.5" hidden="1" customHeight="1" x14ac:dyDescent="0.2">
      <c r="A156" s="265">
        <v>264</v>
      </c>
      <c r="B156" s="270" t="s">
        <v>904</v>
      </c>
      <c r="C156" s="111">
        <v>0</v>
      </c>
      <c r="D156" s="113">
        <v>0</v>
      </c>
      <c r="E156" s="112">
        <v>41</v>
      </c>
      <c r="F156" s="113">
        <v>8</v>
      </c>
      <c r="G156" s="113">
        <v>0</v>
      </c>
      <c r="H156" s="113">
        <v>5</v>
      </c>
      <c r="I156" s="113">
        <v>0</v>
      </c>
      <c r="J156" s="113">
        <v>0</v>
      </c>
      <c r="K156" s="114">
        <v>48</v>
      </c>
      <c r="L156" s="271">
        <f>SUM(C156:K156)</f>
        <v>102</v>
      </c>
      <c r="M156" s="272">
        <f t="shared" si="14"/>
        <v>18681</v>
      </c>
      <c r="N156" s="135">
        <f t="shared" si="9"/>
        <v>61</v>
      </c>
      <c r="O156" s="142">
        <f t="shared" si="11"/>
        <v>41</v>
      </c>
      <c r="P156" s="133"/>
      <c r="Q156" s="134"/>
      <c r="R156" s="259">
        <v>23</v>
      </c>
      <c r="S156" s="142">
        <f t="shared" si="12"/>
        <v>257</v>
      </c>
      <c r="T156" s="260">
        <f t="shared" si="10"/>
        <v>125</v>
      </c>
      <c r="U156" s="262"/>
      <c r="V156" s="263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4"/>
    </row>
    <row r="157" spans="1:33" s="68" customFormat="1" ht="10.5" hidden="1" customHeight="1" x14ac:dyDescent="0.2">
      <c r="A157" s="266">
        <f>A155-A156</f>
        <v>0</v>
      </c>
      <c r="B157" s="268" t="s">
        <v>870</v>
      </c>
      <c r="C157" s="111">
        <v>0</v>
      </c>
      <c r="D157" s="113">
        <v>0</v>
      </c>
      <c r="E157" s="112">
        <v>17</v>
      </c>
      <c r="F157" s="113">
        <v>0</v>
      </c>
      <c r="G157" s="113">
        <v>0</v>
      </c>
      <c r="H157" s="113">
        <v>35</v>
      </c>
      <c r="I157" s="113">
        <v>1</v>
      </c>
      <c r="J157" s="113">
        <v>0</v>
      </c>
      <c r="K157" s="114">
        <v>43</v>
      </c>
      <c r="L157" s="271">
        <f>SUM(C157:K157)</f>
        <v>96</v>
      </c>
      <c r="M157" s="267">
        <f t="shared" si="14"/>
        <v>18777</v>
      </c>
      <c r="N157" s="111">
        <f t="shared" si="9"/>
        <v>79</v>
      </c>
      <c r="O157" s="114">
        <f t="shared" si="11"/>
        <v>17</v>
      </c>
      <c r="P157" s="117"/>
      <c r="Q157" s="118"/>
      <c r="R157" s="259">
        <v>7</v>
      </c>
      <c r="S157" s="114">
        <f t="shared" si="12"/>
        <v>264</v>
      </c>
      <c r="T157" s="260">
        <f t="shared" si="10"/>
        <v>103</v>
      </c>
      <c r="U157" s="27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4"/>
    </row>
    <row r="158" spans="1:33" s="68" customFormat="1" ht="10.5" hidden="1" customHeight="1" x14ac:dyDescent="0.2">
      <c r="A158" s="266"/>
      <c r="B158" s="268" t="s">
        <v>871</v>
      </c>
      <c r="C158" s="111">
        <v>0</v>
      </c>
      <c r="D158" s="113">
        <v>0</v>
      </c>
      <c r="E158" s="112">
        <v>15</v>
      </c>
      <c r="F158" s="113">
        <v>0</v>
      </c>
      <c r="G158" s="113">
        <v>0</v>
      </c>
      <c r="H158" s="113">
        <v>42</v>
      </c>
      <c r="I158" s="113">
        <v>0</v>
      </c>
      <c r="J158" s="113">
        <v>0</v>
      </c>
      <c r="K158" s="114">
        <v>10</v>
      </c>
      <c r="L158" s="271">
        <f t="shared" si="13"/>
        <v>67</v>
      </c>
      <c r="M158" s="267">
        <f t="shared" si="14"/>
        <v>18844</v>
      </c>
      <c r="N158" s="111">
        <v>52</v>
      </c>
      <c r="O158" s="114">
        <v>15</v>
      </c>
      <c r="P158" s="117"/>
      <c r="Q158" s="118"/>
      <c r="R158" s="259">
        <v>0</v>
      </c>
      <c r="S158" s="114">
        <f t="shared" si="12"/>
        <v>264</v>
      </c>
      <c r="T158" s="260">
        <f t="shared" si="10"/>
        <v>67</v>
      </c>
      <c r="U158" s="273"/>
      <c r="V158" s="274"/>
      <c r="W158" s="274"/>
      <c r="X158" s="274"/>
      <c r="Y158" s="274"/>
      <c r="Z158" s="274"/>
      <c r="AA158" s="274"/>
      <c r="AB158" s="274"/>
      <c r="AC158" s="274"/>
      <c r="AD158" s="274"/>
      <c r="AE158" s="274"/>
      <c r="AF158" s="274"/>
      <c r="AG158" s="274"/>
    </row>
    <row r="159" spans="1:33" s="68" customFormat="1" ht="10.5" hidden="1" customHeight="1" x14ac:dyDescent="0.2">
      <c r="A159" s="275"/>
      <c r="B159" s="276" t="s">
        <v>900</v>
      </c>
      <c r="C159" s="127">
        <v>0</v>
      </c>
      <c r="D159" s="129">
        <v>0</v>
      </c>
      <c r="E159" s="128">
        <v>14</v>
      </c>
      <c r="F159" s="129">
        <v>1</v>
      </c>
      <c r="G159" s="129">
        <v>0</v>
      </c>
      <c r="H159" s="129">
        <v>2</v>
      </c>
      <c r="I159" s="129">
        <v>0</v>
      </c>
      <c r="J159" s="129">
        <v>0</v>
      </c>
      <c r="K159" s="130">
        <v>19</v>
      </c>
      <c r="L159" s="277">
        <f t="shared" si="13"/>
        <v>36</v>
      </c>
      <c r="M159" s="278">
        <f t="shared" si="14"/>
        <v>18880</v>
      </c>
      <c r="N159" s="127">
        <v>22</v>
      </c>
      <c r="O159" s="130">
        <v>14</v>
      </c>
      <c r="P159" s="279"/>
      <c r="Q159" s="280"/>
      <c r="R159" s="281">
        <v>0</v>
      </c>
      <c r="S159" s="130">
        <f t="shared" si="12"/>
        <v>264</v>
      </c>
      <c r="T159" s="282">
        <f t="shared" si="10"/>
        <v>36</v>
      </c>
      <c r="U159" s="283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  <c r="AF159" s="284"/>
      <c r="AG159" s="284"/>
    </row>
    <row r="160" spans="1:33" s="68" customFormat="1" ht="18" hidden="1" customHeight="1" x14ac:dyDescent="0.2">
      <c r="A160" s="285" t="s">
        <v>905</v>
      </c>
      <c r="B160" s="286" t="s">
        <v>859</v>
      </c>
      <c r="C160" s="287">
        <v>0</v>
      </c>
      <c r="D160" s="288">
        <v>0</v>
      </c>
      <c r="E160" s="289">
        <v>16</v>
      </c>
      <c r="F160" s="288">
        <v>1</v>
      </c>
      <c r="G160" s="288">
        <v>0</v>
      </c>
      <c r="H160" s="288">
        <v>4</v>
      </c>
      <c r="I160" s="288">
        <v>0</v>
      </c>
      <c r="J160" s="288">
        <v>0</v>
      </c>
      <c r="K160" s="290">
        <v>18</v>
      </c>
      <c r="L160" s="291">
        <f>SUM(C160:K160)</f>
        <v>39</v>
      </c>
      <c r="M160" s="292">
        <f t="shared" si="14"/>
        <v>18919</v>
      </c>
      <c r="N160" s="287">
        <v>23</v>
      </c>
      <c r="O160" s="290">
        <v>16</v>
      </c>
      <c r="P160" s="293"/>
      <c r="Q160" s="294"/>
      <c r="R160" s="295">
        <v>0</v>
      </c>
      <c r="S160" s="296">
        <f t="shared" si="12"/>
        <v>264</v>
      </c>
      <c r="T160" s="297">
        <f t="shared" si="10"/>
        <v>39</v>
      </c>
      <c r="U160" s="298"/>
      <c r="V160" s="299"/>
      <c r="W160" s="299"/>
      <c r="X160" s="299"/>
      <c r="Y160" s="299"/>
      <c r="Z160" s="299"/>
      <c r="AA160" s="299"/>
      <c r="AB160" s="299"/>
      <c r="AC160" s="299"/>
      <c r="AD160" s="299"/>
      <c r="AE160" s="299"/>
      <c r="AF160" s="299"/>
      <c r="AG160" s="299"/>
    </row>
    <row r="161" spans="1:34" s="68" customFormat="1" ht="18" hidden="1" customHeight="1" x14ac:dyDescent="0.2">
      <c r="A161" s="300" t="s">
        <v>906</v>
      </c>
      <c r="B161" s="301" t="s">
        <v>860</v>
      </c>
      <c r="C161" s="302">
        <v>0</v>
      </c>
      <c r="D161" s="303">
        <v>0</v>
      </c>
      <c r="E161" s="304">
        <v>14</v>
      </c>
      <c r="F161" s="303">
        <v>0</v>
      </c>
      <c r="G161" s="303">
        <v>0</v>
      </c>
      <c r="H161" s="303">
        <v>2</v>
      </c>
      <c r="I161" s="303">
        <v>0</v>
      </c>
      <c r="J161" s="303">
        <v>0</v>
      </c>
      <c r="K161" s="305">
        <v>12</v>
      </c>
      <c r="L161" s="306">
        <f t="shared" si="13"/>
        <v>28</v>
      </c>
      <c r="M161" s="307">
        <f t="shared" si="14"/>
        <v>18947</v>
      </c>
      <c r="N161" s="302">
        <v>14</v>
      </c>
      <c r="O161" s="305">
        <v>14</v>
      </c>
      <c r="P161" s="308"/>
      <c r="Q161" s="309"/>
      <c r="R161" s="310">
        <v>10</v>
      </c>
      <c r="S161" s="305">
        <f t="shared" si="12"/>
        <v>274</v>
      </c>
      <c r="T161" s="311">
        <f t="shared" si="10"/>
        <v>38</v>
      </c>
      <c r="U161" s="312"/>
      <c r="V161" s="313"/>
      <c r="W161" s="313"/>
      <c r="X161" s="313"/>
      <c r="Y161" s="313"/>
      <c r="Z161" s="313"/>
      <c r="AA161" s="313"/>
      <c r="AB161" s="313"/>
      <c r="AC161" s="313"/>
      <c r="AD161" s="313"/>
      <c r="AE161" s="313"/>
      <c r="AF161" s="313"/>
      <c r="AG161" s="313"/>
    </row>
    <row r="162" spans="1:34" s="68" customFormat="1" ht="18" hidden="1" customHeight="1" x14ac:dyDescent="0.2">
      <c r="A162" s="314">
        <f>SUM(L160:L171)</f>
        <v>1366</v>
      </c>
      <c r="B162" s="301" t="s">
        <v>861</v>
      </c>
      <c r="C162" s="302">
        <v>0</v>
      </c>
      <c r="D162" s="303">
        <v>0</v>
      </c>
      <c r="E162" s="304">
        <v>9</v>
      </c>
      <c r="F162" s="303">
        <v>20</v>
      </c>
      <c r="G162" s="303">
        <v>0</v>
      </c>
      <c r="H162" s="303">
        <v>51</v>
      </c>
      <c r="I162" s="303">
        <v>0</v>
      </c>
      <c r="J162" s="303">
        <v>0</v>
      </c>
      <c r="K162" s="305">
        <v>35</v>
      </c>
      <c r="L162" s="306">
        <f t="shared" si="13"/>
        <v>115</v>
      </c>
      <c r="M162" s="307">
        <f>M161+L162</f>
        <v>19062</v>
      </c>
      <c r="N162" s="302">
        <v>106</v>
      </c>
      <c r="O162" s="305">
        <v>9</v>
      </c>
      <c r="P162" s="308"/>
      <c r="Q162" s="309"/>
      <c r="R162" s="310">
        <v>36</v>
      </c>
      <c r="S162" s="305">
        <f t="shared" si="12"/>
        <v>310</v>
      </c>
      <c r="T162" s="311">
        <f t="shared" si="10"/>
        <v>151</v>
      </c>
      <c r="U162" s="312"/>
      <c r="V162" s="313"/>
      <c r="W162" s="313"/>
      <c r="X162" s="313"/>
      <c r="Y162" s="313"/>
      <c r="Z162" s="313"/>
      <c r="AA162" s="313"/>
      <c r="AB162" s="313"/>
      <c r="AC162" s="313"/>
      <c r="AD162" s="313"/>
      <c r="AE162" s="313"/>
      <c r="AF162" s="313"/>
      <c r="AG162" s="313"/>
    </row>
    <row r="163" spans="1:34" s="68" customFormat="1" ht="18" hidden="1" customHeight="1" x14ac:dyDescent="0.2">
      <c r="A163" s="315">
        <v>1366</v>
      </c>
      <c r="B163" s="301" t="s">
        <v>862</v>
      </c>
      <c r="C163" s="302">
        <v>0</v>
      </c>
      <c r="D163" s="303">
        <v>0</v>
      </c>
      <c r="E163" s="303">
        <v>72</v>
      </c>
      <c r="F163" s="303">
        <v>23</v>
      </c>
      <c r="G163" s="303">
        <v>0</v>
      </c>
      <c r="H163" s="303">
        <v>3</v>
      </c>
      <c r="I163" s="303">
        <v>1</v>
      </c>
      <c r="J163" s="303">
        <v>0</v>
      </c>
      <c r="K163" s="304">
        <v>75</v>
      </c>
      <c r="L163" s="306">
        <f t="shared" si="13"/>
        <v>174</v>
      </c>
      <c r="M163" s="307">
        <f>M162+L163</f>
        <v>19236</v>
      </c>
      <c r="N163" s="302">
        <v>102</v>
      </c>
      <c r="O163" s="309">
        <v>72</v>
      </c>
      <c r="P163" s="302"/>
      <c r="Q163" s="304"/>
      <c r="R163" s="310">
        <v>32</v>
      </c>
      <c r="S163" s="305">
        <f t="shared" si="12"/>
        <v>342</v>
      </c>
      <c r="T163" s="311">
        <f t="shared" si="10"/>
        <v>206</v>
      </c>
      <c r="U163" s="312"/>
      <c r="V163" s="313"/>
      <c r="W163" s="313"/>
      <c r="X163" s="313"/>
      <c r="Y163" s="313"/>
      <c r="Z163" s="313"/>
      <c r="AA163" s="313"/>
      <c r="AB163" s="313"/>
      <c r="AC163" s="313"/>
      <c r="AD163" s="313"/>
      <c r="AE163" s="313"/>
      <c r="AF163" s="313"/>
      <c r="AG163" s="313"/>
    </row>
    <row r="164" spans="1:34" s="68" customFormat="1" ht="18" hidden="1" customHeight="1" x14ac:dyDescent="0.2">
      <c r="A164" s="316">
        <f>A162-A163</f>
        <v>0</v>
      </c>
      <c r="B164" s="301" t="s">
        <v>864</v>
      </c>
      <c r="C164" s="302">
        <v>0</v>
      </c>
      <c r="D164" s="303">
        <v>0</v>
      </c>
      <c r="E164" s="303">
        <v>26</v>
      </c>
      <c r="F164" s="303">
        <v>10</v>
      </c>
      <c r="G164" s="303">
        <v>0</v>
      </c>
      <c r="H164" s="303">
        <v>74</v>
      </c>
      <c r="I164" s="303">
        <v>1</v>
      </c>
      <c r="J164" s="303">
        <v>4</v>
      </c>
      <c r="K164" s="304">
        <v>30</v>
      </c>
      <c r="L164" s="306">
        <f t="shared" si="13"/>
        <v>145</v>
      </c>
      <c r="M164" s="307">
        <f t="shared" si="14"/>
        <v>19381</v>
      </c>
      <c r="N164" s="302">
        <v>119</v>
      </c>
      <c r="O164" s="309">
        <v>26</v>
      </c>
      <c r="P164" s="302"/>
      <c r="Q164" s="304"/>
      <c r="R164" s="310">
        <v>33</v>
      </c>
      <c r="S164" s="305">
        <f t="shared" si="12"/>
        <v>375</v>
      </c>
      <c r="T164" s="311">
        <f t="shared" si="10"/>
        <v>178</v>
      </c>
      <c r="U164" s="312"/>
      <c r="V164" s="313"/>
      <c r="W164" s="313"/>
      <c r="X164" s="313"/>
      <c r="Y164" s="313"/>
      <c r="Z164" s="313"/>
      <c r="AA164" s="313"/>
      <c r="AB164" s="313"/>
      <c r="AC164" s="313"/>
      <c r="AD164" s="313"/>
      <c r="AE164" s="313"/>
      <c r="AF164" s="313"/>
      <c r="AG164" s="313"/>
    </row>
    <row r="165" spans="1:34" s="68" customFormat="1" ht="18" hidden="1" customHeight="1" x14ac:dyDescent="0.2">
      <c r="A165" s="317"/>
      <c r="B165" s="301" t="s">
        <v>865</v>
      </c>
      <c r="C165" s="302">
        <v>0</v>
      </c>
      <c r="D165" s="303">
        <v>0</v>
      </c>
      <c r="E165" s="303">
        <v>60</v>
      </c>
      <c r="F165" s="303">
        <v>0</v>
      </c>
      <c r="G165" s="303">
        <v>0</v>
      </c>
      <c r="H165" s="303">
        <v>50</v>
      </c>
      <c r="I165" s="303">
        <v>16</v>
      </c>
      <c r="J165" s="303">
        <v>0</v>
      </c>
      <c r="K165" s="304">
        <v>46</v>
      </c>
      <c r="L165" s="306">
        <f>SUM(C165:K165)</f>
        <v>172</v>
      </c>
      <c r="M165" s="307">
        <f t="shared" si="14"/>
        <v>19553</v>
      </c>
      <c r="N165" s="302">
        <v>112</v>
      </c>
      <c r="O165" s="309">
        <v>60</v>
      </c>
      <c r="P165" s="302"/>
      <c r="Q165" s="304"/>
      <c r="R165" s="310">
        <v>4</v>
      </c>
      <c r="S165" s="305">
        <f>S164+R165</f>
        <v>379</v>
      </c>
      <c r="T165" s="311">
        <f>L165+R165</f>
        <v>176</v>
      </c>
      <c r="U165" s="312"/>
      <c r="V165" s="313"/>
      <c r="W165" s="313"/>
      <c r="X165" s="313"/>
      <c r="Y165" s="313"/>
      <c r="Z165" s="313"/>
      <c r="AA165" s="313"/>
      <c r="AB165" s="313"/>
      <c r="AC165" s="313"/>
      <c r="AD165" s="313"/>
      <c r="AE165" s="313"/>
      <c r="AF165" s="313"/>
      <c r="AG165" s="313"/>
    </row>
    <row r="166" spans="1:34" s="68" customFormat="1" ht="18" hidden="1" customHeight="1" x14ac:dyDescent="0.2">
      <c r="A166" s="300" t="s">
        <v>907</v>
      </c>
      <c r="B166" s="301" t="s">
        <v>866</v>
      </c>
      <c r="C166" s="302">
        <v>0</v>
      </c>
      <c r="D166" s="303">
        <v>0</v>
      </c>
      <c r="E166" s="303">
        <v>73</v>
      </c>
      <c r="F166" s="303">
        <v>15</v>
      </c>
      <c r="G166" s="303">
        <v>0</v>
      </c>
      <c r="H166" s="303">
        <v>37</v>
      </c>
      <c r="I166" s="303">
        <v>0</v>
      </c>
      <c r="J166" s="303">
        <v>0</v>
      </c>
      <c r="K166" s="304">
        <v>32</v>
      </c>
      <c r="L166" s="306">
        <f t="shared" si="13"/>
        <v>157</v>
      </c>
      <c r="M166" s="307">
        <f t="shared" si="14"/>
        <v>19710</v>
      </c>
      <c r="N166" s="302">
        <v>84</v>
      </c>
      <c r="O166" s="309">
        <v>73</v>
      </c>
      <c r="P166" s="302"/>
      <c r="Q166" s="304"/>
      <c r="R166" s="310">
        <v>16</v>
      </c>
      <c r="S166" s="305">
        <f t="shared" si="12"/>
        <v>395</v>
      </c>
      <c r="T166" s="311">
        <f t="shared" si="10"/>
        <v>173</v>
      </c>
      <c r="U166" s="318"/>
      <c r="V166" s="313"/>
      <c r="W166" s="313"/>
      <c r="X166" s="313"/>
      <c r="Y166" s="313"/>
      <c r="Z166" s="313"/>
      <c r="AA166" s="313"/>
      <c r="AB166" s="313"/>
      <c r="AC166" s="313"/>
      <c r="AD166" s="313"/>
      <c r="AE166" s="313"/>
      <c r="AF166" s="313"/>
      <c r="AG166" s="313"/>
    </row>
    <row r="167" spans="1:34" s="68" customFormat="1" ht="18" hidden="1" customHeight="1" x14ac:dyDescent="0.2">
      <c r="A167" s="314">
        <f>SUM(R160:R171)</f>
        <v>344</v>
      </c>
      <c r="B167" s="301" t="s">
        <v>868</v>
      </c>
      <c r="C167" s="302">
        <v>0</v>
      </c>
      <c r="D167" s="303">
        <v>0</v>
      </c>
      <c r="E167" s="303">
        <v>80</v>
      </c>
      <c r="F167" s="303">
        <v>0</v>
      </c>
      <c r="G167" s="303">
        <v>0</v>
      </c>
      <c r="H167" s="303">
        <v>10</v>
      </c>
      <c r="I167" s="303">
        <v>0</v>
      </c>
      <c r="J167" s="303">
        <v>0</v>
      </c>
      <c r="K167" s="304">
        <v>23</v>
      </c>
      <c r="L167" s="306">
        <f>SUM(C167:K167)</f>
        <v>113</v>
      </c>
      <c r="M167" s="307">
        <f t="shared" si="14"/>
        <v>19823</v>
      </c>
      <c r="N167" s="302">
        <v>33</v>
      </c>
      <c r="O167" s="309">
        <v>80</v>
      </c>
      <c r="P167" s="302"/>
      <c r="Q167" s="304"/>
      <c r="R167" s="310">
        <v>27</v>
      </c>
      <c r="S167" s="305">
        <f t="shared" si="12"/>
        <v>422</v>
      </c>
      <c r="T167" s="311">
        <f t="shared" si="10"/>
        <v>140</v>
      </c>
      <c r="U167" s="318"/>
      <c r="V167" s="313"/>
      <c r="W167" s="313"/>
      <c r="X167" s="313"/>
      <c r="Y167" s="313"/>
      <c r="Z167" s="313"/>
      <c r="AA167" s="313"/>
      <c r="AB167" s="313"/>
      <c r="AC167" s="313"/>
      <c r="AD167" s="313"/>
      <c r="AE167" s="313"/>
      <c r="AF167" s="313"/>
      <c r="AG167" s="313"/>
    </row>
    <row r="168" spans="1:34" s="68" customFormat="1" ht="18" hidden="1" customHeight="1" x14ac:dyDescent="0.2">
      <c r="A168" s="315">
        <v>344</v>
      </c>
      <c r="B168" s="301" t="s">
        <v>908</v>
      </c>
      <c r="C168" s="302">
        <v>0</v>
      </c>
      <c r="D168" s="303">
        <v>0</v>
      </c>
      <c r="E168" s="303">
        <v>69</v>
      </c>
      <c r="F168" s="303">
        <v>14</v>
      </c>
      <c r="G168" s="303">
        <v>0</v>
      </c>
      <c r="H168" s="303">
        <v>21</v>
      </c>
      <c r="I168" s="303">
        <v>0</v>
      </c>
      <c r="J168" s="303">
        <v>0</v>
      </c>
      <c r="K168" s="304">
        <v>15</v>
      </c>
      <c r="L168" s="306">
        <f>SUM(C168:K168)</f>
        <v>119</v>
      </c>
      <c r="M168" s="307">
        <f t="shared" si="14"/>
        <v>19942</v>
      </c>
      <c r="N168" s="302">
        <v>50</v>
      </c>
      <c r="O168" s="309">
        <v>69</v>
      </c>
      <c r="P168" s="302"/>
      <c r="Q168" s="304"/>
      <c r="R168" s="310">
        <v>39</v>
      </c>
      <c r="S168" s="305">
        <f t="shared" si="12"/>
        <v>461</v>
      </c>
      <c r="T168" s="311">
        <f t="shared" si="10"/>
        <v>158</v>
      </c>
      <c r="U168" s="318"/>
      <c r="V168" s="313"/>
      <c r="W168" s="313"/>
      <c r="X168" s="313"/>
      <c r="Y168" s="313"/>
      <c r="Z168" s="313"/>
      <c r="AA168" s="313"/>
      <c r="AB168" s="313"/>
      <c r="AC168" s="313"/>
      <c r="AD168" s="313"/>
      <c r="AE168" s="313"/>
      <c r="AF168" s="313"/>
      <c r="AG168" s="313"/>
    </row>
    <row r="169" spans="1:34" s="68" customFormat="1" ht="18" hidden="1" customHeight="1" x14ac:dyDescent="0.2">
      <c r="A169" s="316">
        <f>A167-A168</f>
        <v>0</v>
      </c>
      <c r="B169" s="301" t="s">
        <v>870</v>
      </c>
      <c r="C169" s="302">
        <v>0</v>
      </c>
      <c r="D169" s="303">
        <v>0</v>
      </c>
      <c r="E169" s="303">
        <v>78</v>
      </c>
      <c r="F169" s="303">
        <v>4</v>
      </c>
      <c r="G169" s="303">
        <v>0</v>
      </c>
      <c r="H169" s="303">
        <v>26</v>
      </c>
      <c r="I169" s="303">
        <v>0</v>
      </c>
      <c r="J169" s="303">
        <v>0</v>
      </c>
      <c r="K169" s="304">
        <v>15</v>
      </c>
      <c r="L169" s="306">
        <f>SUM(C169:K169)</f>
        <v>123</v>
      </c>
      <c r="M169" s="307">
        <f t="shared" si="14"/>
        <v>20065</v>
      </c>
      <c r="N169" s="302">
        <v>45</v>
      </c>
      <c r="O169" s="309">
        <v>78</v>
      </c>
      <c r="P169" s="302"/>
      <c r="Q169" s="304"/>
      <c r="R169" s="310">
        <v>30</v>
      </c>
      <c r="S169" s="305">
        <f t="shared" si="12"/>
        <v>491</v>
      </c>
      <c r="T169" s="311">
        <f t="shared" si="10"/>
        <v>153</v>
      </c>
      <c r="U169" s="318"/>
      <c r="V169" s="313"/>
      <c r="W169" s="313"/>
      <c r="X169" s="313"/>
      <c r="Y169" s="313"/>
      <c r="Z169" s="313"/>
      <c r="AA169" s="313"/>
      <c r="AB169" s="313"/>
      <c r="AC169" s="313"/>
      <c r="AD169" s="313"/>
      <c r="AE169" s="313"/>
      <c r="AF169" s="313"/>
      <c r="AG169" s="313"/>
    </row>
    <row r="170" spans="1:34" s="68" customFormat="1" ht="18" hidden="1" customHeight="1" x14ac:dyDescent="0.2">
      <c r="A170" s="316"/>
      <c r="B170" s="301" t="s">
        <v>871</v>
      </c>
      <c r="C170" s="302">
        <v>0</v>
      </c>
      <c r="D170" s="303">
        <v>0</v>
      </c>
      <c r="E170" s="303">
        <v>6</v>
      </c>
      <c r="F170" s="303">
        <v>0</v>
      </c>
      <c r="G170" s="303">
        <v>0</v>
      </c>
      <c r="H170" s="303">
        <v>62</v>
      </c>
      <c r="I170" s="303">
        <v>0</v>
      </c>
      <c r="J170" s="303">
        <v>0</v>
      </c>
      <c r="K170" s="304">
        <v>0</v>
      </c>
      <c r="L170" s="306">
        <f t="shared" ref="L170:L186" si="15">SUM(C170:K170)</f>
        <v>68</v>
      </c>
      <c r="M170" s="307">
        <f t="shared" si="14"/>
        <v>20133</v>
      </c>
      <c r="N170" s="302">
        <v>62</v>
      </c>
      <c r="O170" s="309">
        <v>6</v>
      </c>
      <c r="P170" s="302"/>
      <c r="Q170" s="304"/>
      <c r="R170" s="310">
        <v>68</v>
      </c>
      <c r="S170" s="305">
        <f>S169+R170</f>
        <v>559</v>
      </c>
      <c r="T170" s="311">
        <f t="shared" si="10"/>
        <v>136</v>
      </c>
      <c r="U170" s="319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</row>
    <row r="171" spans="1:34" s="68" customFormat="1" ht="18" hidden="1" customHeight="1" x14ac:dyDescent="0.2">
      <c r="A171" s="321"/>
      <c r="B171" s="322" t="s">
        <v>900</v>
      </c>
      <c r="C171" s="323">
        <v>0</v>
      </c>
      <c r="D171" s="323">
        <v>0</v>
      </c>
      <c r="E171" s="323">
        <v>69</v>
      </c>
      <c r="F171" s="323">
        <v>0</v>
      </c>
      <c r="G171" s="323">
        <v>0</v>
      </c>
      <c r="H171" s="323">
        <v>44</v>
      </c>
      <c r="I171" s="323">
        <v>0</v>
      </c>
      <c r="J171" s="323">
        <v>0</v>
      </c>
      <c r="K171" s="323">
        <v>0</v>
      </c>
      <c r="L171" s="324">
        <f t="shared" si="15"/>
        <v>113</v>
      </c>
      <c r="M171" s="325">
        <f t="shared" si="14"/>
        <v>20246</v>
      </c>
      <c r="N171" s="326">
        <v>44</v>
      </c>
      <c r="O171" s="327">
        <v>69</v>
      </c>
      <c r="P171" s="326"/>
      <c r="Q171" s="323"/>
      <c r="R171" s="328">
        <v>49</v>
      </c>
      <c r="S171" s="329">
        <f t="shared" ref="S171:S198" si="16">S170+R171</f>
        <v>608</v>
      </c>
      <c r="T171" s="330">
        <f t="shared" si="10"/>
        <v>162</v>
      </c>
      <c r="U171" s="331"/>
      <c r="V171" s="332"/>
      <c r="W171" s="332"/>
      <c r="X171" s="332"/>
      <c r="Y171" s="332"/>
      <c r="Z171" s="332"/>
      <c r="AA171" s="332"/>
      <c r="AB171" s="332"/>
      <c r="AC171" s="332"/>
      <c r="AD171" s="332"/>
      <c r="AE171" s="332"/>
      <c r="AF171" s="332"/>
      <c r="AG171" s="332"/>
    </row>
    <row r="172" spans="1:34" s="68" customFormat="1" ht="18" hidden="1" customHeight="1" x14ac:dyDescent="0.2">
      <c r="A172" s="285" t="s">
        <v>909</v>
      </c>
      <c r="B172" s="286" t="s">
        <v>859</v>
      </c>
      <c r="C172" s="287">
        <v>0</v>
      </c>
      <c r="D172" s="288">
        <v>0</v>
      </c>
      <c r="E172" s="289">
        <v>59</v>
      </c>
      <c r="F172" s="288">
        <v>0</v>
      </c>
      <c r="G172" s="288">
        <v>0</v>
      </c>
      <c r="H172" s="288">
        <v>50</v>
      </c>
      <c r="I172" s="288">
        <v>0</v>
      </c>
      <c r="J172" s="288">
        <v>0</v>
      </c>
      <c r="K172" s="290">
        <v>1</v>
      </c>
      <c r="L172" s="291">
        <f>SUM(C172:K172)</f>
        <v>110</v>
      </c>
      <c r="M172" s="292">
        <f t="shared" si="14"/>
        <v>20356</v>
      </c>
      <c r="N172" s="287">
        <v>51</v>
      </c>
      <c r="O172" s="290">
        <v>59</v>
      </c>
      <c r="P172" s="293"/>
      <c r="Q172" s="294"/>
      <c r="R172" s="295">
        <v>59</v>
      </c>
      <c r="S172" s="296">
        <f t="shared" si="16"/>
        <v>667</v>
      </c>
      <c r="T172" s="297">
        <f t="shared" si="10"/>
        <v>169</v>
      </c>
      <c r="U172" s="333"/>
      <c r="V172" s="334"/>
      <c r="W172" s="334"/>
      <c r="X172" s="334"/>
      <c r="Y172" s="334"/>
      <c r="Z172" s="334"/>
      <c r="AA172" s="334"/>
      <c r="AB172" s="334"/>
      <c r="AC172" s="334"/>
      <c r="AD172" s="334"/>
      <c r="AE172" s="334"/>
      <c r="AF172" s="334"/>
      <c r="AG172" s="334"/>
    </row>
    <row r="173" spans="1:34" s="68" customFormat="1" ht="18" hidden="1" customHeight="1" x14ac:dyDescent="0.2">
      <c r="A173" s="300" t="s">
        <v>898</v>
      </c>
      <c r="B173" s="301" t="s">
        <v>860</v>
      </c>
      <c r="C173" s="302">
        <v>0</v>
      </c>
      <c r="D173" s="303">
        <v>0</v>
      </c>
      <c r="E173" s="304">
        <v>91</v>
      </c>
      <c r="F173" s="303">
        <v>0</v>
      </c>
      <c r="G173" s="303">
        <v>0</v>
      </c>
      <c r="H173" s="303">
        <v>21</v>
      </c>
      <c r="I173" s="303">
        <v>4</v>
      </c>
      <c r="J173" s="303">
        <v>0</v>
      </c>
      <c r="K173" s="305">
        <v>1</v>
      </c>
      <c r="L173" s="306">
        <f>SUM(C173:K173)</f>
        <v>117</v>
      </c>
      <c r="M173" s="307">
        <f t="shared" si="14"/>
        <v>20473</v>
      </c>
      <c r="N173" s="302">
        <v>26</v>
      </c>
      <c r="O173" s="305">
        <v>91</v>
      </c>
      <c r="P173" s="308"/>
      <c r="Q173" s="309"/>
      <c r="R173" s="310">
        <v>41</v>
      </c>
      <c r="S173" s="305">
        <f>S172+R173</f>
        <v>708</v>
      </c>
      <c r="T173" s="311">
        <f>L173+R173</f>
        <v>158</v>
      </c>
      <c r="U173" s="312"/>
      <c r="V173" s="313"/>
      <c r="W173" s="313"/>
      <c r="X173" s="313"/>
      <c r="Y173" s="313"/>
      <c r="Z173" s="313"/>
      <c r="AA173" s="313"/>
      <c r="AB173" s="313"/>
      <c r="AC173" s="313"/>
      <c r="AD173" s="313"/>
      <c r="AE173" s="313"/>
      <c r="AF173" s="313"/>
      <c r="AG173" s="313"/>
    </row>
    <row r="174" spans="1:34" s="68" customFormat="1" ht="18" hidden="1" customHeight="1" x14ac:dyDescent="0.2">
      <c r="A174" s="314">
        <f>SUM(L172:L183)</f>
        <v>868</v>
      </c>
      <c r="B174" s="301" t="s">
        <v>861</v>
      </c>
      <c r="C174" s="302">
        <v>0</v>
      </c>
      <c r="D174" s="303">
        <v>0</v>
      </c>
      <c r="E174" s="304">
        <v>50</v>
      </c>
      <c r="F174" s="303">
        <v>0</v>
      </c>
      <c r="G174" s="303">
        <v>0</v>
      </c>
      <c r="H174" s="303">
        <v>40</v>
      </c>
      <c r="I174" s="303">
        <v>0</v>
      </c>
      <c r="J174" s="303">
        <v>0</v>
      </c>
      <c r="K174" s="305">
        <v>2</v>
      </c>
      <c r="L174" s="306">
        <f>SUM(C174:K174)</f>
        <v>92</v>
      </c>
      <c r="M174" s="307">
        <f>M173+L174</f>
        <v>20565</v>
      </c>
      <c r="N174" s="302">
        <v>42</v>
      </c>
      <c r="O174" s="305">
        <v>50</v>
      </c>
      <c r="P174" s="308"/>
      <c r="Q174" s="309"/>
      <c r="R174" s="310">
        <v>35</v>
      </c>
      <c r="S174" s="305">
        <f t="shared" si="16"/>
        <v>743</v>
      </c>
      <c r="T174" s="311">
        <f t="shared" si="10"/>
        <v>127</v>
      </c>
      <c r="U174" s="312"/>
      <c r="V174" s="313"/>
      <c r="W174" s="313"/>
      <c r="X174" s="313"/>
      <c r="Y174" s="313"/>
      <c r="Z174" s="313"/>
      <c r="AA174" s="313"/>
      <c r="AB174" s="313"/>
      <c r="AC174" s="313"/>
      <c r="AD174" s="313"/>
      <c r="AE174" s="313"/>
      <c r="AF174" s="313"/>
      <c r="AG174" s="313"/>
      <c r="AH174" s="335"/>
    </row>
    <row r="175" spans="1:34" s="68" customFormat="1" ht="18" hidden="1" customHeight="1" x14ac:dyDescent="0.2">
      <c r="A175" s="315">
        <v>868</v>
      </c>
      <c r="B175" s="301" t="s">
        <v>862</v>
      </c>
      <c r="C175" s="302">
        <v>0</v>
      </c>
      <c r="D175" s="303">
        <v>0</v>
      </c>
      <c r="E175" s="303">
        <v>34</v>
      </c>
      <c r="F175" s="303">
        <v>0</v>
      </c>
      <c r="G175" s="303">
        <v>0</v>
      </c>
      <c r="H175" s="303">
        <v>45</v>
      </c>
      <c r="I175" s="303">
        <v>5</v>
      </c>
      <c r="J175" s="303">
        <v>0</v>
      </c>
      <c r="K175" s="304">
        <v>0</v>
      </c>
      <c r="L175" s="306">
        <f>SUM(C175:K175)</f>
        <v>84</v>
      </c>
      <c r="M175" s="307">
        <f>M174+L175</f>
        <v>20649</v>
      </c>
      <c r="N175" s="302">
        <v>50</v>
      </c>
      <c r="O175" s="309">
        <v>34</v>
      </c>
      <c r="P175" s="302"/>
      <c r="Q175" s="304"/>
      <c r="R175" s="310">
        <v>43</v>
      </c>
      <c r="S175" s="305">
        <f>S174+R175</f>
        <v>786</v>
      </c>
      <c r="T175" s="311">
        <f>L175+R175</f>
        <v>127</v>
      </c>
      <c r="U175" s="312"/>
      <c r="V175" s="313"/>
      <c r="W175" s="313"/>
      <c r="X175" s="313"/>
      <c r="Y175" s="313"/>
      <c r="Z175" s="313"/>
      <c r="AA175" s="313"/>
      <c r="AB175" s="313"/>
      <c r="AC175" s="313"/>
      <c r="AD175" s="313"/>
      <c r="AE175" s="313"/>
      <c r="AF175" s="313"/>
      <c r="AG175" s="313"/>
      <c r="AH175" s="335"/>
    </row>
    <row r="176" spans="1:34" s="68" customFormat="1" ht="18" hidden="1" customHeight="1" x14ac:dyDescent="0.2">
      <c r="A176" s="316">
        <f>A174-A175</f>
        <v>0</v>
      </c>
      <c r="B176" s="301" t="s">
        <v>864</v>
      </c>
      <c r="C176" s="302">
        <v>0</v>
      </c>
      <c r="D176" s="303">
        <v>0</v>
      </c>
      <c r="E176" s="303">
        <v>47</v>
      </c>
      <c r="F176" s="303">
        <v>0</v>
      </c>
      <c r="G176" s="303">
        <v>0</v>
      </c>
      <c r="H176" s="303">
        <v>45</v>
      </c>
      <c r="I176" s="303">
        <v>0</v>
      </c>
      <c r="J176" s="303">
        <v>0</v>
      </c>
      <c r="K176" s="304">
        <v>0</v>
      </c>
      <c r="L176" s="306">
        <f t="shared" si="15"/>
        <v>92</v>
      </c>
      <c r="M176" s="307">
        <f t="shared" ref="M176:M206" si="17">M175+L176</f>
        <v>20741</v>
      </c>
      <c r="N176" s="302">
        <v>45</v>
      </c>
      <c r="O176" s="309">
        <v>47</v>
      </c>
      <c r="P176" s="302"/>
      <c r="Q176" s="304"/>
      <c r="R176" s="310">
        <v>47</v>
      </c>
      <c r="S176" s="305">
        <f t="shared" si="16"/>
        <v>833</v>
      </c>
      <c r="T176" s="311">
        <f t="shared" si="10"/>
        <v>139</v>
      </c>
      <c r="U176" s="312"/>
      <c r="V176" s="313"/>
      <c r="W176" s="313"/>
      <c r="X176" s="313"/>
      <c r="Y176" s="313"/>
      <c r="Z176" s="313"/>
      <c r="AA176" s="313"/>
      <c r="AB176" s="313"/>
      <c r="AC176" s="313"/>
      <c r="AD176" s="313"/>
      <c r="AE176" s="313"/>
      <c r="AF176" s="313"/>
      <c r="AG176" s="313"/>
      <c r="AH176" s="335"/>
    </row>
    <row r="177" spans="1:34" s="68" customFormat="1" ht="18" hidden="1" customHeight="1" x14ac:dyDescent="0.2">
      <c r="A177" s="317"/>
      <c r="B177" s="301" t="s">
        <v>865</v>
      </c>
      <c r="C177" s="302">
        <v>0</v>
      </c>
      <c r="D177" s="303">
        <v>0</v>
      </c>
      <c r="E177" s="303">
        <v>47</v>
      </c>
      <c r="F177" s="303">
        <v>0</v>
      </c>
      <c r="G177" s="303">
        <v>0</v>
      </c>
      <c r="H177" s="303">
        <v>34</v>
      </c>
      <c r="I177" s="303">
        <v>4</v>
      </c>
      <c r="J177" s="303">
        <v>0</v>
      </c>
      <c r="K177" s="304">
        <v>0</v>
      </c>
      <c r="L177" s="306">
        <f>SUM(C177:K177)</f>
        <v>85</v>
      </c>
      <c r="M177" s="307">
        <f>M176+L177</f>
        <v>20826</v>
      </c>
      <c r="N177" s="302">
        <v>38</v>
      </c>
      <c r="O177" s="309">
        <v>47</v>
      </c>
      <c r="P177" s="302"/>
      <c r="Q177" s="304"/>
      <c r="R177" s="310">
        <v>54</v>
      </c>
      <c r="S177" s="305">
        <f t="shared" si="16"/>
        <v>887</v>
      </c>
      <c r="T177" s="311">
        <f t="shared" si="10"/>
        <v>139</v>
      </c>
      <c r="U177" s="318"/>
      <c r="V177" s="313"/>
      <c r="W177" s="313"/>
      <c r="X177" s="313"/>
      <c r="Y177" s="313"/>
      <c r="Z177" s="313"/>
      <c r="AA177" s="313"/>
      <c r="AB177" s="313"/>
      <c r="AC177" s="313"/>
      <c r="AD177" s="313"/>
      <c r="AE177" s="313"/>
      <c r="AF177" s="313"/>
      <c r="AG177" s="313"/>
      <c r="AH177" s="335"/>
    </row>
    <row r="178" spans="1:34" s="68" customFormat="1" ht="18" hidden="1" customHeight="1" x14ac:dyDescent="0.2">
      <c r="A178" s="300" t="s">
        <v>903</v>
      </c>
      <c r="B178" s="301" t="s">
        <v>866</v>
      </c>
      <c r="C178" s="302">
        <v>0</v>
      </c>
      <c r="D178" s="303">
        <v>0</v>
      </c>
      <c r="E178" s="303">
        <v>19</v>
      </c>
      <c r="F178" s="303">
        <v>2</v>
      </c>
      <c r="G178" s="303">
        <v>0</v>
      </c>
      <c r="H178" s="303">
        <v>22</v>
      </c>
      <c r="I178" s="303">
        <v>14</v>
      </c>
      <c r="J178" s="303">
        <v>0</v>
      </c>
      <c r="K178" s="304">
        <v>0</v>
      </c>
      <c r="L178" s="306">
        <f t="shared" si="15"/>
        <v>57</v>
      </c>
      <c r="M178" s="307">
        <f t="shared" si="17"/>
        <v>20883</v>
      </c>
      <c r="N178" s="302">
        <v>38</v>
      </c>
      <c r="O178" s="309">
        <v>19</v>
      </c>
      <c r="P178" s="302"/>
      <c r="Q178" s="304"/>
      <c r="R178" s="310">
        <v>35</v>
      </c>
      <c r="S178" s="305">
        <f t="shared" si="16"/>
        <v>922</v>
      </c>
      <c r="T178" s="311">
        <f t="shared" si="10"/>
        <v>92</v>
      </c>
      <c r="U178" s="318"/>
      <c r="V178" s="313"/>
      <c r="W178" s="313"/>
      <c r="X178" s="313"/>
      <c r="Y178" s="313"/>
      <c r="Z178" s="313"/>
      <c r="AA178" s="313"/>
      <c r="AB178" s="313"/>
      <c r="AC178" s="313"/>
      <c r="AD178" s="313"/>
      <c r="AE178" s="313"/>
      <c r="AF178" s="313"/>
      <c r="AG178" s="313"/>
      <c r="AH178" s="335"/>
    </row>
    <row r="179" spans="1:34" s="68" customFormat="1" ht="18" hidden="1" customHeight="1" x14ac:dyDescent="0.2">
      <c r="A179" s="314">
        <f>SUM(R172:R183)</f>
        <v>448</v>
      </c>
      <c r="B179" s="301" t="s">
        <v>868</v>
      </c>
      <c r="C179" s="302">
        <v>0</v>
      </c>
      <c r="D179" s="303">
        <v>0</v>
      </c>
      <c r="E179" s="303">
        <v>0</v>
      </c>
      <c r="F179" s="303">
        <v>0</v>
      </c>
      <c r="G179" s="303">
        <v>0</v>
      </c>
      <c r="H179" s="303">
        <v>20</v>
      </c>
      <c r="I179" s="303">
        <v>9</v>
      </c>
      <c r="J179" s="303">
        <v>0</v>
      </c>
      <c r="K179" s="304">
        <v>4</v>
      </c>
      <c r="L179" s="306">
        <v>33</v>
      </c>
      <c r="M179" s="307">
        <f t="shared" si="17"/>
        <v>20916</v>
      </c>
      <c r="N179" s="302">
        <v>33</v>
      </c>
      <c r="O179" s="309">
        <v>0</v>
      </c>
      <c r="P179" s="302"/>
      <c r="Q179" s="304"/>
      <c r="R179" s="310">
        <v>52</v>
      </c>
      <c r="S179" s="305">
        <f t="shared" si="16"/>
        <v>974</v>
      </c>
      <c r="T179" s="311">
        <f t="shared" si="10"/>
        <v>85</v>
      </c>
      <c r="U179" s="318"/>
      <c r="V179" s="313"/>
      <c r="W179" s="313"/>
      <c r="X179" s="313"/>
      <c r="Y179" s="313"/>
      <c r="Z179" s="313"/>
      <c r="AA179" s="313"/>
      <c r="AB179" s="313"/>
      <c r="AC179" s="313"/>
      <c r="AD179" s="313"/>
      <c r="AE179" s="313"/>
      <c r="AF179" s="313"/>
      <c r="AG179" s="313"/>
      <c r="AH179" s="335"/>
    </row>
    <row r="180" spans="1:34" s="68" customFormat="1" ht="18" hidden="1" customHeight="1" x14ac:dyDescent="0.2">
      <c r="A180" s="315">
        <v>448</v>
      </c>
      <c r="B180" s="301" t="s">
        <v>910</v>
      </c>
      <c r="C180" s="302">
        <v>0</v>
      </c>
      <c r="D180" s="303">
        <v>0</v>
      </c>
      <c r="E180" s="303">
        <v>1</v>
      </c>
      <c r="F180" s="303">
        <v>0</v>
      </c>
      <c r="G180" s="303">
        <v>0</v>
      </c>
      <c r="H180" s="303">
        <v>26</v>
      </c>
      <c r="I180" s="303">
        <v>10</v>
      </c>
      <c r="J180" s="303">
        <v>0</v>
      </c>
      <c r="K180" s="304">
        <v>4</v>
      </c>
      <c r="L180" s="306">
        <f t="shared" si="15"/>
        <v>41</v>
      </c>
      <c r="M180" s="307">
        <f t="shared" si="17"/>
        <v>20957</v>
      </c>
      <c r="N180" s="302">
        <v>40</v>
      </c>
      <c r="O180" s="309">
        <v>1</v>
      </c>
      <c r="P180" s="302"/>
      <c r="Q180" s="304"/>
      <c r="R180" s="310">
        <v>19</v>
      </c>
      <c r="S180" s="305">
        <f t="shared" si="16"/>
        <v>993</v>
      </c>
      <c r="T180" s="311">
        <f t="shared" si="10"/>
        <v>60</v>
      </c>
      <c r="U180" s="318"/>
      <c r="V180" s="313"/>
      <c r="W180" s="313"/>
      <c r="X180" s="313"/>
      <c r="Y180" s="313"/>
      <c r="Z180" s="313"/>
      <c r="AA180" s="313"/>
      <c r="AB180" s="313"/>
      <c r="AC180" s="313"/>
      <c r="AD180" s="313"/>
      <c r="AE180" s="313"/>
      <c r="AF180" s="313"/>
      <c r="AG180" s="313"/>
      <c r="AH180" s="335"/>
    </row>
    <row r="181" spans="1:34" s="68" customFormat="1" ht="18" hidden="1" customHeight="1" x14ac:dyDescent="0.2">
      <c r="A181" s="316">
        <f>A179-A180</f>
        <v>0</v>
      </c>
      <c r="B181" s="301" t="s">
        <v>870</v>
      </c>
      <c r="C181" s="302">
        <v>0</v>
      </c>
      <c r="D181" s="303">
        <v>0</v>
      </c>
      <c r="E181" s="303">
        <v>5</v>
      </c>
      <c r="F181" s="303">
        <v>0</v>
      </c>
      <c r="G181" s="303">
        <v>0</v>
      </c>
      <c r="H181" s="303">
        <v>88</v>
      </c>
      <c r="I181" s="303">
        <v>7</v>
      </c>
      <c r="J181" s="303">
        <v>0</v>
      </c>
      <c r="K181" s="304">
        <v>0</v>
      </c>
      <c r="L181" s="306">
        <f t="shared" si="15"/>
        <v>100</v>
      </c>
      <c r="M181" s="307">
        <f t="shared" si="17"/>
        <v>21057</v>
      </c>
      <c r="N181" s="302">
        <v>95</v>
      </c>
      <c r="O181" s="309">
        <v>5</v>
      </c>
      <c r="P181" s="302"/>
      <c r="Q181" s="304"/>
      <c r="R181" s="310">
        <v>36</v>
      </c>
      <c r="S181" s="305">
        <f t="shared" si="16"/>
        <v>1029</v>
      </c>
      <c r="T181" s="311">
        <f t="shared" si="10"/>
        <v>136</v>
      </c>
      <c r="U181" s="318"/>
      <c r="V181" s="313"/>
      <c r="W181" s="313"/>
      <c r="X181" s="313"/>
      <c r="Y181" s="313"/>
      <c r="Z181" s="313"/>
      <c r="AA181" s="313"/>
      <c r="AB181" s="313"/>
      <c r="AC181" s="313"/>
      <c r="AD181" s="313"/>
      <c r="AE181" s="313"/>
      <c r="AF181" s="313"/>
      <c r="AG181" s="313"/>
      <c r="AH181" s="335"/>
    </row>
    <row r="182" spans="1:34" s="68" customFormat="1" ht="18" hidden="1" customHeight="1" x14ac:dyDescent="0.2">
      <c r="A182" s="316"/>
      <c r="B182" s="301" t="s">
        <v>871</v>
      </c>
      <c r="C182" s="302">
        <v>0</v>
      </c>
      <c r="D182" s="303">
        <v>0</v>
      </c>
      <c r="E182" s="303">
        <v>2</v>
      </c>
      <c r="F182" s="303">
        <v>0</v>
      </c>
      <c r="G182" s="303">
        <v>0</v>
      </c>
      <c r="H182" s="303">
        <v>15</v>
      </c>
      <c r="I182" s="303">
        <v>23</v>
      </c>
      <c r="J182" s="303">
        <v>0</v>
      </c>
      <c r="K182" s="304">
        <v>5</v>
      </c>
      <c r="L182" s="306">
        <f t="shared" si="15"/>
        <v>45</v>
      </c>
      <c r="M182" s="307">
        <f t="shared" si="17"/>
        <v>21102</v>
      </c>
      <c r="N182" s="302">
        <v>43</v>
      </c>
      <c r="O182" s="309">
        <v>2</v>
      </c>
      <c r="P182" s="302"/>
      <c r="Q182" s="304"/>
      <c r="R182" s="310">
        <v>11</v>
      </c>
      <c r="S182" s="305">
        <f t="shared" si="16"/>
        <v>1040</v>
      </c>
      <c r="T182" s="311">
        <f t="shared" si="10"/>
        <v>56</v>
      </c>
      <c r="U182" s="319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35"/>
    </row>
    <row r="183" spans="1:34" s="68" customFormat="1" ht="18" hidden="1" customHeight="1" x14ac:dyDescent="0.2">
      <c r="A183" s="321"/>
      <c r="B183" s="322" t="s">
        <v>911</v>
      </c>
      <c r="C183" s="323">
        <v>0</v>
      </c>
      <c r="D183" s="323">
        <v>0</v>
      </c>
      <c r="E183" s="323">
        <v>1</v>
      </c>
      <c r="F183" s="323">
        <v>0</v>
      </c>
      <c r="G183" s="323">
        <v>0</v>
      </c>
      <c r="H183" s="323">
        <v>1</v>
      </c>
      <c r="I183" s="323">
        <v>4</v>
      </c>
      <c r="J183" s="323">
        <v>0</v>
      </c>
      <c r="K183" s="323">
        <v>6</v>
      </c>
      <c r="L183" s="324">
        <v>12</v>
      </c>
      <c r="M183" s="325">
        <f t="shared" si="17"/>
        <v>21114</v>
      </c>
      <c r="N183" s="326">
        <v>11</v>
      </c>
      <c r="O183" s="327">
        <v>1</v>
      </c>
      <c r="P183" s="326"/>
      <c r="Q183" s="323"/>
      <c r="R183" s="328">
        <v>16</v>
      </c>
      <c r="S183" s="329">
        <f t="shared" si="16"/>
        <v>1056</v>
      </c>
      <c r="T183" s="330">
        <f t="shared" si="10"/>
        <v>28</v>
      </c>
      <c r="U183" s="331"/>
      <c r="V183" s="332"/>
      <c r="W183" s="332"/>
      <c r="X183" s="332"/>
      <c r="Y183" s="332"/>
      <c r="Z183" s="332"/>
      <c r="AA183" s="332"/>
      <c r="AB183" s="332"/>
      <c r="AC183" s="332"/>
      <c r="AD183" s="332"/>
      <c r="AE183" s="332"/>
      <c r="AF183" s="332"/>
      <c r="AG183" s="332"/>
      <c r="AH183" s="335"/>
    </row>
    <row r="184" spans="1:34" s="68" customFormat="1" ht="18" customHeight="1" x14ac:dyDescent="0.15">
      <c r="A184" s="285" t="s">
        <v>912</v>
      </c>
      <c r="B184" s="336" t="s">
        <v>913</v>
      </c>
      <c r="C184" s="337">
        <v>0</v>
      </c>
      <c r="D184" s="337">
        <v>0</v>
      </c>
      <c r="E184" s="337">
        <v>16</v>
      </c>
      <c r="F184" s="337">
        <v>0</v>
      </c>
      <c r="G184" s="337">
        <v>0</v>
      </c>
      <c r="H184" s="337">
        <v>0</v>
      </c>
      <c r="I184" s="337">
        <v>0</v>
      </c>
      <c r="J184" s="337">
        <v>0</v>
      </c>
      <c r="K184" s="337">
        <v>0</v>
      </c>
      <c r="L184" s="338">
        <f t="shared" si="15"/>
        <v>16</v>
      </c>
      <c r="M184" s="339">
        <f t="shared" si="17"/>
        <v>21130</v>
      </c>
      <c r="N184" s="340">
        <v>0</v>
      </c>
      <c r="O184" s="341">
        <v>16</v>
      </c>
      <c r="P184" s="340"/>
      <c r="Q184" s="337"/>
      <c r="R184" s="342">
        <v>18</v>
      </c>
      <c r="S184" s="343">
        <f t="shared" si="16"/>
        <v>1074</v>
      </c>
      <c r="T184" s="344">
        <f>L184+R184</f>
        <v>34</v>
      </c>
      <c r="U184" s="345"/>
      <c r="V184" s="346"/>
      <c r="W184" s="346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6"/>
      <c r="AH184" s="335" t="s">
        <v>914</v>
      </c>
    </row>
    <row r="185" spans="1:34" s="68" customFormat="1" ht="18" customHeight="1" x14ac:dyDescent="0.15">
      <c r="A185" s="300" t="s">
        <v>906</v>
      </c>
      <c r="B185" s="347" t="s">
        <v>915</v>
      </c>
      <c r="C185" s="304">
        <v>0</v>
      </c>
      <c r="D185" s="304">
        <v>0</v>
      </c>
      <c r="E185" s="304">
        <v>6</v>
      </c>
      <c r="F185" s="304">
        <v>0</v>
      </c>
      <c r="G185" s="304">
        <v>0</v>
      </c>
      <c r="H185" s="304">
        <v>1</v>
      </c>
      <c r="I185" s="304">
        <v>6</v>
      </c>
      <c r="J185" s="304">
        <v>0</v>
      </c>
      <c r="K185" s="304">
        <v>0</v>
      </c>
      <c r="L185" s="306">
        <f t="shared" si="15"/>
        <v>13</v>
      </c>
      <c r="M185" s="348">
        <f t="shared" si="17"/>
        <v>21143</v>
      </c>
      <c r="N185" s="302">
        <v>7</v>
      </c>
      <c r="O185" s="309">
        <v>6</v>
      </c>
      <c r="P185" s="302"/>
      <c r="Q185" s="304"/>
      <c r="R185" s="349">
        <v>19</v>
      </c>
      <c r="S185" s="303">
        <f t="shared" si="16"/>
        <v>1093</v>
      </c>
      <c r="T185" s="311">
        <f t="shared" si="10"/>
        <v>32</v>
      </c>
      <c r="U185" s="319"/>
      <c r="V185" s="320"/>
      <c r="W185" s="320"/>
      <c r="X185" s="320"/>
      <c r="Y185" s="320"/>
      <c r="Z185" s="320"/>
      <c r="AA185" s="320"/>
      <c r="AB185" s="320"/>
      <c r="AC185" s="320"/>
      <c r="AD185" s="320"/>
      <c r="AE185" s="320"/>
      <c r="AF185" s="320"/>
      <c r="AG185" s="320"/>
      <c r="AH185" s="335" t="s">
        <v>916</v>
      </c>
    </row>
    <row r="186" spans="1:34" s="68" customFormat="1" ht="18" customHeight="1" x14ac:dyDescent="0.15">
      <c r="A186" s="314">
        <f>SUM(L184:L195)</f>
        <v>289</v>
      </c>
      <c r="B186" s="347" t="s">
        <v>917</v>
      </c>
      <c r="C186" s="304">
        <v>0</v>
      </c>
      <c r="D186" s="304">
        <v>0</v>
      </c>
      <c r="E186" s="304">
        <v>0</v>
      </c>
      <c r="F186" s="304">
        <v>0</v>
      </c>
      <c r="G186" s="304">
        <v>0</v>
      </c>
      <c r="H186" s="304">
        <v>2</v>
      </c>
      <c r="I186" s="304">
        <v>10</v>
      </c>
      <c r="J186" s="304">
        <v>0</v>
      </c>
      <c r="K186" s="304">
        <v>0</v>
      </c>
      <c r="L186" s="306">
        <f t="shared" si="15"/>
        <v>12</v>
      </c>
      <c r="M186" s="348">
        <f t="shared" si="17"/>
        <v>21155</v>
      </c>
      <c r="N186" s="302">
        <v>12</v>
      </c>
      <c r="O186" s="309">
        <v>0</v>
      </c>
      <c r="P186" s="302"/>
      <c r="Q186" s="304"/>
      <c r="R186" s="310">
        <v>37</v>
      </c>
      <c r="S186" s="303">
        <f t="shared" si="16"/>
        <v>1130</v>
      </c>
      <c r="T186" s="311">
        <f t="shared" si="10"/>
        <v>49</v>
      </c>
      <c r="U186" s="319"/>
      <c r="V186" s="320"/>
      <c r="W186" s="320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35" t="s">
        <v>918</v>
      </c>
    </row>
    <row r="187" spans="1:34" s="68" customFormat="1" ht="18" customHeight="1" x14ac:dyDescent="0.15">
      <c r="A187" s="315">
        <v>289</v>
      </c>
      <c r="B187" s="347" t="s">
        <v>862</v>
      </c>
      <c r="C187" s="304">
        <v>0</v>
      </c>
      <c r="D187" s="304">
        <v>0</v>
      </c>
      <c r="E187" s="304">
        <v>2</v>
      </c>
      <c r="F187" s="304">
        <v>0</v>
      </c>
      <c r="G187" s="304">
        <v>0</v>
      </c>
      <c r="H187" s="304">
        <v>0</v>
      </c>
      <c r="I187" s="304">
        <v>22</v>
      </c>
      <c r="J187" s="304">
        <v>0</v>
      </c>
      <c r="K187" s="304">
        <v>1</v>
      </c>
      <c r="L187" s="306">
        <f>SUM(C187:K187)</f>
        <v>25</v>
      </c>
      <c r="M187" s="348">
        <f t="shared" si="17"/>
        <v>21180</v>
      </c>
      <c r="N187" s="302">
        <v>23</v>
      </c>
      <c r="O187" s="309">
        <v>2</v>
      </c>
      <c r="P187" s="302"/>
      <c r="Q187" s="304"/>
      <c r="R187" s="310">
        <v>50</v>
      </c>
      <c r="S187" s="303">
        <f>S186+R187</f>
        <v>1180</v>
      </c>
      <c r="T187" s="311">
        <f t="shared" si="10"/>
        <v>75</v>
      </c>
      <c r="U187" s="319"/>
      <c r="V187" s="320"/>
      <c r="W187" s="320"/>
      <c r="X187" s="320"/>
      <c r="Y187" s="320"/>
      <c r="Z187" s="320"/>
      <c r="AA187" s="320"/>
      <c r="AB187" s="320"/>
      <c r="AC187" s="320"/>
      <c r="AD187" s="320"/>
      <c r="AE187" s="320"/>
      <c r="AF187" s="320"/>
      <c r="AG187" s="320"/>
      <c r="AH187" s="335" t="s">
        <v>919</v>
      </c>
    </row>
    <row r="188" spans="1:34" s="68" customFormat="1" ht="18" customHeight="1" x14ac:dyDescent="0.15">
      <c r="A188" s="316">
        <f>A186-A187</f>
        <v>0</v>
      </c>
      <c r="B188" s="347" t="s">
        <v>864</v>
      </c>
      <c r="C188" s="304">
        <v>0</v>
      </c>
      <c r="D188" s="304">
        <v>0</v>
      </c>
      <c r="E188" s="304">
        <v>3</v>
      </c>
      <c r="F188" s="304">
        <v>1</v>
      </c>
      <c r="G188" s="304">
        <v>0</v>
      </c>
      <c r="H188" s="304">
        <v>1</v>
      </c>
      <c r="I188" s="304">
        <v>1</v>
      </c>
      <c r="J188" s="304">
        <v>0</v>
      </c>
      <c r="K188" s="304">
        <v>18</v>
      </c>
      <c r="L188" s="306">
        <f>SUM(C188:K188)</f>
        <v>24</v>
      </c>
      <c r="M188" s="348">
        <f t="shared" si="17"/>
        <v>21204</v>
      </c>
      <c r="N188" s="302">
        <v>21</v>
      </c>
      <c r="O188" s="309">
        <v>3</v>
      </c>
      <c r="P188" s="302"/>
      <c r="Q188" s="304"/>
      <c r="R188" s="310">
        <v>54</v>
      </c>
      <c r="S188" s="303">
        <f>S187+R188</f>
        <v>1234</v>
      </c>
      <c r="T188" s="311">
        <f t="shared" si="10"/>
        <v>78</v>
      </c>
      <c r="U188" s="319"/>
      <c r="V188" s="320"/>
      <c r="W188" s="320"/>
      <c r="X188" s="320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35" t="s">
        <v>920</v>
      </c>
    </row>
    <row r="189" spans="1:34" s="68" customFormat="1" ht="18" customHeight="1" x14ac:dyDescent="0.15">
      <c r="A189" s="317"/>
      <c r="B189" s="347" t="s">
        <v>865</v>
      </c>
      <c r="C189" s="304">
        <v>0</v>
      </c>
      <c r="D189" s="304">
        <v>0</v>
      </c>
      <c r="E189" s="304">
        <v>19</v>
      </c>
      <c r="F189" s="304">
        <v>0</v>
      </c>
      <c r="G189" s="304">
        <v>0</v>
      </c>
      <c r="H189" s="304">
        <v>25</v>
      </c>
      <c r="I189" s="304">
        <v>1</v>
      </c>
      <c r="J189" s="304">
        <v>0</v>
      </c>
      <c r="K189" s="304">
        <v>0</v>
      </c>
      <c r="L189" s="306">
        <f>SUM(C189:K189)</f>
        <v>45</v>
      </c>
      <c r="M189" s="348">
        <f t="shared" si="17"/>
        <v>21249</v>
      </c>
      <c r="N189" s="302">
        <v>26</v>
      </c>
      <c r="O189" s="309">
        <v>19</v>
      </c>
      <c r="P189" s="302"/>
      <c r="Q189" s="304"/>
      <c r="R189" s="310">
        <v>72</v>
      </c>
      <c r="S189" s="303">
        <f>S188+R189</f>
        <v>1306</v>
      </c>
      <c r="T189" s="311">
        <f t="shared" si="10"/>
        <v>117</v>
      </c>
      <c r="U189" s="319"/>
      <c r="V189" s="320"/>
      <c r="W189" s="320"/>
      <c r="X189" s="320"/>
      <c r="Y189" s="320"/>
      <c r="Z189" s="320"/>
      <c r="AA189" s="320"/>
      <c r="AB189" s="320"/>
      <c r="AC189" s="320"/>
      <c r="AD189" s="320"/>
      <c r="AE189" s="320"/>
      <c r="AF189" s="320"/>
      <c r="AG189" s="320"/>
      <c r="AH189" s="335" t="s">
        <v>921</v>
      </c>
    </row>
    <row r="190" spans="1:34" s="68" customFormat="1" ht="18" customHeight="1" x14ac:dyDescent="0.15">
      <c r="A190" s="300" t="s">
        <v>903</v>
      </c>
      <c r="B190" s="347" t="s">
        <v>866</v>
      </c>
      <c r="C190" s="304">
        <v>0</v>
      </c>
      <c r="D190" s="304">
        <v>0</v>
      </c>
      <c r="E190" s="304">
        <v>25</v>
      </c>
      <c r="F190" s="304">
        <v>0</v>
      </c>
      <c r="G190" s="304">
        <v>0</v>
      </c>
      <c r="H190" s="304">
        <v>25</v>
      </c>
      <c r="I190" s="304">
        <v>0</v>
      </c>
      <c r="J190" s="304">
        <v>0</v>
      </c>
      <c r="K190" s="304">
        <v>3</v>
      </c>
      <c r="L190" s="306">
        <f t="shared" ref="L190:L207" si="18">SUM(C190:K190)</f>
        <v>53</v>
      </c>
      <c r="M190" s="348">
        <f t="shared" si="17"/>
        <v>21302</v>
      </c>
      <c r="N190" s="302">
        <v>28</v>
      </c>
      <c r="O190" s="309">
        <v>25</v>
      </c>
      <c r="P190" s="302"/>
      <c r="Q190" s="304"/>
      <c r="R190" s="310">
        <v>71</v>
      </c>
      <c r="S190" s="303">
        <f t="shared" si="16"/>
        <v>1377</v>
      </c>
      <c r="T190" s="311">
        <f t="shared" si="10"/>
        <v>124</v>
      </c>
      <c r="U190" s="319"/>
      <c r="V190" s="320"/>
      <c r="W190" s="320"/>
      <c r="X190" s="320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35" t="s">
        <v>922</v>
      </c>
    </row>
    <row r="191" spans="1:34" s="68" customFormat="1" ht="18" customHeight="1" x14ac:dyDescent="0.15">
      <c r="A191" s="314">
        <f>SUM(R184:R195)</f>
        <v>553</v>
      </c>
      <c r="B191" s="347" t="s">
        <v>868</v>
      </c>
      <c r="C191" s="304">
        <v>0</v>
      </c>
      <c r="D191" s="304">
        <v>0</v>
      </c>
      <c r="E191" s="304">
        <v>17</v>
      </c>
      <c r="F191" s="304">
        <v>0</v>
      </c>
      <c r="G191" s="304">
        <v>0</v>
      </c>
      <c r="H191" s="304">
        <v>11</v>
      </c>
      <c r="I191" s="304">
        <v>0</v>
      </c>
      <c r="J191" s="304">
        <v>0</v>
      </c>
      <c r="K191" s="304">
        <v>3</v>
      </c>
      <c r="L191" s="306">
        <f t="shared" si="18"/>
        <v>31</v>
      </c>
      <c r="M191" s="348">
        <f>M190+L191</f>
        <v>21333</v>
      </c>
      <c r="N191" s="302">
        <v>14</v>
      </c>
      <c r="O191" s="309">
        <v>17</v>
      </c>
      <c r="P191" s="302"/>
      <c r="Q191" s="304"/>
      <c r="R191" s="310">
        <v>64</v>
      </c>
      <c r="S191" s="303">
        <f t="shared" si="16"/>
        <v>1441</v>
      </c>
      <c r="T191" s="311">
        <f>L191+R191</f>
        <v>95</v>
      </c>
      <c r="U191" s="319"/>
      <c r="V191" s="320"/>
      <c r="W191" s="320"/>
      <c r="X191" s="320"/>
      <c r="Y191" s="320"/>
      <c r="Z191" s="320"/>
      <c r="AA191" s="320"/>
      <c r="AB191" s="320"/>
      <c r="AC191" s="320"/>
      <c r="AD191" s="320"/>
      <c r="AE191" s="320"/>
      <c r="AF191" s="320"/>
      <c r="AG191" s="320"/>
      <c r="AH191" s="335" t="s">
        <v>923</v>
      </c>
    </row>
    <row r="192" spans="1:34" s="68" customFormat="1" ht="18" customHeight="1" x14ac:dyDescent="0.15">
      <c r="A192" s="315">
        <v>553</v>
      </c>
      <c r="B192" s="347" t="s">
        <v>924</v>
      </c>
      <c r="C192" s="304">
        <v>0</v>
      </c>
      <c r="D192" s="304">
        <v>0</v>
      </c>
      <c r="E192" s="304">
        <v>1</v>
      </c>
      <c r="F192" s="304">
        <v>0</v>
      </c>
      <c r="G192" s="304">
        <v>0</v>
      </c>
      <c r="H192" s="304">
        <v>25</v>
      </c>
      <c r="I192" s="304">
        <v>2</v>
      </c>
      <c r="J192" s="304">
        <v>0</v>
      </c>
      <c r="K192" s="304">
        <v>8</v>
      </c>
      <c r="L192" s="306">
        <f>SUM(C192:K192)</f>
        <v>36</v>
      </c>
      <c r="M192" s="348">
        <f t="shared" si="17"/>
        <v>21369</v>
      </c>
      <c r="N192" s="302">
        <v>34</v>
      </c>
      <c r="O192" s="309">
        <v>1</v>
      </c>
      <c r="P192" s="302"/>
      <c r="Q192" s="304"/>
      <c r="R192" s="310">
        <v>61</v>
      </c>
      <c r="S192" s="303">
        <f t="shared" si="16"/>
        <v>1502</v>
      </c>
      <c r="T192" s="311">
        <f>L192+R192</f>
        <v>97</v>
      </c>
      <c r="U192" s="319"/>
      <c r="V192" s="320"/>
      <c r="W192" s="320"/>
      <c r="X192" s="320"/>
      <c r="Y192" s="320"/>
      <c r="Z192" s="320"/>
      <c r="AA192" s="320"/>
      <c r="AB192" s="320"/>
      <c r="AC192" s="320"/>
      <c r="AD192" s="320"/>
      <c r="AE192" s="320"/>
      <c r="AF192" s="320"/>
      <c r="AG192" s="320"/>
      <c r="AH192" s="335" t="s">
        <v>925</v>
      </c>
    </row>
    <row r="193" spans="1:34" s="68" customFormat="1" ht="18" customHeight="1" x14ac:dyDescent="0.15">
      <c r="A193" s="316">
        <f>A191-A192</f>
        <v>0</v>
      </c>
      <c r="B193" s="406" t="s">
        <v>870</v>
      </c>
      <c r="C193" s="407">
        <v>0</v>
      </c>
      <c r="D193" s="407">
        <v>0</v>
      </c>
      <c r="E193" s="407">
        <v>0</v>
      </c>
      <c r="F193" s="407">
        <v>0</v>
      </c>
      <c r="G193" s="407">
        <v>0</v>
      </c>
      <c r="H193" s="407">
        <v>3</v>
      </c>
      <c r="I193" s="407">
        <v>2</v>
      </c>
      <c r="J193" s="407">
        <v>0</v>
      </c>
      <c r="K193" s="407">
        <v>1</v>
      </c>
      <c r="L193" s="306">
        <f t="shared" si="18"/>
        <v>6</v>
      </c>
      <c r="M193" s="408">
        <f>M192+L193</f>
        <v>21375</v>
      </c>
      <c r="N193" s="409">
        <v>6</v>
      </c>
      <c r="O193" s="410">
        <v>0</v>
      </c>
      <c r="P193" s="409">
        <v>8</v>
      </c>
      <c r="Q193" s="407">
        <v>17</v>
      </c>
      <c r="R193" s="310">
        <f>SUM(P193:Q193)</f>
        <v>25</v>
      </c>
      <c r="S193" s="411">
        <f>S192+R193</f>
        <v>1527</v>
      </c>
      <c r="T193" s="311">
        <f>L193+R193</f>
        <v>31</v>
      </c>
      <c r="U193" s="412"/>
      <c r="V193" s="413"/>
      <c r="W193" s="413"/>
      <c r="X193" s="413"/>
      <c r="Y193" s="413"/>
      <c r="Z193" s="413"/>
      <c r="AA193" s="413"/>
      <c r="AB193" s="413"/>
      <c r="AC193" s="413"/>
      <c r="AD193" s="413"/>
      <c r="AE193" s="413"/>
      <c r="AF193" s="413"/>
      <c r="AG193" s="413"/>
      <c r="AH193" s="335" t="s">
        <v>926</v>
      </c>
    </row>
    <row r="194" spans="1:34" s="68" customFormat="1" ht="24.75" customHeight="1" x14ac:dyDescent="0.15">
      <c r="A194" s="316"/>
      <c r="B194" s="350" t="s">
        <v>871</v>
      </c>
      <c r="C194" s="351">
        <f>SUMIFS(C$211:C$335,$A$211:$A$335,$AH194)</f>
        <v>0</v>
      </c>
      <c r="D194" s="351">
        <f t="shared" ref="D194:K194" si="19">SUMIFS(D$211:D$335,$A$211:$A$335,$AH194)</f>
        <v>0</v>
      </c>
      <c r="E194" s="351">
        <f t="shared" si="19"/>
        <v>7</v>
      </c>
      <c r="F194" s="351">
        <f t="shared" si="19"/>
        <v>0</v>
      </c>
      <c r="G194" s="351">
        <f t="shared" si="19"/>
        <v>0</v>
      </c>
      <c r="H194" s="351">
        <f t="shared" si="19"/>
        <v>0</v>
      </c>
      <c r="I194" s="351">
        <f t="shared" si="19"/>
        <v>5</v>
      </c>
      <c r="J194" s="351">
        <f t="shared" si="19"/>
        <v>0</v>
      </c>
      <c r="K194" s="351">
        <f t="shared" si="19"/>
        <v>4</v>
      </c>
      <c r="L194" s="306">
        <f t="shared" si="18"/>
        <v>16</v>
      </c>
      <c r="M194" s="352">
        <f t="shared" si="17"/>
        <v>21391</v>
      </c>
      <c r="N194" s="353">
        <f>SUMIFS(N$211:N$335,$A$211:$A$335,$AH194)</f>
        <v>9</v>
      </c>
      <c r="O194" s="354">
        <f t="shared" ref="O194:Q194" si="20">SUMIFS(O$211:O$335,$A$211:$A$335,$AH194)</f>
        <v>7</v>
      </c>
      <c r="P194" s="353">
        <f t="shared" si="20"/>
        <v>14</v>
      </c>
      <c r="Q194" s="351">
        <f t="shared" si="20"/>
        <v>0</v>
      </c>
      <c r="R194" s="310">
        <f>SUM(P194:Q194)</f>
        <v>14</v>
      </c>
      <c r="S194" s="355">
        <f t="shared" si="16"/>
        <v>1541</v>
      </c>
      <c r="T194" s="311">
        <f t="shared" si="10"/>
        <v>30</v>
      </c>
      <c r="U194" s="356">
        <f>SUMIFS(U$211:U$335,$A$211:$A$335,$AH194)</f>
        <v>0</v>
      </c>
      <c r="V194" s="357">
        <f t="shared" ref="V194:AG194" si="21">SUMIFS(V$211:V$335,$A$211:$A$335,$AH194)</f>
        <v>7</v>
      </c>
      <c r="W194" s="357">
        <f t="shared" si="21"/>
        <v>0</v>
      </c>
      <c r="X194" s="357">
        <f t="shared" si="21"/>
        <v>0</v>
      </c>
      <c r="Y194" s="357">
        <f t="shared" si="21"/>
        <v>0</v>
      </c>
      <c r="Z194" s="357">
        <f t="shared" si="21"/>
        <v>0</v>
      </c>
      <c r="AA194" s="357">
        <f t="shared" si="21"/>
        <v>0</v>
      </c>
      <c r="AB194" s="357">
        <f t="shared" si="21"/>
        <v>0</v>
      </c>
      <c r="AC194" s="357">
        <f t="shared" si="21"/>
        <v>5</v>
      </c>
      <c r="AD194" s="357">
        <f t="shared" si="21"/>
        <v>0</v>
      </c>
      <c r="AE194" s="357">
        <f t="shared" si="21"/>
        <v>4</v>
      </c>
      <c r="AF194" s="357">
        <f t="shared" si="21"/>
        <v>14</v>
      </c>
      <c r="AG194" s="357">
        <f t="shared" si="21"/>
        <v>0</v>
      </c>
      <c r="AH194" s="335" t="s">
        <v>927</v>
      </c>
    </row>
    <row r="195" spans="1:34" s="68" customFormat="1" ht="24.75" customHeight="1" thickBot="1" x14ac:dyDescent="0.2">
      <c r="A195" s="321"/>
      <c r="B195" s="358" t="s">
        <v>872</v>
      </c>
      <c r="C195" s="359">
        <f t="shared" ref="C195:K207" si="22">SUMIFS(C$211:C$335,$A$211:$A$335,$AH195)</f>
        <v>0</v>
      </c>
      <c r="D195" s="359">
        <f t="shared" si="22"/>
        <v>0</v>
      </c>
      <c r="E195" s="359">
        <f t="shared" si="22"/>
        <v>0</v>
      </c>
      <c r="F195" s="359">
        <f t="shared" si="22"/>
        <v>0</v>
      </c>
      <c r="G195" s="359">
        <f t="shared" si="22"/>
        <v>0</v>
      </c>
      <c r="H195" s="359">
        <f t="shared" si="22"/>
        <v>0</v>
      </c>
      <c r="I195" s="359">
        <f t="shared" si="22"/>
        <v>7</v>
      </c>
      <c r="J195" s="359">
        <f t="shared" si="22"/>
        <v>0</v>
      </c>
      <c r="K195" s="359">
        <f t="shared" si="22"/>
        <v>5</v>
      </c>
      <c r="L195" s="324">
        <f t="shared" si="18"/>
        <v>12</v>
      </c>
      <c r="M195" s="360">
        <f t="shared" si="17"/>
        <v>21403</v>
      </c>
      <c r="N195" s="361">
        <f t="shared" ref="N195:Q207" si="23">SUMIFS(N$211:N$335,$A$211:$A$335,$AH195)</f>
        <v>12</v>
      </c>
      <c r="O195" s="362">
        <f t="shared" si="23"/>
        <v>0</v>
      </c>
      <c r="P195" s="361">
        <f t="shared" si="23"/>
        <v>68</v>
      </c>
      <c r="Q195" s="359">
        <f t="shared" si="23"/>
        <v>0</v>
      </c>
      <c r="R195" s="328">
        <f t="shared" ref="R194:R207" si="24">SUM(P195:Q195)</f>
        <v>68</v>
      </c>
      <c r="S195" s="363">
        <f t="shared" si="16"/>
        <v>1609</v>
      </c>
      <c r="T195" s="330">
        <f t="shared" si="10"/>
        <v>80</v>
      </c>
      <c r="U195" s="364">
        <f t="shared" ref="U195:AG207" si="25">SUMIFS(U$211:U$335,$A$211:$A$335,$AH195)</f>
        <v>0</v>
      </c>
      <c r="V195" s="365">
        <f t="shared" si="25"/>
        <v>0</v>
      </c>
      <c r="W195" s="365">
        <f t="shared" si="25"/>
        <v>0</v>
      </c>
      <c r="X195" s="365">
        <f t="shared" si="25"/>
        <v>0</v>
      </c>
      <c r="Y195" s="365">
        <f t="shared" si="25"/>
        <v>0</v>
      </c>
      <c r="Z195" s="365">
        <f t="shared" si="25"/>
        <v>0</v>
      </c>
      <c r="AA195" s="365">
        <f t="shared" si="25"/>
        <v>0</v>
      </c>
      <c r="AB195" s="365">
        <f t="shared" si="25"/>
        <v>0</v>
      </c>
      <c r="AC195" s="365">
        <f t="shared" si="25"/>
        <v>7</v>
      </c>
      <c r="AD195" s="365">
        <f t="shared" si="25"/>
        <v>0</v>
      </c>
      <c r="AE195" s="365">
        <f t="shared" si="25"/>
        <v>5</v>
      </c>
      <c r="AF195" s="365">
        <f t="shared" si="25"/>
        <v>68</v>
      </c>
      <c r="AG195" s="365">
        <f t="shared" si="25"/>
        <v>0</v>
      </c>
      <c r="AH195" s="335" t="s">
        <v>928</v>
      </c>
    </row>
    <row r="196" spans="1:34" s="68" customFormat="1" ht="24.75" customHeight="1" x14ac:dyDescent="0.15">
      <c r="A196" s="285" t="s">
        <v>929</v>
      </c>
      <c r="B196" s="366" t="s">
        <v>930</v>
      </c>
      <c r="C196" s="367">
        <f t="shared" si="22"/>
        <v>0</v>
      </c>
      <c r="D196" s="367">
        <f t="shared" si="22"/>
        <v>0</v>
      </c>
      <c r="E196" s="367">
        <f t="shared" si="22"/>
        <v>23</v>
      </c>
      <c r="F196" s="367">
        <f t="shared" si="22"/>
        <v>0</v>
      </c>
      <c r="G196" s="367">
        <f t="shared" si="22"/>
        <v>0</v>
      </c>
      <c r="H196" s="367">
        <f t="shared" si="22"/>
        <v>7</v>
      </c>
      <c r="I196" s="367">
        <f t="shared" si="22"/>
        <v>3</v>
      </c>
      <c r="J196" s="367">
        <f t="shared" si="22"/>
        <v>0</v>
      </c>
      <c r="K196" s="367">
        <f t="shared" si="22"/>
        <v>0</v>
      </c>
      <c r="L196" s="338">
        <f t="shared" si="18"/>
        <v>33</v>
      </c>
      <c r="M196" s="368">
        <f t="shared" si="17"/>
        <v>21436</v>
      </c>
      <c r="N196" s="369">
        <f t="shared" si="23"/>
        <v>10</v>
      </c>
      <c r="O196" s="370">
        <f t="shared" si="23"/>
        <v>23</v>
      </c>
      <c r="P196" s="369">
        <f t="shared" si="23"/>
        <v>94</v>
      </c>
      <c r="Q196" s="367">
        <f t="shared" si="23"/>
        <v>0</v>
      </c>
      <c r="R196" s="342">
        <f t="shared" si="24"/>
        <v>94</v>
      </c>
      <c r="S196" s="371">
        <f t="shared" si="16"/>
        <v>1703</v>
      </c>
      <c r="T196" s="344">
        <f t="shared" ref="T196:T207" si="26">L196+R196</f>
        <v>127</v>
      </c>
      <c r="U196" s="372">
        <f t="shared" si="25"/>
        <v>7</v>
      </c>
      <c r="V196" s="373">
        <f t="shared" si="25"/>
        <v>9</v>
      </c>
      <c r="W196" s="373">
        <f t="shared" si="25"/>
        <v>0</v>
      </c>
      <c r="X196" s="373">
        <f t="shared" si="25"/>
        <v>0</v>
      </c>
      <c r="Y196" s="373">
        <f t="shared" si="25"/>
        <v>9</v>
      </c>
      <c r="Z196" s="373">
        <f t="shared" si="25"/>
        <v>0</v>
      </c>
      <c r="AA196" s="373">
        <f t="shared" si="25"/>
        <v>0</v>
      </c>
      <c r="AB196" s="373">
        <f t="shared" si="25"/>
        <v>0</v>
      </c>
      <c r="AC196" s="373">
        <f t="shared" si="25"/>
        <v>3</v>
      </c>
      <c r="AD196" s="373">
        <f t="shared" si="25"/>
        <v>5</v>
      </c>
      <c r="AE196" s="373">
        <f t="shared" si="25"/>
        <v>0</v>
      </c>
      <c r="AF196" s="373">
        <f t="shared" si="25"/>
        <v>94</v>
      </c>
      <c r="AG196" s="373">
        <f t="shared" si="25"/>
        <v>0</v>
      </c>
      <c r="AH196" s="335" t="s">
        <v>931</v>
      </c>
    </row>
    <row r="197" spans="1:34" s="68" customFormat="1" ht="24.75" customHeight="1" x14ac:dyDescent="0.15">
      <c r="A197" s="300" t="s">
        <v>932</v>
      </c>
      <c r="B197" s="350" t="s">
        <v>933</v>
      </c>
      <c r="C197" s="351">
        <f t="shared" si="22"/>
        <v>0</v>
      </c>
      <c r="D197" s="351">
        <f t="shared" si="22"/>
        <v>0</v>
      </c>
      <c r="E197" s="351">
        <f t="shared" si="22"/>
        <v>16</v>
      </c>
      <c r="F197" s="351">
        <f t="shared" si="22"/>
        <v>0</v>
      </c>
      <c r="G197" s="351">
        <f t="shared" si="22"/>
        <v>0</v>
      </c>
      <c r="H197" s="351">
        <f t="shared" si="22"/>
        <v>0</v>
      </c>
      <c r="I197" s="351">
        <f t="shared" si="22"/>
        <v>3</v>
      </c>
      <c r="J197" s="351">
        <f t="shared" si="22"/>
        <v>0</v>
      </c>
      <c r="K197" s="351">
        <f t="shared" si="22"/>
        <v>0</v>
      </c>
      <c r="L197" s="306">
        <f t="shared" si="18"/>
        <v>19</v>
      </c>
      <c r="M197" s="352">
        <f t="shared" si="17"/>
        <v>21455</v>
      </c>
      <c r="N197" s="353">
        <f t="shared" si="23"/>
        <v>3</v>
      </c>
      <c r="O197" s="354">
        <f t="shared" si="23"/>
        <v>16</v>
      </c>
      <c r="P197" s="353">
        <f t="shared" si="23"/>
        <v>120</v>
      </c>
      <c r="Q197" s="351">
        <f t="shared" si="23"/>
        <v>0</v>
      </c>
      <c r="R197" s="310">
        <f t="shared" si="24"/>
        <v>120</v>
      </c>
      <c r="S197" s="355">
        <f t="shared" si="16"/>
        <v>1823</v>
      </c>
      <c r="T197" s="311">
        <f t="shared" si="26"/>
        <v>139</v>
      </c>
      <c r="U197" s="356">
        <f t="shared" si="25"/>
        <v>0</v>
      </c>
      <c r="V197" s="357">
        <f t="shared" si="25"/>
        <v>8</v>
      </c>
      <c r="W197" s="357">
        <f t="shared" si="25"/>
        <v>0</v>
      </c>
      <c r="X197" s="357">
        <f t="shared" si="25"/>
        <v>0</v>
      </c>
      <c r="Y197" s="357">
        <f t="shared" si="25"/>
        <v>8</v>
      </c>
      <c r="Z197" s="357">
        <f t="shared" si="25"/>
        <v>0</v>
      </c>
      <c r="AA197" s="357">
        <f t="shared" si="25"/>
        <v>0</v>
      </c>
      <c r="AB197" s="357">
        <f t="shared" si="25"/>
        <v>0</v>
      </c>
      <c r="AC197" s="357">
        <f t="shared" si="25"/>
        <v>3</v>
      </c>
      <c r="AD197" s="357">
        <f t="shared" si="25"/>
        <v>0</v>
      </c>
      <c r="AE197" s="357">
        <f t="shared" si="25"/>
        <v>0</v>
      </c>
      <c r="AF197" s="357">
        <f t="shared" si="25"/>
        <v>120</v>
      </c>
      <c r="AG197" s="357">
        <f t="shared" si="25"/>
        <v>0</v>
      </c>
      <c r="AH197" s="335" t="s">
        <v>934</v>
      </c>
    </row>
    <row r="198" spans="1:34" s="68" customFormat="1" ht="18" customHeight="1" x14ac:dyDescent="0.15">
      <c r="A198" s="314">
        <f>SUM(L196:L207)</f>
        <v>375</v>
      </c>
      <c r="B198" s="347" t="s">
        <v>935</v>
      </c>
      <c r="C198" s="304">
        <f t="shared" si="22"/>
        <v>0</v>
      </c>
      <c r="D198" s="304">
        <f t="shared" si="22"/>
        <v>0</v>
      </c>
      <c r="E198" s="304">
        <f t="shared" si="22"/>
        <v>2</v>
      </c>
      <c r="F198" s="304">
        <f t="shared" si="22"/>
        <v>0</v>
      </c>
      <c r="G198" s="304">
        <f t="shared" si="22"/>
        <v>0</v>
      </c>
      <c r="H198" s="304">
        <f t="shared" si="22"/>
        <v>0</v>
      </c>
      <c r="I198" s="304">
        <f t="shared" si="22"/>
        <v>7</v>
      </c>
      <c r="J198" s="304">
        <f t="shared" si="22"/>
        <v>0</v>
      </c>
      <c r="K198" s="304">
        <f t="shared" si="22"/>
        <v>0</v>
      </c>
      <c r="L198" s="306">
        <f t="shared" si="18"/>
        <v>9</v>
      </c>
      <c r="M198" s="348">
        <f t="shared" si="17"/>
        <v>21464</v>
      </c>
      <c r="N198" s="302">
        <f t="shared" si="23"/>
        <v>7</v>
      </c>
      <c r="O198" s="309">
        <f t="shared" si="23"/>
        <v>2</v>
      </c>
      <c r="P198" s="302">
        <f t="shared" si="23"/>
        <v>119</v>
      </c>
      <c r="Q198" s="304">
        <f t="shared" si="23"/>
        <v>0</v>
      </c>
      <c r="R198" s="310">
        <f t="shared" si="24"/>
        <v>119</v>
      </c>
      <c r="S198" s="303">
        <f t="shared" si="16"/>
        <v>1942</v>
      </c>
      <c r="T198" s="311">
        <f t="shared" si="26"/>
        <v>128</v>
      </c>
      <c r="U198" s="374">
        <f t="shared" si="25"/>
        <v>0</v>
      </c>
      <c r="V198" s="375">
        <f t="shared" si="25"/>
        <v>2</v>
      </c>
      <c r="W198" s="375">
        <f t="shared" si="25"/>
        <v>0</v>
      </c>
      <c r="X198" s="375">
        <f t="shared" si="25"/>
        <v>0</v>
      </c>
      <c r="Y198" s="375">
        <f t="shared" si="25"/>
        <v>0</v>
      </c>
      <c r="Z198" s="375">
        <f t="shared" si="25"/>
        <v>0</v>
      </c>
      <c r="AA198" s="375">
        <f t="shared" si="25"/>
        <v>3</v>
      </c>
      <c r="AB198" s="375">
        <f t="shared" si="25"/>
        <v>0</v>
      </c>
      <c r="AC198" s="375">
        <f t="shared" si="25"/>
        <v>4</v>
      </c>
      <c r="AD198" s="375">
        <f t="shared" si="25"/>
        <v>0</v>
      </c>
      <c r="AE198" s="375">
        <f t="shared" si="25"/>
        <v>0</v>
      </c>
      <c r="AF198" s="375">
        <f t="shared" si="25"/>
        <v>119</v>
      </c>
      <c r="AG198" s="375">
        <f t="shared" si="25"/>
        <v>0</v>
      </c>
      <c r="AH198" s="335" t="s">
        <v>936</v>
      </c>
    </row>
    <row r="199" spans="1:34" s="68" customFormat="1" ht="18" customHeight="1" x14ac:dyDescent="0.15">
      <c r="A199" s="315">
        <v>394</v>
      </c>
      <c r="B199" s="347" t="s">
        <v>862</v>
      </c>
      <c r="C199" s="304">
        <f t="shared" si="22"/>
        <v>0</v>
      </c>
      <c r="D199" s="304">
        <f t="shared" si="22"/>
        <v>0</v>
      </c>
      <c r="E199" s="304">
        <f t="shared" si="22"/>
        <v>2</v>
      </c>
      <c r="F199" s="304">
        <f t="shared" si="22"/>
        <v>0</v>
      </c>
      <c r="G199" s="304">
        <f t="shared" si="22"/>
        <v>0</v>
      </c>
      <c r="H199" s="304">
        <f t="shared" si="22"/>
        <v>1</v>
      </c>
      <c r="I199" s="304">
        <f t="shared" si="22"/>
        <v>10</v>
      </c>
      <c r="J199" s="304">
        <f t="shared" si="22"/>
        <v>0</v>
      </c>
      <c r="K199" s="304">
        <f t="shared" si="22"/>
        <v>8</v>
      </c>
      <c r="L199" s="306">
        <f t="shared" si="18"/>
        <v>21</v>
      </c>
      <c r="M199" s="348">
        <f t="shared" si="17"/>
        <v>21485</v>
      </c>
      <c r="N199" s="302">
        <f t="shared" si="23"/>
        <v>19</v>
      </c>
      <c r="O199" s="309">
        <f t="shared" si="23"/>
        <v>2</v>
      </c>
      <c r="P199" s="302">
        <f t="shared" si="23"/>
        <v>140</v>
      </c>
      <c r="Q199" s="304">
        <f t="shared" si="23"/>
        <v>0</v>
      </c>
      <c r="R199" s="310">
        <f t="shared" si="24"/>
        <v>140</v>
      </c>
      <c r="S199" s="303">
        <f>S198+R199</f>
        <v>2082</v>
      </c>
      <c r="T199" s="311">
        <f t="shared" si="26"/>
        <v>161</v>
      </c>
      <c r="U199" s="374">
        <f t="shared" si="25"/>
        <v>0</v>
      </c>
      <c r="V199" s="375">
        <f t="shared" si="25"/>
        <v>0</v>
      </c>
      <c r="W199" s="375">
        <f t="shared" si="25"/>
        <v>0</v>
      </c>
      <c r="X199" s="375">
        <f t="shared" si="25"/>
        <v>2</v>
      </c>
      <c r="Y199" s="375">
        <f t="shared" si="25"/>
        <v>0</v>
      </c>
      <c r="Z199" s="375">
        <f t="shared" si="25"/>
        <v>0</v>
      </c>
      <c r="AA199" s="375">
        <f t="shared" si="25"/>
        <v>4</v>
      </c>
      <c r="AB199" s="375">
        <f t="shared" si="25"/>
        <v>1</v>
      </c>
      <c r="AC199" s="375">
        <f t="shared" si="25"/>
        <v>6</v>
      </c>
      <c r="AD199" s="375">
        <f t="shared" si="25"/>
        <v>0</v>
      </c>
      <c r="AE199" s="375">
        <f t="shared" si="25"/>
        <v>8</v>
      </c>
      <c r="AF199" s="375">
        <f t="shared" si="25"/>
        <v>140</v>
      </c>
      <c r="AG199" s="375">
        <f t="shared" si="25"/>
        <v>0</v>
      </c>
      <c r="AH199" s="335" t="s">
        <v>937</v>
      </c>
    </row>
    <row r="200" spans="1:34" s="68" customFormat="1" ht="18" customHeight="1" x14ac:dyDescent="0.15">
      <c r="A200" s="316">
        <f>A198-A199</f>
        <v>-19</v>
      </c>
      <c r="B200" s="347" t="s">
        <v>864</v>
      </c>
      <c r="C200" s="304">
        <f t="shared" si="22"/>
        <v>0</v>
      </c>
      <c r="D200" s="304">
        <f t="shared" si="22"/>
        <v>0</v>
      </c>
      <c r="E200" s="304">
        <f t="shared" si="22"/>
        <v>14</v>
      </c>
      <c r="F200" s="304">
        <f t="shared" si="22"/>
        <v>0</v>
      </c>
      <c r="G200" s="304">
        <f t="shared" si="22"/>
        <v>0</v>
      </c>
      <c r="H200" s="304">
        <f t="shared" si="22"/>
        <v>8</v>
      </c>
      <c r="I200" s="304">
        <f t="shared" si="22"/>
        <v>4</v>
      </c>
      <c r="J200" s="304">
        <f t="shared" si="22"/>
        <v>0</v>
      </c>
      <c r="K200" s="304">
        <f t="shared" si="22"/>
        <v>0</v>
      </c>
      <c r="L200" s="306">
        <f t="shared" si="18"/>
        <v>26</v>
      </c>
      <c r="M200" s="348">
        <f t="shared" si="17"/>
        <v>21511</v>
      </c>
      <c r="N200" s="302">
        <f t="shared" si="23"/>
        <v>12</v>
      </c>
      <c r="O200" s="309">
        <f t="shared" si="23"/>
        <v>14</v>
      </c>
      <c r="P200" s="302">
        <f t="shared" si="23"/>
        <v>131</v>
      </c>
      <c r="Q200" s="304">
        <f t="shared" si="23"/>
        <v>41</v>
      </c>
      <c r="R200" s="310">
        <f t="shared" si="24"/>
        <v>172</v>
      </c>
      <c r="S200" s="303">
        <f>S199+R200</f>
        <v>2254</v>
      </c>
      <c r="T200" s="311">
        <f t="shared" si="26"/>
        <v>198</v>
      </c>
      <c r="U200" s="374">
        <f t="shared" si="25"/>
        <v>2</v>
      </c>
      <c r="V200" s="375">
        <f t="shared" si="25"/>
        <v>8</v>
      </c>
      <c r="W200" s="375">
        <f t="shared" si="25"/>
        <v>6</v>
      </c>
      <c r="X200" s="375">
        <f t="shared" si="25"/>
        <v>0</v>
      </c>
      <c r="Y200" s="375">
        <f t="shared" si="25"/>
        <v>0</v>
      </c>
      <c r="Z200" s="375">
        <f t="shared" si="25"/>
        <v>0</v>
      </c>
      <c r="AA200" s="375">
        <f t="shared" si="25"/>
        <v>0</v>
      </c>
      <c r="AB200" s="375">
        <f t="shared" si="25"/>
        <v>0</v>
      </c>
      <c r="AC200" s="375">
        <f t="shared" si="25"/>
        <v>4</v>
      </c>
      <c r="AD200" s="375">
        <f t="shared" si="25"/>
        <v>6</v>
      </c>
      <c r="AE200" s="375">
        <f t="shared" si="25"/>
        <v>0</v>
      </c>
      <c r="AF200" s="375">
        <f t="shared" si="25"/>
        <v>131</v>
      </c>
      <c r="AG200" s="375">
        <f t="shared" si="25"/>
        <v>41</v>
      </c>
      <c r="AH200" s="335" t="s">
        <v>938</v>
      </c>
    </row>
    <row r="201" spans="1:34" s="68" customFormat="1" ht="18" customHeight="1" x14ac:dyDescent="0.15">
      <c r="A201" s="317"/>
      <c r="B201" s="347" t="s">
        <v>865</v>
      </c>
      <c r="C201" s="304">
        <f t="shared" si="22"/>
        <v>0</v>
      </c>
      <c r="D201" s="304">
        <f t="shared" si="22"/>
        <v>0</v>
      </c>
      <c r="E201" s="304">
        <f t="shared" si="22"/>
        <v>19</v>
      </c>
      <c r="F201" s="304">
        <f t="shared" si="22"/>
        <v>0</v>
      </c>
      <c r="G201" s="304">
        <f t="shared" si="22"/>
        <v>0</v>
      </c>
      <c r="H201" s="304">
        <f t="shared" si="22"/>
        <v>0</v>
      </c>
      <c r="I201" s="304">
        <f t="shared" si="22"/>
        <v>0</v>
      </c>
      <c r="J201" s="304">
        <f t="shared" si="22"/>
        <v>0</v>
      </c>
      <c r="K201" s="304">
        <f t="shared" si="22"/>
        <v>0</v>
      </c>
      <c r="L201" s="306">
        <f t="shared" si="18"/>
        <v>19</v>
      </c>
      <c r="M201" s="348">
        <f t="shared" si="17"/>
        <v>21530</v>
      </c>
      <c r="N201" s="302">
        <f t="shared" si="23"/>
        <v>0</v>
      </c>
      <c r="O201" s="309">
        <f t="shared" si="23"/>
        <v>19</v>
      </c>
      <c r="P201" s="302">
        <f t="shared" si="23"/>
        <v>135</v>
      </c>
      <c r="Q201" s="304">
        <f t="shared" si="23"/>
        <v>0</v>
      </c>
      <c r="R201" s="310">
        <f t="shared" si="24"/>
        <v>135</v>
      </c>
      <c r="S201" s="303">
        <f t="shared" ref="S201:S207" si="27">S200+R201</f>
        <v>2389</v>
      </c>
      <c r="T201" s="311">
        <f t="shared" si="26"/>
        <v>154</v>
      </c>
      <c r="U201" s="374">
        <f t="shared" si="25"/>
        <v>0</v>
      </c>
      <c r="V201" s="375">
        <f t="shared" si="25"/>
        <v>9</v>
      </c>
      <c r="W201" s="375">
        <f t="shared" si="25"/>
        <v>0</v>
      </c>
      <c r="X201" s="375">
        <f t="shared" si="25"/>
        <v>10</v>
      </c>
      <c r="Y201" s="375">
        <f t="shared" si="25"/>
        <v>0</v>
      </c>
      <c r="Z201" s="375">
        <f t="shared" si="25"/>
        <v>0</v>
      </c>
      <c r="AA201" s="375">
        <f t="shared" si="25"/>
        <v>0</v>
      </c>
      <c r="AB201" s="375">
        <f t="shared" si="25"/>
        <v>0</v>
      </c>
      <c r="AC201" s="375">
        <f t="shared" si="25"/>
        <v>0</v>
      </c>
      <c r="AD201" s="375">
        <f t="shared" si="25"/>
        <v>0</v>
      </c>
      <c r="AE201" s="375">
        <f t="shared" si="25"/>
        <v>0</v>
      </c>
      <c r="AF201" s="375">
        <f t="shared" si="25"/>
        <v>135</v>
      </c>
      <c r="AG201" s="375">
        <f t="shared" si="25"/>
        <v>0</v>
      </c>
      <c r="AH201" s="335" t="s">
        <v>939</v>
      </c>
    </row>
    <row r="202" spans="1:34" s="68" customFormat="1" ht="18" customHeight="1" x14ac:dyDescent="0.15">
      <c r="A202" s="300" t="s">
        <v>940</v>
      </c>
      <c r="B202" s="347" t="s">
        <v>866</v>
      </c>
      <c r="C202" s="304">
        <f t="shared" si="22"/>
        <v>0</v>
      </c>
      <c r="D202" s="304">
        <f t="shared" si="22"/>
        <v>0</v>
      </c>
      <c r="E202" s="304">
        <f t="shared" si="22"/>
        <v>27</v>
      </c>
      <c r="F202" s="304">
        <f t="shared" si="22"/>
        <v>0</v>
      </c>
      <c r="G202" s="304">
        <f t="shared" si="22"/>
        <v>0</v>
      </c>
      <c r="H202" s="304">
        <f t="shared" si="22"/>
        <v>4</v>
      </c>
      <c r="I202" s="304">
        <f t="shared" si="22"/>
        <v>0</v>
      </c>
      <c r="J202" s="304">
        <f t="shared" si="22"/>
        <v>0</v>
      </c>
      <c r="K202" s="304">
        <f t="shared" si="22"/>
        <v>0</v>
      </c>
      <c r="L202" s="306">
        <f t="shared" si="18"/>
        <v>31</v>
      </c>
      <c r="M202" s="348">
        <f t="shared" si="17"/>
        <v>21561</v>
      </c>
      <c r="N202" s="302">
        <f t="shared" si="23"/>
        <v>4</v>
      </c>
      <c r="O202" s="309">
        <f t="shared" si="23"/>
        <v>27</v>
      </c>
      <c r="P202" s="302">
        <f t="shared" si="23"/>
        <v>98</v>
      </c>
      <c r="Q202" s="304">
        <f t="shared" si="23"/>
        <v>25</v>
      </c>
      <c r="R202" s="310">
        <f t="shared" si="24"/>
        <v>123</v>
      </c>
      <c r="S202" s="303">
        <f t="shared" si="27"/>
        <v>2512</v>
      </c>
      <c r="T202" s="311">
        <f t="shared" si="26"/>
        <v>154</v>
      </c>
      <c r="U202" s="374">
        <f t="shared" si="25"/>
        <v>4</v>
      </c>
      <c r="V202" s="375">
        <f t="shared" si="25"/>
        <v>10</v>
      </c>
      <c r="W202" s="375">
        <f t="shared" si="25"/>
        <v>0</v>
      </c>
      <c r="X202" s="375">
        <f t="shared" si="25"/>
        <v>10</v>
      </c>
      <c r="Y202" s="375">
        <f t="shared" si="25"/>
        <v>1</v>
      </c>
      <c r="Z202" s="375">
        <f t="shared" si="25"/>
        <v>0</v>
      </c>
      <c r="AA202" s="375">
        <f t="shared" si="25"/>
        <v>0</v>
      </c>
      <c r="AB202" s="375">
        <f t="shared" si="25"/>
        <v>0</v>
      </c>
      <c r="AC202" s="375">
        <f t="shared" si="25"/>
        <v>0</v>
      </c>
      <c r="AD202" s="375">
        <f t="shared" si="25"/>
        <v>6</v>
      </c>
      <c r="AE202" s="375">
        <f t="shared" si="25"/>
        <v>0</v>
      </c>
      <c r="AF202" s="375">
        <f t="shared" si="25"/>
        <v>98</v>
      </c>
      <c r="AG202" s="375">
        <f t="shared" si="25"/>
        <v>25</v>
      </c>
      <c r="AH202" s="335" t="s">
        <v>941</v>
      </c>
    </row>
    <row r="203" spans="1:34" s="68" customFormat="1" ht="18" customHeight="1" x14ac:dyDescent="0.15">
      <c r="A203" s="314">
        <f>SUM(R196:R207)</f>
        <v>1169</v>
      </c>
      <c r="B203" s="347" t="s">
        <v>868</v>
      </c>
      <c r="C203" s="304">
        <f t="shared" si="22"/>
        <v>0</v>
      </c>
      <c r="D203" s="304">
        <f t="shared" si="22"/>
        <v>0</v>
      </c>
      <c r="E203" s="304">
        <f t="shared" si="22"/>
        <v>20</v>
      </c>
      <c r="F203" s="304">
        <f t="shared" si="22"/>
        <v>0</v>
      </c>
      <c r="G203" s="304">
        <f t="shared" si="22"/>
        <v>0</v>
      </c>
      <c r="H203" s="304">
        <f t="shared" si="22"/>
        <v>6</v>
      </c>
      <c r="I203" s="304">
        <f t="shared" si="22"/>
        <v>1</v>
      </c>
      <c r="J203" s="304">
        <f t="shared" si="22"/>
        <v>0</v>
      </c>
      <c r="K203" s="304">
        <f t="shared" si="22"/>
        <v>0</v>
      </c>
      <c r="L203" s="306">
        <f t="shared" si="18"/>
        <v>27</v>
      </c>
      <c r="M203" s="348">
        <f t="shared" si="17"/>
        <v>21588</v>
      </c>
      <c r="N203" s="302">
        <f t="shared" si="23"/>
        <v>7</v>
      </c>
      <c r="O203" s="309">
        <f t="shared" si="23"/>
        <v>20</v>
      </c>
      <c r="P203" s="302">
        <f t="shared" si="23"/>
        <v>95</v>
      </c>
      <c r="Q203" s="304">
        <f t="shared" si="23"/>
        <v>0</v>
      </c>
      <c r="R203" s="310">
        <f t="shared" si="24"/>
        <v>95</v>
      </c>
      <c r="S203" s="303">
        <f t="shared" si="27"/>
        <v>2607</v>
      </c>
      <c r="T203" s="311">
        <f t="shared" si="26"/>
        <v>122</v>
      </c>
      <c r="U203" s="374">
        <f t="shared" si="25"/>
        <v>3</v>
      </c>
      <c r="V203" s="375">
        <f t="shared" si="25"/>
        <v>0</v>
      </c>
      <c r="W203" s="375">
        <f t="shared" si="25"/>
        <v>0</v>
      </c>
      <c r="X203" s="375">
        <f t="shared" si="25"/>
        <v>20</v>
      </c>
      <c r="Y203" s="375">
        <f t="shared" si="25"/>
        <v>0</v>
      </c>
      <c r="Z203" s="375">
        <f t="shared" si="25"/>
        <v>3</v>
      </c>
      <c r="AA203" s="375">
        <f t="shared" si="25"/>
        <v>0</v>
      </c>
      <c r="AB203" s="375">
        <f t="shared" si="25"/>
        <v>0</v>
      </c>
      <c r="AC203" s="375">
        <f t="shared" si="25"/>
        <v>1</v>
      </c>
      <c r="AD203" s="375">
        <f t="shared" si="25"/>
        <v>0</v>
      </c>
      <c r="AE203" s="375">
        <f t="shared" si="25"/>
        <v>0</v>
      </c>
      <c r="AF203" s="375">
        <f t="shared" si="25"/>
        <v>95</v>
      </c>
      <c r="AG203" s="375">
        <f t="shared" si="25"/>
        <v>0</v>
      </c>
      <c r="AH203" s="335" t="s">
        <v>942</v>
      </c>
    </row>
    <row r="204" spans="1:34" s="68" customFormat="1" ht="18" customHeight="1" x14ac:dyDescent="0.15">
      <c r="A204" s="315">
        <v>1027</v>
      </c>
      <c r="B204" s="347" t="s">
        <v>943</v>
      </c>
      <c r="C204" s="304">
        <f t="shared" si="22"/>
        <v>0</v>
      </c>
      <c r="D204" s="304">
        <f t="shared" si="22"/>
        <v>0</v>
      </c>
      <c r="E204" s="304">
        <f t="shared" si="22"/>
        <v>36</v>
      </c>
      <c r="F204" s="304">
        <f t="shared" si="22"/>
        <v>0</v>
      </c>
      <c r="G204" s="304">
        <f t="shared" si="22"/>
        <v>0</v>
      </c>
      <c r="H204" s="304">
        <f t="shared" si="22"/>
        <v>46</v>
      </c>
      <c r="I204" s="304">
        <f t="shared" si="22"/>
        <v>1</v>
      </c>
      <c r="J204" s="304">
        <f t="shared" si="22"/>
        <v>0</v>
      </c>
      <c r="K204" s="304">
        <f t="shared" si="22"/>
        <v>0</v>
      </c>
      <c r="L204" s="306">
        <f t="shared" si="18"/>
        <v>83</v>
      </c>
      <c r="M204" s="348">
        <f t="shared" si="17"/>
        <v>21671</v>
      </c>
      <c r="N204" s="302">
        <f t="shared" si="23"/>
        <v>47</v>
      </c>
      <c r="O204" s="309">
        <f t="shared" si="23"/>
        <v>36</v>
      </c>
      <c r="P204" s="302">
        <f t="shared" si="23"/>
        <v>74</v>
      </c>
      <c r="Q204" s="304">
        <f t="shared" si="23"/>
        <v>0</v>
      </c>
      <c r="R204" s="310">
        <f t="shared" si="24"/>
        <v>74</v>
      </c>
      <c r="S204" s="303">
        <f t="shared" si="27"/>
        <v>2681</v>
      </c>
      <c r="T204" s="311">
        <f t="shared" si="26"/>
        <v>157</v>
      </c>
      <c r="U204" s="374">
        <f t="shared" si="25"/>
        <v>35</v>
      </c>
      <c r="V204" s="375">
        <f t="shared" si="25"/>
        <v>2</v>
      </c>
      <c r="W204" s="375">
        <f t="shared" si="25"/>
        <v>0</v>
      </c>
      <c r="X204" s="375">
        <f t="shared" si="25"/>
        <v>20</v>
      </c>
      <c r="Y204" s="375">
        <f t="shared" si="25"/>
        <v>0</v>
      </c>
      <c r="Z204" s="375">
        <f t="shared" si="25"/>
        <v>11</v>
      </c>
      <c r="AA204" s="375">
        <f t="shared" si="25"/>
        <v>0</v>
      </c>
      <c r="AB204" s="375">
        <f t="shared" si="25"/>
        <v>0</v>
      </c>
      <c r="AC204" s="375">
        <f t="shared" si="25"/>
        <v>1</v>
      </c>
      <c r="AD204" s="375">
        <f t="shared" si="25"/>
        <v>14</v>
      </c>
      <c r="AE204" s="375">
        <f t="shared" si="25"/>
        <v>0</v>
      </c>
      <c r="AF204" s="375">
        <f t="shared" si="25"/>
        <v>74</v>
      </c>
      <c r="AG204" s="375">
        <f t="shared" si="25"/>
        <v>0</v>
      </c>
      <c r="AH204" s="335" t="s">
        <v>944</v>
      </c>
    </row>
    <row r="205" spans="1:34" s="68" customFormat="1" ht="18" customHeight="1" x14ac:dyDescent="0.15">
      <c r="A205" s="316">
        <f>A203-A204</f>
        <v>142</v>
      </c>
      <c r="B205" s="347" t="s">
        <v>870</v>
      </c>
      <c r="C205" s="304">
        <f t="shared" si="22"/>
        <v>0</v>
      </c>
      <c r="D205" s="304">
        <f t="shared" si="22"/>
        <v>0</v>
      </c>
      <c r="E205" s="304">
        <f t="shared" si="22"/>
        <v>37</v>
      </c>
      <c r="F205" s="304">
        <f t="shared" si="22"/>
        <v>0</v>
      </c>
      <c r="G205" s="304">
        <f t="shared" si="22"/>
        <v>0</v>
      </c>
      <c r="H205" s="304">
        <f t="shared" si="22"/>
        <v>0</v>
      </c>
      <c r="I205" s="304">
        <f t="shared" si="22"/>
        <v>0</v>
      </c>
      <c r="J205" s="304">
        <f t="shared" si="22"/>
        <v>0</v>
      </c>
      <c r="K205" s="304">
        <f t="shared" si="22"/>
        <v>0</v>
      </c>
      <c r="L205" s="306">
        <f t="shared" si="18"/>
        <v>37</v>
      </c>
      <c r="M205" s="348">
        <f t="shared" si="17"/>
        <v>21708</v>
      </c>
      <c r="N205" s="302">
        <f t="shared" si="23"/>
        <v>0</v>
      </c>
      <c r="O205" s="309">
        <f t="shared" si="23"/>
        <v>37</v>
      </c>
      <c r="P205" s="302">
        <f t="shared" si="23"/>
        <v>67</v>
      </c>
      <c r="Q205" s="304">
        <f t="shared" si="23"/>
        <v>25</v>
      </c>
      <c r="R205" s="310">
        <f t="shared" si="24"/>
        <v>92</v>
      </c>
      <c r="S205" s="303">
        <f t="shared" si="27"/>
        <v>2773</v>
      </c>
      <c r="T205" s="311">
        <f t="shared" si="26"/>
        <v>129</v>
      </c>
      <c r="U205" s="374">
        <f t="shared" si="25"/>
        <v>0</v>
      </c>
      <c r="V205" s="375">
        <f t="shared" si="25"/>
        <v>15</v>
      </c>
      <c r="W205" s="375">
        <f t="shared" si="25"/>
        <v>0</v>
      </c>
      <c r="X205" s="375">
        <f t="shared" si="25"/>
        <v>20</v>
      </c>
      <c r="Y205" s="375">
        <f t="shared" si="25"/>
        <v>0</v>
      </c>
      <c r="Z205" s="375">
        <f t="shared" si="25"/>
        <v>0</v>
      </c>
      <c r="AA205" s="375">
        <f t="shared" si="25"/>
        <v>0</v>
      </c>
      <c r="AB205" s="375">
        <f t="shared" si="25"/>
        <v>0</v>
      </c>
      <c r="AC205" s="375">
        <f t="shared" si="25"/>
        <v>0</v>
      </c>
      <c r="AD205" s="375">
        <f t="shared" si="25"/>
        <v>2</v>
      </c>
      <c r="AE205" s="375">
        <f t="shared" si="25"/>
        <v>0</v>
      </c>
      <c r="AF205" s="375">
        <f t="shared" si="25"/>
        <v>67</v>
      </c>
      <c r="AG205" s="375">
        <f t="shared" si="25"/>
        <v>25</v>
      </c>
      <c r="AH205" s="335" t="s">
        <v>945</v>
      </c>
    </row>
    <row r="206" spans="1:34" s="68" customFormat="1" ht="18" customHeight="1" x14ac:dyDescent="0.15">
      <c r="A206" s="316"/>
      <c r="B206" s="347" t="s">
        <v>871</v>
      </c>
      <c r="C206" s="304">
        <f t="shared" si="22"/>
        <v>0</v>
      </c>
      <c r="D206" s="304">
        <f t="shared" si="22"/>
        <v>0</v>
      </c>
      <c r="E206" s="304">
        <f t="shared" si="22"/>
        <v>35</v>
      </c>
      <c r="F206" s="304">
        <f t="shared" si="22"/>
        <v>0</v>
      </c>
      <c r="G206" s="304">
        <f t="shared" si="22"/>
        <v>0</v>
      </c>
      <c r="H206" s="304">
        <f t="shared" si="22"/>
        <v>0</v>
      </c>
      <c r="I206" s="304">
        <f t="shared" si="22"/>
        <v>0</v>
      </c>
      <c r="J206" s="304">
        <f t="shared" si="22"/>
        <v>0</v>
      </c>
      <c r="K206" s="304">
        <f t="shared" si="22"/>
        <v>0</v>
      </c>
      <c r="L206" s="306">
        <f t="shared" si="18"/>
        <v>35</v>
      </c>
      <c r="M206" s="348">
        <f t="shared" si="17"/>
        <v>21743</v>
      </c>
      <c r="N206" s="302">
        <f t="shared" si="23"/>
        <v>0</v>
      </c>
      <c r="O206" s="309">
        <f t="shared" si="23"/>
        <v>35</v>
      </c>
      <c r="P206" s="302">
        <f t="shared" si="23"/>
        <v>5</v>
      </c>
      <c r="Q206" s="304">
        <f t="shared" si="23"/>
        <v>0</v>
      </c>
      <c r="R206" s="310">
        <f t="shared" si="24"/>
        <v>5</v>
      </c>
      <c r="S206" s="303">
        <f t="shared" si="27"/>
        <v>2778</v>
      </c>
      <c r="T206" s="311">
        <f t="shared" si="26"/>
        <v>40</v>
      </c>
      <c r="U206" s="374">
        <f t="shared" si="25"/>
        <v>0</v>
      </c>
      <c r="V206" s="375">
        <f t="shared" si="25"/>
        <v>8</v>
      </c>
      <c r="W206" s="375">
        <f t="shared" si="25"/>
        <v>0</v>
      </c>
      <c r="X206" s="375">
        <f t="shared" si="25"/>
        <v>25</v>
      </c>
      <c r="Y206" s="375">
        <f t="shared" si="25"/>
        <v>0</v>
      </c>
      <c r="Z206" s="375">
        <f t="shared" si="25"/>
        <v>0</v>
      </c>
      <c r="AA206" s="375">
        <f t="shared" si="25"/>
        <v>0</v>
      </c>
      <c r="AB206" s="375">
        <f t="shared" si="25"/>
        <v>0</v>
      </c>
      <c r="AC206" s="375">
        <f t="shared" si="25"/>
        <v>0</v>
      </c>
      <c r="AD206" s="375">
        <f t="shared" si="25"/>
        <v>2</v>
      </c>
      <c r="AE206" s="375">
        <f t="shared" si="25"/>
        <v>0</v>
      </c>
      <c r="AF206" s="375">
        <f t="shared" si="25"/>
        <v>5</v>
      </c>
      <c r="AG206" s="375">
        <f t="shared" si="25"/>
        <v>0</v>
      </c>
      <c r="AH206" s="335" t="s">
        <v>946</v>
      </c>
    </row>
    <row r="207" spans="1:34" s="68" customFormat="1" ht="18" customHeight="1" thickBot="1" x14ac:dyDescent="0.2">
      <c r="A207" s="321"/>
      <c r="B207" s="322" t="s">
        <v>872</v>
      </c>
      <c r="C207" s="323">
        <f t="shared" si="22"/>
        <v>0</v>
      </c>
      <c r="D207" s="323">
        <f t="shared" si="22"/>
        <v>0</v>
      </c>
      <c r="E207" s="323">
        <f t="shared" si="22"/>
        <v>35</v>
      </c>
      <c r="F207" s="323">
        <f t="shared" si="22"/>
        <v>0</v>
      </c>
      <c r="G207" s="323">
        <f t="shared" si="22"/>
        <v>0</v>
      </c>
      <c r="H207" s="323">
        <f t="shared" si="22"/>
        <v>0</v>
      </c>
      <c r="I207" s="323">
        <f t="shared" si="22"/>
        <v>0</v>
      </c>
      <c r="J207" s="323">
        <f t="shared" si="22"/>
        <v>0</v>
      </c>
      <c r="K207" s="323">
        <f t="shared" si="22"/>
        <v>0</v>
      </c>
      <c r="L207" s="324">
        <f t="shared" si="18"/>
        <v>35</v>
      </c>
      <c r="M207" s="325">
        <f>M206+L207</f>
        <v>21778</v>
      </c>
      <c r="N207" s="326">
        <f t="shared" si="23"/>
        <v>0</v>
      </c>
      <c r="O207" s="327">
        <f t="shared" si="23"/>
        <v>35</v>
      </c>
      <c r="P207" s="326">
        <f t="shared" si="23"/>
        <v>0</v>
      </c>
      <c r="Q207" s="323">
        <f t="shared" si="23"/>
        <v>0</v>
      </c>
      <c r="R207" s="328">
        <f t="shared" si="24"/>
        <v>0</v>
      </c>
      <c r="S207" s="329">
        <f t="shared" si="27"/>
        <v>2778</v>
      </c>
      <c r="T207" s="330">
        <f t="shared" si="26"/>
        <v>35</v>
      </c>
      <c r="U207" s="376">
        <f t="shared" si="25"/>
        <v>0</v>
      </c>
      <c r="V207" s="377">
        <f t="shared" si="25"/>
        <v>8</v>
      </c>
      <c r="W207" s="377">
        <f t="shared" si="25"/>
        <v>0</v>
      </c>
      <c r="X207" s="377">
        <f t="shared" si="25"/>
        <v>25</v>
      </c>
      <c r="Y207" s="377">
        <f t="shared" si="25"/>
        <v>0</v>
      </c>
      <c r="Z207" s="377">
        <f t="shared" si="25"/>
        <v>0</v>
      </c>
      <c r="AA207" s="377">
        <f t="shared" si="25"/>
        <v>0</v>
      </c>
      <c r="AB207" s="377">
        <f t="shared" si="25"/>
        <v>0</v>
      </c>
      <c r="AC207" s="377">
        <f t="shared" si="25"/>
        <v>0</v>
      </c>
      <c r="AD207" s="377">
        <f t="shared" si="25"/>
        <v>2</v>
      </c>
      <c r="AE207" s="377">
        <f t="shared" si="25"/>
        <v>0</v>
      </c>
      <c r="AF207" s="377">
        <f t="shared" si="25"/>
        <v>0</v>
      </c>
      <c r="AG207" s="377">
        <f t="shared" si="25"/>
        <v>0</v>
      </c>
      <c r="AH207" s="335" t="s">
        <v>947</v>
      </c>
    </row>
    <row r="208" spans="1:34" s="378" customFormat="1" ht="10.5" x14ac:dyDescent="0.15">
      <c r="B208" s="379"/>
      <c r="C208" s="379"/>
      <c r="D208" s="379"/>
      <c r="E208" s="379" t="s">
        <v>948</v>
      </c>
      <c r="F208" s="379" t="s">
        <v>949</v>
      </c>
      <c r="G208" s="379" t="s">
        <v>950</v>
      </c>
      <c r="H208" s="379" t="s">
        <v>951</v>
      </c>
      <c r="I208" s="379" t="s">
        <v>952</v>
      </c>
      <c r="J208" s="379" t="s">
        <v>953</v>
      </c>
      <c r="K208" s="379" t="s">
        <v>954</v>
      </c>
      <c r="L208" s="379"/>
      <c r="M208" s="379"/>
      <c r="N208" s="379"/>
      <c r="O208" s="379"/>
      <c r="P208" s="379" t="s">
        <v>955</v>
      </c>
      <c r="Q208" s="379" t="s">
        <v>956</v>
      </c>
      <c r="R208" s="379"/>
      <c r="S208" s="379"/>
      <c r="T208" s="379"/>
    </row>
    <row r="209" spans="1:35" s="68" customFormat="1" ht="11.25" thickBot="1" x14ac:dyDescent="0.2">
      <c r="B209" s="378">
        <v>1</v>
      </c>
      <c r="C209" s="380">
        <v>2</v>
      </c>
      <c r="D209" s="378">
        <v>3</v>
      </c>
      <c r="E209" s="380">
        <v>4</v>
      </c>
      <c r="F209" s="378">
        <v>5</v>
      </c>
      <c r="G209" s="380">
        <v>6</v>
      </c>
      <c r="H209" s="378">
        <v>7</v>
      </c>
      <c r="I209" s="380">
        <v>8</v>
      </c>
      <c r="J209" s="378">
        <v>9</v>
      </c>
      <c r="K209" s="380">
        <v>10</v>
      </c>
      <c r="L209" s="378">
        <v>11</v>
      </c>
      <c r="M209" s="380">
        <v>12</v>
      </c>
      <c r="N209" s="378">
        <v>13</v>
      </c>
      <c r="O209" s="380">
        <v>14</v>
      </c>
      <c r="P209" s="380">
        <v>15</v>
      </c>
      <c r="Q209" s="380">
        <v>16</v>
      </c>
      <c r="R209" s="378">
        <v>17</v>
      </c>
      <c r="S209" s="380">
        <v>18</v>
      </c>
      <c r="T209" s="378"/>
    </row>
    <row r="210" spans="1:35" s="68" customFormat="1" ht="11.25" thickBot="1" x14ac:dyDescent="0.2">
      <c r="B210" s="62"/>
      <c r="C210" s="381"/>
      <c r="D210" s="382"/>
      <c r="E210" s="382"/>
      <c r="F210" s="382"/>
      <c r="G210" s="382"/>
      <c r="H210" s="382" t="s">
        <v>957</v>
      </c>
      <c r="I210" s="382"/>
      <c r="J210" s="382"/>
      <c r="K210" s="382"/>
      <c r="L210" s="382"/>
      <c r="M210" s="382"/>
      <c r="N210" s="382"/>
      <c r="O210" s="383"/>
      <c r="P210" s="382"/>
      <c r="Q210" s="64" t="s">
        <v>958</v>
      </c>
      <c r="R210" s="384"/>
      <c r="S210" s="385"/>
      <c r="T210" s="378"/>
      <c r="U210" s="386" t="str">
        <f>INDEX([1]V8structure!$AZ:$AZ,MATCH(U211,[1]V8structure!$C:$C,0),1)</f>
        <v>オレンジ</v>
      </c>
      <c r="V210" s="387" t="str">
        <f>INDEX([1]V8structure!$AZ:$AZ,MATCH(V211,[1]V8structure!$C:$C,0),1)</f>
        <v>青</v>
      </c>
      <c r="W210" s="386" t="str">
        <f>INDEX([1]V8structure!$AZ:$AZ,MATCH(W211,[1]V8structure!$C:$C,0),1)</f>
        <v>オレンジ</v>
      </c>
      <c r="X210" s="387" t="str">
        <f>INDEX([1]V8structure!$AZ:$AZ,MATCH(X211,[1]V8structure!$C:$C,0),1)</f>
        <v>青</v>
      </c>
      <c r="Y210" s="387" t="str">
        <f>INDEX([1]V8structure!$AZ:$AZ,MATCH(Y211,[1]V8structure!$C:$C,0),1)</f>
        <v>青</v>
      </c>
      <c r="Z210" s="386" t="str">
        <f>INDEX([1]V8structure!$AZ:$AZ,MATCH(Z211,[1]V8structure!$C:$C,0),1)</f>
        <v>オレンジ</v>
      </c>
      <c r="AA210" s="388" t="str">
        <f>INDEX([1]V8structure!$AZ:$AZ,MATCH(AA211,[1]V8structure!$C:$C,0),1)</f>
        <v>黄</v>
      </c>
      <c r="AB210" s="386" t="str">
        <f>INDEX([1]V8structure!$AZ:$AZ,MATCH(AB211,[1]V8structure!$C:$C,0),1)</f>
        <v>オレンジ</v>
      </c>
      <c r="AC210" s="388" t="str">
        <f>INDEX([1]V8structure!$AZ:$AZ,MATCH(AC211,[1]V8structure!$C:$C,0),1)</f>
        <v>黄</v>
      </c>
      <c r="AD210" s="387" t="str">
        <f>INDEX([1]V8structure!$AZ:$AZ,MATCH(AD211,[1]V8structure!$C:$C,0),1)</f>
        <v>青</v>
      </c>
      <c r="AE210" s="389" t="str">
        <f>INDEX([1]V8structure!$AZ:$AZ,MATCH(AE211,[1]V8structure!$C:$C,0),1)</f>
        <v>紫</v>
      </c>
      <c r="AF210" s="390" t="s">
        <v>955</v>
      </c>
      <c r="AG210" s="391" t="s">
        <v>956</v>
      </c>
    </row>
    <row r="211" spans="1:35" s="392" customFormat="1" ht="105.75" thickBot="1" x14ac:dyDescent="0.2">
      <c r="B211" s="393" t="s">
        <v>841</v>
      </c>
      <c r="C211" s="394" t="s">
        <v>959</v>
      </c>
      <c r="D211" s="394" t="s">
        <v>960</v>
      </c>
      <c r="E211" s="395" t="s">
        <v>961</v>
      </c>
      <c r="F211" s="396" t="s">
        <v>962</v>
      </c>
      <c r="G211" s="397" t="s">
        <v>963</v>
      </c>
      <c r="H211" s="398" t="s">
        <v>964</v>
      </c>
      <c r="I211" s="399" t="s">
        <v>965</v>
      </c>
      <c r="J211" s="400" t="s">
        <v>849</v>
      </c>
      <c r="K211" s="401" t="s">
        <v>966</v>
      </c>
      <c r="L211" s="79" t="s">
        <v>967</v>
      </c>
      <c r="M211" s="402" t="s">
        <v>968</v>
      </c>
      <c r="N211" s="403" t="s">
        <v>969</v>
      </c>
      <c r="O211" s="404" t="s">
        <v>970</v>
      </c>
      <c r="P211" s="83" t="s">
        <v>140</v>
      </c>
      <c r="Q211" s="84" t="s">
        <v>133</v>
      </c>
      <c r="R211" s="85" t="s">
        <v>855</v>
      </c>
      <c r="S211" s="404" t="s">
        <v>856</v>
      </c>
      <c r="T211" s="405" t="s">
        <v>857</v>
      </c>
      <c r="U211" s="88" t="s">
        <v>256</v>
      </c>
      <c r="V211" s="89" t="s">
        <v>154</v>
      </c>
      <c r="W211" s="90" t="s">
        <v>368</v>
      </c>
      <c r="X211" s="91" t="s">
        <v>350</v>
      </c>
      <c r="Y211" s="91" t="s">
        <v>275</v>
      </c>
      <c r="Z211" s="90" t="s">
        <v>395</v>
      </c>
      <c r="AA211" s="92" t="s">
        <v>323</v>
      </c>
      <c r="AB211" s="88" t="s">
        <v>149</v>
      </c>
      <c r="AC211" s="92" t="s">
        <v>199</v>
      </c>
      <c r="AD211" s="91" t="s">
        <v>286</v>
      </c>
      <c r="AE211" s="93" t="s">
        <v>162</v>
      </c>
      <c r="AF211" s="83" t="s">
        <v>140</v>
      </c>
      <c r="AG211" s="84" t="s">
        <v>133</v>
      </c>
      <c r="AH211" s="68"/>
    </row>
    <row r="212" spans="1:35" s="392" customFormat="1" ht="14.25" x14ac:dyDescent="0.15">
      <c r="A212" s="392" t="str">
        <f t="shared" ref="A212:A275" si="28">TEXT(B212,"yy/mm")</f>
        <v>26/03</v>
      </c>
      <c r="B212" s="414">
        <v>46083</v>
      </c>
      <c r="C212" s="415">
        <v>0</v>
      </c>
      <c r="D212" s="415">
        <v>0</v>
      </c>
      <c r="E212" s="415">
        <f>SUMIFS($U212:$AG212,$U$210:$AG$210,E$208)</f>
        <v>0</v>
      </c>
      <c r="F212" s="415">
        <f t="shared" ref="F212:K227" si="29">SUMIFS($U212:$AG212,$U$210:$AG$210,F$208)</f>
        <v>0</v>
      </c>
      <c r="G212" s="415">
        <f t="shared" si="29"/>
        <v>0</v>
      </c>
      <c r="H212" s="415">
        <f t="shared" si="29"/>
        <v>0</v>
      </c>
      <c r="I212" s="415">
        <f t="shared" si="29"/>
        <v>0</v>
      </c>
      <c r="J212" s="415">
        <f t="shared" si="29"/>
        <v>0</v>
      </c>
      <c r="K212" s="415">
        <f t="shared" si="29"/>
        <v>0</v>
      </c>
      <c r="L212" s="416">
        <f>SUM(C212:K212)</f>
        <v>0</v>
      </c>
      <c r="M212" s="417">
        <f>M193+L212</f>
        <v>21375</v>
      </c>
      <c r="N212" s="288">
        <f t="shared" ref="N212:N213" si="30">C212+D212+F212+H212+I212+K212+J212</f>
        <v>0</v>
      </c>
      <c r="O212" s="290">
        <f t="shared" ref="O212:O213" si="31">E212+G212</f>
        <v>0</v>
      </c>
      <c r="P212" s="287">
        <f>SUMIFS($U212:$AG212,$U$210:$AG$210,P$208)</f>
        <v>1</v>
      </c>
      <c r="Q212" s="288">
        <f>SUMIFS($U212:$AG212,$U$210:$AG$210,Q$208)</f>
        <v>0</v>
      </c>
      <c r="R212" s="416">
        <f>SUM(P212:Q212)</f>
        <v>1</v>
      </c>
      <c r="S212" s="418">
        <f>S193+R212</f>
        <v>1528</v>
      </c>
      <c r="T212" s="419">
        <f>L212+R212</f>
        <v>1</v>
      </c>
      <c r="U212" s="420"/>
      <c r="V212" s="415"/>
      <c r="W212" s="415"/>
      <c r="X212" s="415"/>
      <c r="Y212" s="415"/>
      <c r="Z212" s="415"/>
      <c r="AA212" s="415"/>
      <c r="AB212" s="415"/>
      <c r="AC212" s="415"/>
      <c r="AD212" s="415"/>
      <c r="AE212" s="415"/>
      <c r="AF212" s="415">
        <v>1</v>
      </c>
      <c r="AG212" s="415"/>
    </row>
    <row r="213" spans="1:35" s="392" customFormat="1" ht="14.25" x14ac:dyDescent="0.15">
      <c r="A213" s="392" t="str">
        <f t="shared" si="28"/>
        <v>26/03</v>
      </c>
      <c r="B213" s="414">
        <v>46084</v>
      </c>
      <c r="C213" s="415">
        <v>0</v>
      </c>
      <c r="D213" s="415">
        <v>0</v>
      </c>
      <c r="E213" s="415">
        <f t="shared" ref="E213:K228" si="32">SUMIFS($U213:$AG213,$U$210:$AG$210,E$208)</f>
        <v>0</v>
      </c>
      <c r="F213" s="415">
        <f t="shared" si="29"/>
        <v>0</v>
      </c>
      <c r="G213" s="415">
        <f t="shared" si="29"/>
        <v>0</v>
      </c>
      <c r="H213" s="415">
        <f t="shared" si="29"/>
        <v>0</v>
      </c>
      <c r="I213" s="415">
        <f t="shared" si="29"/>
        <v>0</v>
      </c>
      <c r="J213" s="415">
        <f t="shared" si="29"/>
        <v>0</v>
      </c>
      <c r="K213" s="415">
        <f t="shared" si="29"/>
        <v>0</v>
      </c>
      <c r="L213" s="416">
        <f t="shared" ref="L213" si="33">SUM(C213:K213)</f>
        <v>0</v>
      </c>
      <c r="M213" s="417">
        <f t="shared" ref="M213" si="34">M212+L213</f>
        <v>21375</v>
      </c>
      <c r="N213" s="288">
        <f t="shared" si="30"/>
        <v>0</v>
      </c>
      <c r="O213" s="290">
        <f t="shared" si="31"/>
        <v>0</v>
      </c>
      <c r="P213" s="287">
        <f t="shared" ref="P213:Q228" si="35">SUMIFS($U213:$AG213,$U$210:$AG$210,P$208)</f>
        <v>1</v>
      </c>
      <c r="Q213" s="288">
        <f t="shared" si="35"/>
        <v>0</v>
      </c>
      <c r="R213" s="416">
        <f t="shared" ref="R213" si="36">SUM(P213:Q213)</f>
        <v>1</v>
      </c>
      <c r="S213" s="418">
        <f t="shared" ref="S213" si="37">S212+R213</f>
        <v>1529</v>
      </c>
      <c r="T213" s="419">
        <f>L213+R213</f>
        <v>1</v>
      </c>
      <c r="U213" s="420"/>
      <c r="V213" s="415"/>
      <c r="W213" s="415"/>
      <c r="X213" s="415"/>
      <c r="Y213" s="415"/>
      <c r="Z213" s="415"/>
      <c r="AA213" s="415"/>
      <c r="AB213" s="415"/>
      <c r="AC213" s="415"/>
      <c r="AD213" s="415"/>
      <c r="AE213" s="415"/>
      <c r="AF213" s="415">
        <v>1</v>
      </c>
      <c r="AG213" s="415"/>
    </row>
    <row r="214" spans="1:35" ht="14.25" x14ac:dyDescent="0.15">
      <c r="A214" s="392" t="str">
        <f t="shared" si="28"/>
        <v>26/03</v>
      </c>
      <c r="B214" s="414">
        <v>46085</v>
      </c>
      <c r="C214" s="415">
        <v>0</v>
      </c>
      <c r="D214" s="415">
        <v>0</v>
      </c>
      <c r="E214" s="415">
        <f t="shared" si="32"/>
        <v>1</v>
      </c>
      <c r="F214" s="415">
        <f t="shared" si="29"/>
        <v>0</v>
      </c>
      <c r="G214" s="415">
        <f t="shared" si="29"/>
        <v>0</v>
      </c>
      <c r="H214" s="415">
        <f t="shared" si="29"/>
        <v>0</v>
      </c>
      <c r="I214" s="415">
        <f t="shared" si="29"/>
        <v>0</v>
      </c>
      <c r="J214" s="415">
        <f t="shared" si="29"/>
        <v>0</v>
      </c>
      <c r="K214" s="415">
        <f t="shared" si="29"/>
        <v>0</v>
      </c>
      <c r="L214" s="416">
        <f t="shared" ref="L214:L277" si="38">SUM(C214:K214)</f>
        <v>1</v>
      </c>
      <c r="M214" s="417">
        <f t="shared" ref="M214:M277" si="39">M213+L214</f>
        <v>21376</v>
      </c>
      <c r="N214" s="288">
        <f t="shared" ref="N214:N277" si="40">C214+D214+F214+H214+I214+K214+J214</f>
        <v>0</v>
      </c>
      <c r="O214" s="290">
        <f t="shared" ref="O214:O277" si="41">E214+G214</f>
        <v>1</v>
      </c>
      <c r="P214" s="287">
        <f t="shared" si="35"/>
        <v>0</v>
      </c>
      <c r="Q214" s="288">
        <f t="shared" si="35"/>
        <v>0</v>
      </c>
      <c r="R214" s="416">
        <f t="shared" ref="R214:R277" si="42">SUM(P214:Q214)</f>
        <v>0</v>
      </c>
      <c r="S214" s="418">
        <f t="shared" ref="S214:S277" si="43">S213+R214</f>
        <v>1529</v>
      </c>
      <c r="T214" s="419">
        <f t="shared" ref="T214:T277" si="44">L214+R214</f>
        <v>1</v>
      </c>
      <c r="U214" s="420"/>
      <c r="V214" s="415">
        <v>1</v>
      </c>
      <c r="W214" s="415"/>
      <c r="X214" s="415"/>
      <c r="Y214" s="415"/>
      <c r="Z214" s="415"/>
      <c r="AA214" s="415"/>
      <c r="AB214" s="415"/>
      <c r="AC214" s="415"/>
      <c r="AD214" s="415"/>
      <c r="AE214" s="415"/>
      <c r="AF214" s="415"/>
      <c r="AG214" s="415"/>
      <c r="AI214" s="392"/>
    </row>
    <row r="215" spans="1:35" ht="14.25" x14ac:dyDescent="0.15">
      <c r="A215" s="392" t="str">
        <f t="shared" si="28"/>
        <v>26/03</v>
      </c>
      <c r="B215" s="414">
        <v>46086</v>
      </c>
      <c r="C215" s="415">
        <v>0</v>
      </c>
      <c r="D215" s="415">
        <v>0</v>
      </c>
      <c r="E215" s="415">
        <f t="shared" si="32"/>
        <v>1</v>
      </c>
      <c r="F215" s="415">
        <f t="shared" si="29"/>
        <v>0</v>
      </c>
      <c r="G215" s="415">
        <f t="shared" si="29"/>
        <v>0</v>
      </c>
      <c r="H215" s="415">
        <f t="shared" si="29"/>
        <v>0</v>
      </c>
      <c r="I215" s="415">
        <f t="shared" si="29"/>
        <v>0</v>
      </c>
      <c r="J215" s="415">
        <f t="shared" si="29"/>
        <v>0</v>
      </c>
      <c r="K215" s="415">
        <f t="shared" si="29"/>
        <v>0</v>
      </c>
      <c r="L215" s="416">
        <f t="shared" si="38"/>
        <v>1</v>
      </c>
      <c r="M215" s="417">
        <f t="shared" si="39"/>
        <v>21377</v>
      </c>
      <c r="N215" s="288">
        <f t="shared" si="40"/>
        <v>0</v>
      </c>
      <c r="O215" s="290">
        <f t="shared" si="41"/>
        <v>1</v>
      </c>
      <c r="P215" s="287">
        <f t="shared" si="35"/>
        <v>0</v>
      </c>
      <c r="Q215" s="288">
        <f t="shared" si="35"/>
        <v>0</v>
      </c>
      <c r="R215" s="416">
        <f t="shared" si="42"/>
        <v>0</v>
      </c>
      <c r="S215" s="418">
        <f t="shared" si="43"/>
        <v>1529</v>
      </c>
      <c r="T215" s="419">
        <f t="shared" si="44"/>
        <v>1</v>
      </c>
      <c r="U215" s="420"/>
      <c r="V215" s="415">
        <v>1</v>
      </c>
      <c r="W215" s="415"/>
      <c r="X215" s="415"/>
      <c r="Y215" s="415"/>
      <c r="Z215" s="415"/>
      <c r="AA215" s="415"/>
      <c r="AB215" s="415"/>
      <c r="AC215" s="415"/>
      <c r="AD215" s="415"/>
      <c r="AE215" s="415"/>
      <c r="AF215" s="415"/>
      <c r="AG215" s="415"/>
      <c r="AI215" s="392"/>
    </row>
    <row r="216" spans="1:35" ht="14.25" x14ac:dyDescent="0.15">
      <c r="A216" s="392" t="str">
        <f t="shared" si="28"/>
        <v>26/03</v>
      </c>
      <c r="B216" s="414">
        <v>46087</v>
      </c>
      <c r="C216" s="415">
        <v>0</v>
      </c>
      <c r="D216" s="415">
        <v>0</v>
      </c>
      <c r="E216" s="415">
        <f t="shared" si="32"/>
        <v>1</v>
      </c>
      <c r="F216" s="415">
        <f t="shared" si="29"/>
        <v>0</v>
      </c>
      <c r="G216" s="415">
        <f t="shared" si="29"/>
        <v>0</v>
      </c>
      <c r="H216" s="415">
        <f t="shared" si="29"/>
        <v>0</v>
      </c>
      <c r="I216" s="415">
        <f t="shared" si="29"/>
        <v>0</v>
      </c>
      <c r="J216" s="415">
        <f t="shared" si="29"/>
        <v>0</v>
      </c>
      <c r="K216" s="415">
        <f t="shared" si="29"/>
        <v>0</v>
      </c>
      <c r="L216" s="416">
        <f t="shared" si="38"/>
        <v>1</v>
      </c>
      <c r="M216" s="417">
        <f t="shared" si="39"/>
        <v>21378</v>
      </c>
      <c r="N216" s="288">
        <f t="shared" si="40"/>
        <v>0</v>
      </c>
      <c r="O216" s="290">
        <f t="shared" si="41"/>
        <v>1</v>
      </c>
      <c r="P216" s="287">
        <f t="shared" si="35"/>
        <v>0</v>
      </c>
      <c r="Q216" s="288">
        <f t="shared" si="35"/>
        <v>0</v>
      </c>
      <c r="R216" s="416">
        <f t="shared" si="42"/>
        <v>0</v>
      </c>
      <c r="S216" s="418">
        <f t="shared" si="43"/>
        <v>1529</v>
      </c>
      <c r="T216" s="419">
        <f t="shared" si="44"/>
        <v>1</v>
      </c>
      <c r="U216" s="420"/>
      <c r="V216" s="415">
        <v>1</v>
      </c>
      <c r="W216" s="415"/>
      <c r="X216" s="415"/>
      <c r="Y216" s="415"/>
      <c r="Z216" s="415"/>
      <c r="AA216" s="415"/>
      <c r="AB216" s="415"/>
      <c r="AC216" s="415"/>
      <c r="AD216" s="415"/>
      <c r="AE216" s="415"/>
      <c r="AF216" s="415"/>
      <c r="AG216" s="415"/>
      <c r="AI216" s="392"/>
    </row>
    <row r="217" spans="1:35" ht="14.25" x14ac:dyDescent="0.15">
      <c r="A217" s="392" t="str">
        <f t="shared" si="28"/>
        <v>26/03</v>
      </c>
      <c r="B217" s="414">
        <v>46090</v>
      </c>
      <c r="C217" s="415">
        <v>0</v>
      </c>
      <c r="D217" s="415">
        <v>0</v>
      </c>
      <c r="E217" s="415">
        <f t="shared" si="32"/>
        <v>1</v>
      </c>
      <c r="F217" s="415">
        <f t="shared" si="29"/>
        <v>0</v>
      </c>
      <c r="G217" s="415">
        <f t="shared" si="29"/>
        <v>0</v>
      </c>
      <c r="H217" s="415">
        <f t="shared" si="29"/>
        <v>0</v>
      </c>
      <c r="I217" s="415">
        <f t="shared" si="29"/>
        <v>0</v>
      </c>
      <c r="J217" s="415">
        <f t="shared" si="29"/>
        <v>0</v>
      </c>
      <c r="K217" s="415">
        <f t="shared" si="29"/>
        <v>0</v>
      </c>
      <c r="L217" s="416">
        <f t="shared" si="38"/>
        <v>1</v>
      </c>
      <c r="M217" s="417">
        <f t="shared" si="39"/>
        <v>21379</v>
      </c>
      <c r="N217" s="288">
        <f t="shared" si="40"/>
        <v>0</v>
      </c>
      <c r="O217" s="290">
        <f t="shared" si="41"/>
        <v>1</v>
      </c>
      <c r="P217" s="287">
        <f t="shared" si="35"/>
        <v>0</v>
      </c>
      <c r="Q217" s="288">
        <f t="shared" si="35"/>
        <v>0</v>
      </c>
      <c r="R217" s="416">
        <f t="shared" si="42"/>
        <v>0</v>
      </c>
      <c r="S217" s="418">
        <f t="shared" si="43"/>
        <v>1529</v>
      </c>
      <c r="T217" s="419">
        <f t="shared" si="44"/>
        <v>1</v>
      </c>
      <c r="U217" s="420"/>
      <c r="V217" s="415">
        <v>1</v>
      </c>
      <c r="W217" s="415"/>
      <c r="X217" s="415"/>
      <c r="Y217" s="415"/>
      <c r="Z217" s="415"/>
      <c r="AA217" s="415"/>
      <c r="AB217" s="415"/>
      <c r="AC217" s="415"/>
      <c r="AD217" s="415"/>
      <c r="AE217" s="415"/>
      <c r="AF217" s="415"/>
      <c r="AG217" s="415"/>
      <c r="AI217" s="392"/>
    </row>
    <row r="218" spans="1:35" ht="14.25" x14ac:dyDescent="0.15">
      <c r="A218" s="392" t="str">
        <f t="shared" si="28"/>
        <v>26/03</v>
      </c>
      <c r="B218" s="414">
        <v>46091</v>
      </c>
      <c r="C218" s="415">
        <v>0</v>
      </c>
      <c r="D218" s="415">
        <v>0</v>
      </c>
      <c r="E218" s="415">
        <f t="shared" si="32"/>
        <v>1</v>
      </c>
      <c r="F218" s="415">
        <f t="shared" si="29"/>
        <v>0</v>
      </c>
      <c r="G218" s="415">
        <f t="shared" si="29"/>
        <v>0</v>
      </c>
      <c r="H218" s="415">
        <f t="shared" si="29"/>
        <v>0</v>
      </c>
      <c r="I218" s="415">
        <f t="shared" si="29"/>
        <v>0</v>
      </c>
      <c r="J218" s="415">
        <f t="shared" si="29"/>
        <v>0</v>
      </c>
      <c r="K218" s="415">
        <f t="shared" si="29"/>
        <v>0</v>
      </c>
      <c r="L218" s="416">
        <f t="shared" si="38"/>
        <v>1</v>
      </c>
      <c r="M218" s="417">
        <f t="shared" si="39"/>
        <v>21380</v>
      </c>
      <c r="N218" s="288">
        <f t="shared" si="40"/>
        <v>0</v>
      </c>
      <c r="O218" s="290">
        <f t="shared" si="41"/>
        <v>1</v>
      </c>
      <c r="P218" s="287">
        <f t="shared" si="35"/>
        <v>0</v>
      </c>
      <c r="Q218" s="288">
        <f t="shared" si="35"/>
        <v>0</v>
      </c>
      <c r="R218" s="416">
        <f t="shared" si="42"/>
        <v>0</v>
      </c>
      <c r="S218" s="418">
        <f t="shared" si="43"/>
        <v>1529</v>
      </c>
      <c r="T218" s="419">
        <f t="shared" si="44"/>
        <v>1</v>
      </c>
      <c r="U218" s="420"/>
      <c r="V218" s="415">
        <v>1</v>
      </c>
      <c r="W218" s="415"/>
      <c r="X218" s="415"/>
      <c r="Y218" s="415"/>
      <c r="Z218" s="415"/>
      <c r="AA218" s="415"/>
      <c r="AB218" s="415"/>
      <c r="AC218" s="415"/>
      <c r="AD218" s="415"/>
      <c r="AE218" s="415"/>
      <c r="AF218" s="415"/>
      <c r="AG218" s="415"/>
      <c r="AI218" s="392"/>
    </row>
    <row r="219" spans="1:35" ht="14.25" x14ac:dyDescent="0.15">
      <c r="A219" s="392" t="str">
        <f t="shared" si="28"/>
        <v>26/03</v>
      </c>
      <c r="B219" s="414">
        <v>46092</v>
      </c>
      <c r="C219" s="415">
        <v>0</v>
      </c>
      <c r="D219" s="415">
        <v>0</v>
      </c>
      <c r="E219" s="415">
        <f t="shared" si="32"/>
        <v>1</v>
      </c>
      <c r="F219" s="415">
        <f t="shared" si="29"/>
        <v>0</v>
      </c>
      <c r="G219" s="415">
        <f t="shared" si="29"/>
        <v>0</v>
      </c>
      <c r="H219" s="415">
        <f t="shared" si="29"/>
        <v>0</v>
      </c>
      <c r="I219" s="415">
        <f t="shared" si="29"/>
        <v>0</v>
      </c>
      <c r="J219" s="415">
        <f t="shared" si="29"/>
        <v>0</v>
      </c>
      <c r="K219" s="415">
        <f t="shared" si="29"/>
        <v>1</v>
      </c>
      <c r="L219" s="416">
        <f t="shared" si="38"/>
        <v>2</v>
      </c>
      <c r="M219" s="417">
        <f t="shared" si="39"/>
        <v>21382</v>
      </c>
      <c r="N219" s="288">
        <f t="shared" si="40"/>
        <v>1</v>
      </c>
      <c r="O219" s="290">
        <f t="shared" si="41"/>
        <v>1</v>
      </c>
      <c r="P219" s="287">
        <f t="shared" si="35"/>
        <v>0</v>
      </c>
      <c r="Q219" s="288">
        <f t="shared" si="35"/>
        <v>0</v>
      </c>
      <c r="R219" s="416">
        <f t="shared" si="42"/>
        <v>0</v>
      </c>
      <c r="S219" s="418">
        <f t="shared" si="43"/>
        <v>1529</v>
      </c>
      <c r="T219" s="419">
        <f t="shared" si="44"/>
        <v>2</v>
      </c>
      <c r="U219" s="420"/>
      <c r="V219" s="415">
        <v>1</v>
      </c>
      <c r="W219" s="415"/>
      <c r="X219" s="415"/>
      <c r="Y219" s="415"/>
      <c r="Z219" s="415"/>
      <c r="AA219" s="415"/>
      <c r="AB219" s="415"/>
      <c r="AC219" s="415"/>
      <c r="AD219" s="415"/>
      <c r="AE219" s="415">
        <v>1</v>
      </c>
      <c r="AF219" s="415"/>
      <c r="AG219" s="415"/>
      <c r="AI219" s="392"/>
    </row>
    <row r="220" spans="1:35" ht="14.25" x14ac:dyDescent="0.15">
      <c r="A220" s="392" t="str">
        <f t="shared" si="28"/>
        <v>26/03</v>
      </c>
      <c r="B220" s="414">
        <v>46093</v>
      </c>
      <c r="C220" s="415">
        <v>0</v>
      </c>
      <c r="D220" s="415">
        <v>0</v>
      </c>
      <c r="E220" s="415">
        <f t="shared" si="32"/>
        <v>1</v>
      </c>
      <c r="F220" s="415">
        <f t="shared" si="29"/>
        <v>0</v>
      </c>
      <c r="G220" s="415">
        <f t="shared" si="29"/>
        <v>0</v>
      </c>
      <c r="H220" s="415">
        <f t="shared" si="29"/>
        <v>0</v>
      </c>
      <c r="I220" s="415">
        <f t="shared" si="29"/>
        <v>0</v>
      </c>
      <c r="J220" s="415">
        <f t="shared" si="29"/>
        <v>0</v>
      </c>
      <c r="K220" s="415">
        <f t="shared" si="29"/>
        <v>1</v>
      </c>
      <c r="L220" s="416">
        <f t="shared" si="38"/>
        <v>2</v>
      </c>
      <c r="M220" s="417">
        <f t="shared" si="39"/>
        <v>21384</v>
      </c>
      <c r="N220" s="288">
        <f t="shared" si="40"/>
        <v>1</v>
      </c>
      <c r="O220" s="290">
        <f t="shared" si="41"/>
        <v>1</v>
      </c>
      <c r="P220" s="287">
        <f t="shared" si="35"/>
        <v>0</v>
      </c>
      <c r="Q220" s="288">
        <f t="shared" si="35"/>
        <v>0</v>
      </c>
      <c r="R220" s="416">
        <f t="shared" si="42"/>
        <v>0</v>
      </c>
      <c r="S220" s="418">
        <f t="shared" si="43"/>
        <v>1529</v>
      </c>
      <c r="T220" s="419">
        <f t="shared" si="44"/>
        <v>2</v>
      </c>
      <c r="U220" s="420"/>
      <c r="V220" s="415">
        <v>1</v>
      </c>
      <c r="W220" s="415"/>
      <c r="X220" s="415"/>
      <c r="Y220" s="415"/>
      <c r="Z220" s="415"/>
      <c r="AA220" s="415"/>
      <c r="AB220" s="415"/>
      <c r="AC220" s="415"/>
      <c r="AD220" s="415"/>
      <c r="AE220" s="415">
        <v>1</v>
      </c>
      <c r="AF220" s="415"/>
      <c r="AG220" s="415"/>
      <c r="AI220" s="392"/>
    </row>
    <row r="221" spans="1:35" ht="14.25" x14ac:dyDescent="0.15">
      <c r="A221" s="392" t="str">
        <f t="shared" si="28"/>
        <v>26/03</v>
      </c>
      <c r="B221" s="414">
        <v>46097</v>
      </c>
      <c r="C221" s="415">
        <v>0</v>
      </c>
      <c r="D221" s="415">
        <v>0</v>
      </c>
      <c r="E221" s="415">
        <f t="shared" si="32"/>
        <v>0</v>
      </c>
      <c r="F221" s="415">
        <f t="shared" si="29"/>
        <v>0</v>
      </c>
      <c r="G221" s="415">
        <f t="shared" si="29"/>
        <v>0</v>
      </c>
      <c r="H221" s="415">
        <f t="shared" si="29"/>
        <v>0</v>
      </c>
      <c r="I221" s="415">
        <f t="shared" si="29"/>
        <v>0</v>
      </c>
      <c r="J221" s="415">
        <f t="shared" si="29"/>
        <v>0</v>
      </c>
      <c r="K221" s="415">
        <f t="shared" si="29"/>
        <v>1</v>
      </c>
      <c r="L221" s="416">
        <f t="shared" si="38"/>
        <v>1</v>
      </c>
      <c r="M221" s="417">
        <f t="shared" si="39"/>
        <v>21385</v>
      </c>
      <c r="N221" s="288">
        <f t="shared" si="40"/>
        <v>1</v>
      </c>
      <c r="O221" s="290">
        <f t="shared" si="41"/>
        <v>0</v>
      </c>
      <c r="P221" s="287">
        <f t="shared" si="35"/>
        <v>0</v>
      </c>
      <c r="Q221" s="288">
        <f t="shared" si="35"/>
        <v>0</v>
      </c>
      <c r="R221" s="416">
        <f t="shared" si="42"/>
        <v>0</v>
      </c>
      <c r="S221" s="418">
        <f t="shared" si="43"/>
        <v>1529</v>
      </c>
      <c r="T221" s="419">
        <f t="shared" si="44"/>
        <v>1</v>
      </c>
      <c r="U221" s="420"/>
      <c r="V221" s="415"/>
      <c r="W221" s="415"/>
      <c r="X221" s="415"/>
      <c r="Y221" s="415"/>
      <c r="Z221" s="415"/>
      <c r="AA221" s="415"/>
      <c r="AB221" s="415"/>
      <c r="AC221" s="415"/>
      <c r="AD221" s="415"/>
      <c r="AE221" s="415">
        <v>1</v>
      </c>
      <c r="AF221" s="415"/>
      <c r="AG221" s="415"/>
      <c r="AI221" s="392"/>
    </row>
    <row r="222" spans="1:35" ht="14.25" x14ac:dyDescent="0.15">
      <c r="A222" s="392" t="str">
        <f t="shared" si="28"/>
        <v>26/03</v>
      </c>
      <c r="B222" s="414">
        <v>46099</v>
      </c>
      <c r="C222" s="415">
        <v>0</v>
      </c>
      <c r="D222" s="415">
        <v>0</v>
      </c>
      <c r="E222" s="415">
        <f t="shared" si="32"/>
        <v>0</v>
      </c>
      <c r="F222" s="415">
        <f t="shared" si="29"/>
        <v>0</v>
      </c>
      <c r="G222" s="415">
        <f t="shared" si="29"/>
        <v>0</v>
      </c>
      <c r="H222" s="415">
        <f t="shared" si="29"/>
        <v>0</v>
      </c>
      <c r="I222" s="415">
        <f t="shared" si="29"/>
        <v>1</v>
      </c>
      <c r="J222" s="415">
        <f t="shared" si="29"/>
        <v>0</v>
      </c>
      <c r="K222" s="415">
        <f t="shared" si="29"/>
        <v>1</v>
      </c>
      <c r="L222" s="416">
        <f t="shared" si="38"/>
        <v>2</v>
      </c>
      <c r="M222" s="417">
        <f t="shared" si="39"/>
        <v>21387</v>
      </c>
      <c r="N222" s="288">
        <f t="shared" si="40"/>
        <v>2</v>
      </c>
      <c r="O222" s="290">
        <f t="shared" si="41"/>
        <v>0</v>
      </c>
      <c r="P222" s="287">
        <f t="shared" si="35"/>
        <v>0</v>
      </c>
      <c r="Q222" s="288">
        <f t="shared" si="35"/>
        <v>0</v>
      </c>
      <c r="R222" s="416">
        <f t="shared" si="42"/>
        <v>0</v>
      </c>
      <c r="S222" s="418">
        <f t="shared" si="43"/>
        <v>1529</v>
      </c>
      <c r="T222" s="419">
        <f t="shared" si="44"/>
        <v>2</v>
      </c>
      <c r="U222" s="420"/>
      <c r="V222" s="415"/>
      <c r="W222" s="415"/>
      <c r="X222" s="415"/>
      <c r="Y222" s="415"/>
      <c r="Z222" s="415"/>
      <c r="AA222" s="415"/>
      <c r="AB222" s="415"/>
      <c r="AC222" s="415">
        <v>1</v>
      </c>
      <c r="AD222" s="415"/>
      <c r="AE222" s="415">
        <v>1</v>
      </c>
      <c r="AF222" s="415"/>
      <c r="AG222" s="415"/>
      <c r="AI222" s="392"/>
    </row>
    <row r="223" spans="1:35" ht="14.25" x14ac:dyDescent="0.15">
      <c r="A223" s="392" t="str">
        <f t="shared" si="28"/>
        <v>26/03</v>
      </c>
      <c r="B223" s="414">
        <v>46100</v>
      </c>
      <c r="C223" s="415">
        <v>0</v>
      </c>
      <c r="D223" s="415">
        <v>0</v>
      </c>
      <c r="E223" s="415">
        <f t="shared" si="32"/>
        <v>0</v>
      </c>
      <c r="F223" s="415">
        <f t="shared" si="29"/>
        <v>0</v>
      </c>
      <c r="G223" s="415">
        <f t="shared" si="29"/>
        <v>0</v>
      </c>
      <c r="H223" s="415">
        <f t="shared" si="29"/>
        <v>0</v>
      </c>
      <c r="I223" s="415">
        <f t="shared" si="29"/>
        <v>1</v>
      </c>
      <c r="J223" s="415">
        <f t="shared" si="29"/>
        <v>0</v>
      </c>
      <c r="K223" s="415">
        <f t="shared" si="29"/>
        <v>0</v>
      </c>
      <c r="L223" s="416">
        <f t="shared" si="38"/>
        <v>1</v>
      </c>
      <c r="M223" s="417">
        <f t="shared" si="39"/>
        <v>21388</v>
      </c>
      <c r="N223" s="288">
        <f t="shared" si="40"/>
        <v>1</v>
      </c>
      <c r="O223" s="290">
        <f t="shared" si="41"/>
        <v>0</v>
      </c>
      <c r="P223" s="287">
        <f t="shared" si="35"/>
        <v>0</v>
      </c>
      <c r="Q223" s="288">
        <f t="shared" si="35"/>
        <v>0</v>
      </c>
      <c r="R223" s="416">
        <f t="shared" si="42"/>
        <v>0</v>
      </c>
      <c r="S223" s="418">
        <f t="shared" si="43"/>
        <v>1529</v>
      </c>
      <c r="T223" s="419">
        <f t="shared" si="44"/>
        <v>1</v>
      </c>
      <c r="U223" s="420"/>
      <c r="V223" s="415"/>
      <c r="W223" s="415"/>
      <c r="X223" s="415"/>
      <c r="Y223" s="415"/>
      <c r="Z223" s="415"/>
      <c r="AA223" s="415"/>
      <c r="AB223" s="415"/>
      <c r="AC223" s="415">
        <v>1</v>
      </c>
      <c r="AD223" s="415"/>
      <c r="AE223" s="415"/>
      <c r="AF223" s="415"/>
      <c r="AG223" s="415"/>
      <c r="AI223" s="392"/>
    </row>
    <row r="224" spans="1:35" ht="14.25" x14ac:dyDescent="0.15">
      <c r="A224" s="392" t="str">
        <f t="shared" si="28"/>
        <v>26/03</v>
      </c>
      <c r="B224" s="414">
        <v>46104</v>
      </c>
      <c r="C224" s="415">
        <v>0</v>
      </c>
      <c r="D224" s="415">
        <v>0</v>
      </c>
      <c r="E224" s="415">
        <f t="shared" si="32"/>
        <v>0</v>
      </c>
      <c r="F224" s="415">
        <f t="shared" si="29"/>
        <v>0</v>
      </c>
      <c r="G224" s="415">
        <f t="shared" si="29"/>
        <v>0</v>
      </c>
      <c r="H224" s="415">
        <f t="shared" si="29"/>
        <v>0</v>
      </c>
      <c r="I224" s="415">
        <f t="shared" si="29"/>
        <v>1</v>
      </c>
      <c r="J224" s="415">
        <f t="shared" si="29"/>
        <v>0</v>
      </c>
      <c r="K224" s="415">
        <f t="shared" si="29"/>
        <v>0</v>
      </c>
      <c r="L224" s="416">
        <f t="shared" si="38"/>
        <v>1</v>
      </c>
      <c r="M224" s="417">
        <f t="shared" si="39"/>
        <v>21389</v>
      </c>
      <c r="N224" s="288">
        <f t="shared" si="40"/>
        <v>1</v>
      </c>
      <c r="O224" s="290">
        <f t="shared" si="41"/>
        <v>0</v>
      </c>
      <c r="P224" s="287">
        <f t="shared" si="35"/>
        <v>3</v>
      </c>
      <c r="Q224" s="288">
        <f t="shared" si="35"/>
        <v>0</v>
      </c>
      <c r="R224" s="416">
        <f t="shared" si="42"/>
        <v>3</v>
      </c>
      <c r="S224" s="418">
        <f t="shared" si="43"/>
        <v>1532</v>
      </c>
      <c r="T224" s="419">
        <f t="shared" si="44"/>
        <v>4</v>
      </c>
      <c r="U224" s="420"/>
      <c r="V224" s="415"/>
      <c r="W224" s="415"/>
      <c r="X224" s="415"/>
      <c r="Y224" s="415"/>
      <c r="Z224" s="415"/>
      <c r="AA224" s="415"/>
      <c r="AB224" s="415"/>
      <c r="AC224" s="415">
        <v>1</v>
      </c>
      <c r="AD224" s="415"/>
      <c r="AE224" s="415"/>
      <c r="AF224" s="415">
        <v>3</v>
      </c>
      <c r="AG224" s="415"/>
      <c r="AI224" s="392"/>
    </row>
    <row r="225" spans="1:35" ht="14.25" x14ac:dyDescent="0.15">
      <c r="A225" s="392" t="str">
        <f t="shared" si="28"/>
        <v>26/03</v>
      </c>
      <c r="B225" s="414">
        <v>46105</v>
      </c>
      <c r="C225" s="415">
        <v>0</v>
      </c>
      <c r="D225" s="415">
        <v>0</v>
      </c>
      <c r="E225" s="415">
        <f t="shared" si="32"/>
        <v>0</v>
      </c>
      <c r="F225" s="415">
        <f t="shared" si="29"/>
        <v>0</v>
      </c>
      <c r="G225" s="415">
        <f t="shared" si="29"/>
        <v>0</v>
      </c>
      <c r="H225" s="415">
        <f t="shared" si="29"/>
        <v>0</v>
      </c>
      <c r="I225" s="415">
        <f t="shared" si="29"/>
        <v>1</v>
      </c>
      <c r="J225" s="415">
        <f t="shared" si="29"/>
        <v>0</v>
      </c>
      <c r="K225" s="415">
        <f t="shared" si="29"/>
        <v>0</v>
      </c>
      <c r="L225" s="416">
        <f t="shared" si="38"/>
        <v>1</v>
      </c>
      <c r="M225" s="417">
        <f t="shared" si="39"/>
        <v>21390</v>
      </c>
      <c r="N225" s="288">
        <f t="shared" si="40"/>
        <v>1</v>
      </c>
      <c r="O225" s="290">
        <f t="shared" si="41"/>
        <v>0</v>
      </c>
      <c r="P225" s="287">
        <f t="shared" si="35"/>
        <v>3</v>
      </c>
      <c r="Q225" s="288">
        <f t="shared" si="35"/>
        <v>0</v>
      </c>
      <c r="R225" s="416">
        <f t="shared" si="42"/>
        <v>3</v>
      </c>
      <c r="S225" s="418">
        <f t="shared" si="43"/>
        <v>1535</v>
      </c>
      <c r="T225" s="419">
        <f t="shared" si="44"/>
        <v>4</v>
      </c>
      <c r="U225" s="420"/>
      <c r="V225" s="415"/>
      <c r="W225" s="415"/>
      <c r="X225" s="415"/>
      <c r="Y225" s="415"/>
      <c r="Z225" s="415"/>
      <c r="AA225" s="415"/>
      <c r="AB225" s="415"/>
      <c r="AC225" s="415">
        <v>1</v>
      </c>
      <c r="AD225" s="415"/>
      <c r="AE225" s="415"/>
      <c r="AF225" s="415">
        <v>3</v>
      </c>
      <c r="AG225" s="415"/>
      <c r="AI225" s="392"/>
    </row>
    <row r="226" spans="1:35" ht="14.25" x14ac:dyDescent="0.15">
      <c r="A226" s="392" t="str">
        <f t="shared" si="28"/>
        <v>26/03</v>
      </c>
      <c r="B226" s="414">
        <v>46106</v>
      </c>
      <c r="C226" s="415">
        <v>0</v>
      </c>
      <c r="D226" s="415">
        <v>0</v>
      </c>
      <c r="E226" s="415">
        <f t="shared" si="32"/>
        <v>0</v>
      </c>
      <c r="F226" s="415">
        <f t="shared" si="29"/>
        <v>0</v>
      </c>
      <c r="G226" s="415">
        <f t="shared" si="29"/>
        <v>0</v>
      </c>
      <c r="H226" s="415">
        <f t="shared" si="29"/>
        <v>0</v>
      </c>
      <c r="I226" s="415">
        <f t="shared" si="29"/>
        <v>1</v>
      </c>
      <c r="J226" s="415">
        <f t="shared" si="29"/>
        <v>0</v>
      </c>
      <c r="K226" s="415">
        <f t="shared" si="29"/>
        <v>0</v>
      </c>
      <c r="L226" s="416">
        <f t="shared" si="38"/>
        <v>1</v>
      </c>
      <c r="M226" s="417">
        <f t="shared" si="39"/>
        <v>21391</v>
      </c>
      <c r="N226" s="288">
        <f t="shared" si="40"/>
        <v>1</v>
      </c>
      <c r="O226" s="290">
        <f t="shared" si="41"/>
        <v>0</v>
      </c>
      <c r="P226" s="287">
        <f t="shared" si="35"/>
        <v>2</v>
      </c>
      <c r="Q226" s="288">
        <f t="shared" si="35"/>
        <v>0</v>
      </c>
      <c r="R226" s="416">
        <f t="shared" si="42"/>
        <v>2</v>
      </c>
      <c r="S226" s="418">
        <f t="shared" si="43"/>
        <v>1537</v>
      </c>
      <c r="T226" s="419">
        <f t="shared" si="44"/>
        <v>3</v>
      </c>
      <c r="U226" s="420"/>
      <c r="V226" s="415"/>
      <c r="W226" s="415"/>
      <c r="X226" s="415"/>
      <c r="Y226" s="415"/>
      <c r="Z226" s="415"/>
      <c r="AA226" s="415"/>
      <c r="AB226" s="415"/>
      <c r="AC226" s="415">
        <v>1</v>
      </c>
      <c r="AD226" s="415"/>
      <c r="AE226" s="415"/>
      <c r="AF226" s="415">
        <v>2</v>
      </c>
      <c r="AG226" s="415"/>
      <c r="AI226" s="392"/>
    </row>
    <row r="227" spans="1:35" ht="14.25" x14ac:dyDescent="0.15">
      <c r="A227" s="392" t="str">
        <f t="shared" si="28"/>
        <v>26/03</v>
      </c>
      <c r="B227" s="414">
        <v>46107</v>
      </c>
      <c r="C227" s="415">
        <v>0</v>
      </c>
      <c r="D227" s="415">
        <v>0</v>
      </c>
      <c r="E227" s="415">
        <f t="shared" si="32"/>
        <v>0</v>
      </c>
      <c r="F227" s="415">
        <f t="shared" si="29"/>
        <v>0</v>
      </c>
      <c r="G227" s="415">
        <f t="shared" si="29"/>
        <v>0</v>
      </c>
      <c r="H227" s="415">
        <f t="shared" si="29"/>
        <v>0</v>
      </c>
      <c r="I227" s="415">
        <f t="shared" si="29"/>
        <v>0</v>
      </c>
      <c r="J227" s="415">
        <f t="shared" si="29"/>
        <v>0</v>
      </c>
      <c r="K227" s="415">
        <f t="shared" si="29"/>
        <v>0</v>
      </c>
      <c r="L227" s="416">
        <f t="shared" si="38"/>
        <v>0</v>
      </c>
      <c r="M227" s="417">
        <f t="shared" si="39"/>
        <v>21391</v>
      </c>
      <c r="N227" s="288">
        <f t="shared" si="40"/>
        <v>0</v>
      </c>
      <c r="O227" s="290">
        <f t="shared" si="41"/>
        <v>0</v>
      </c>
      <c r="P227" s="287">
        <f t="shared" si="35"/>
        <v>2</v>
      </c>
      <c r="Q227" s="288">
        <f t="shared" si="35"/>
        <v>0</v>
      </c>
      <c r="R227" s="416">
        <f t="shared" si="42"/>
        <v>2</v>
      </c>
      <c r="S227" s="418">
        <f t="shared" si="43"/>
        <v>1539</v>
      </c>
      <c r="T227" s="419">
        <f t="shared" si="44"/>
        <v>2</v>
      </c>
      <c r="U227" s="420"/>
      <c r="V227" s="415"/>
      <c r="W227" s="415"/>
      <c r="X227" s="415"/>
      <c r="Y227" s="415"/>
      <c r="Z227" s="415"/>
      <c r="AA227" s="415"/>
      <c r="AB227" s="415"/>
      <c r="AC227" s="415"/>
      <c r="AD227" s="415"/>
      <c r="AE227" s="415"/>
      <c r="AF227" s="415">
        <v>2</v>
      </c>
      <c r="AG227" s="415"/>
      <c r="AI227" s="392"/>
    </row>
    <row r="228" spans="1:35" ht="15" thickBot="1" x14ac:dyDescent="0.2">
      <c r="A228" s="392" t="str">
        <f t="shared" si="28"/>
        <v>26/03</v>
      </c>
      <c r="B228" s="423">
        <v>46112</v>
      </c>
      <c r="C228" s="424">
        <v>0</v>
      </c>
      <c r="D228" s="424">
        <v>0</v>
      </c>
      <c r="E228" s="424">
        <f t="shared" si="32"/>
        <v>0</v>
      </c>
      <c r="F228" s="424">
        <f t="shared" si="32"/>
        <v>0</v>
      </c>
      <c r="G228" s="424">
        <f t="shared" si="32"/>
        <v>0</v>
      </c>
      <c r="H228" s="424">
        <f t="shared" si="32"/>
        <v>0</v>
      </c>
      <c r="I228" s="424">
        <f t="shared" si="32"/>
        <v>0</v>
      </c>
      <c r="J228" s="424">
        <f t="shared" si="32"/>
        <v>0</v>
      </c>
      <c r="K228" s="424">
        <f t="shared" si="32"/>
        <v>0</v>
      </c>
      <c r="L228" s="425">
        <f t="shared" si="38"/>
        <v>0</v>
      </c>
      <c r="M228" s="426">
        <f t="shared" si="39"/>
        <v>21391</v>
      </c>
      <c r="N228" s="427">
        <f t="shared" si="40"/>
        <v>0</v>
      </c>
      <c r="O228" s="428">
        <f t="shared" si="41"/>
        <v>0</v>
      </c>
      <c r="P228" s="429">
        <f t="shared" si="35"/>
        <v>2</v>
      </c>
      <c r="Q228" s="427">
        <f t="shared" si="35"/>
        <v>0</v>
      </c>
      <c r="R228" s="425">
        <f t="shared" si="42"/>
        <v>2</v>
      </c>
      <c r="S228" s="430">
        <f t="shared" si="43"/>
        <v>1541</v>
      </c>
      <c r="T228" s="431">
        <f t="shared" si="44"/>
        <v>2</v>
      </c>
      <c r="U228" s="432"/>
      <c r="V228" s="424"/>
      <c r="W228" s="424"/>
      <c r="X228" s="424"/>
      <c r="Y228" s="424"/>
      <c r="Z228" s="424"/>
      <c r="AA228" s="424"/>
      <c r="AB228" s="424"/>
      <c r="AC228" s="424"/>
      <c r="AD228" s="424"/>
      <c r="AE228" s="424"/>
      <c r="AF228" s="424">
        <v>2</v>
      </c>
      <c r="AG228" s="424"/>
      <c r="AI228" s="392"/>
    </row>
    <row r="229" spans="1:35" ht="15" thickTop="1" x14ac:dyDescent="0.15">
      <c r="A229" s="392" t="str">
        <f t="shared" si="28"/>
        <v>26/04</v>
      </c>
      <c r="B229" s="414">
        <v>46113</v>
      </c>
      <c r="C229" s="415">
        <v>0</v>
      </c>
      <c r="D229" s="415">
        <v>0</v>
      </c>
      <c r="E229" s="415">
        <f t="shared" ref="E229:K292" si="45">SUMIFS($U229:$AG229,$U$210:$AG$210,E$208)</f>
        <v>0</v>
      </c>
      <c r="F229" s="415">
        <f t="shared" si="45"/>
        <v>0</v>
      </c>
      <c r="G229" s="415">
        <f t="shared" si="45"/>
        <v>0</v>
      </c>
      <c r="H229" s="415">
        <f t="shared" si="45"/>
        <v>0</v>
      </c>
      <c r="I229" s="415">
        <f t="shared" si="45"/>
        <v>0</v>
      </c>
      <c r="J229" s="415">
        <f t="shared" si="45"/>
        <v>0</v>
      </c>
      <c r="K229" s="415">
        <f t="shared" si="45"/>
        <v>0</v>
      </c>
      <c r="L229" s="416">
        <f t="shared" si="38"/>
        <v>0</v>
      </c>
      <c r="M229" s="417">
        <f t="shared" si="39"/>
        <v>21391</v>
      </c>
      <c r="N229" s="288">
        <f t="shared" si="40"/>
        <v>0</v>
      </c>
      <c r="O229" s="290">
        <f t="shared" si="41"/>
        <v>0</v>
      </c>
      <c r="P229" s="287">
        <f t="shared" ref="P229:Q292" si="46">SUMIFS($U229:$AG229,$U$210:$AG$210,P$208)</f>
        <v>3</v>
      </c>
      <c r="Q229" s="288">
        <f t="shared" si="46"/>
        <v>0</v>
      </c>
      <c r="R229" s="416">
        <f t="shared" si="42"/>
        <v>3</v>
      </c>
      <c r="S229" s="418">
        <f t="shared" si="43"/>
        <v>1544</v>
      </c>
      <c r="T229" s="419">
        <f t="shared" si="44"/>
        <v>3</v>
      </c>
      <c r="U229" s="420"/>
      <c r="V229" s="415"/>
      <c r="W229" s="415"/>
      <c r="X229" s="415"/>
      <c r="Y229" s="415"/>
      <c r="Z229" s="415"/>
      <c r="AA229" s="415"/>
      <c r="AB229" s="415"/>
      <c r="AC229" s="415"/>
      <c r="AD229" s="415"/>
      <c r="AE229" s="415"/>
      <c r="AF229" s="415">
        <v>3</v>
      </c>
      <c r="AG229" s="415"/>
      <c r="AI229" s="392"/>
    </row>
    <row r="230" spans="1:35" ht="14.25" x14ac:dyDescent="0.15">
      <c r="A230" s="392" t="str">
        <f t="shared" si="28"/>
        <v>26/04</v>
      </c>
      <c r="B230" s="414">
        <v>46114</v>
      </c>
      <c r="C230" s="415">
        <v>0</v>
      </c>
      <c r="D230" s="415">
        <v>0</v>
      </c>
      <c r="E230" s="415">
        <f t="shared" si="45"/>
        <v>0</v>
      </c>
      <c r="F230" s="415">
        <f t="shared" si="45"/>
        <v>0</v>
      </c>
      <c r="G230" s="415">
        <f t="shared" si="45"/>
        <v>0</v>
      </c>
      <c r="H230" s="415">
        <f t="shared" si="45"/>
        <v>0</v>
      </c>
      <c r="I230" s="415">
        <f t="shared" si="45"/>
        <v>0</v>
      </c>
      <c r="J230" s="415">
        <f t="shared" si="45"/>
        <v>0</v>
      </c>
      <c r="K230" s="415">
        <f t="shared" si="45"/>
        <v>1</v>
      </c>
      <c r="L230" s="416">
        <f t="shared" si="38"/>
        <v>1</v>
      </c>
      <c r="M230" s="417">
        <f t="shared" si="39"/>
        <v>21392</v>
      </c>
      <c r="N230" s="288">
        <f t="shared" si="40"/>
        <v>1</v>
      </c>
      <c r="O230" s="290">
        <f t="shared" si="41"/>
        <v>0</v>
      </c>
      <c r="P230" s="287">
        <f t="shared" si="46"/>
        <v>3</v>
      </c>
      <c r="Q230" s="288">
        <f t="shared" si="46"/>
        <v>0</v>
      </c>
      <c r="R230" s="416">
        <f t="shared" si="42"/>
        <v>3</v>
      </c>
      <c r="S230" s="418">
        <f t="shared" si="43"/>
        <v>1547</v>
      </c>
      <c r="T230" s="419">
        <f t="shared" si="44"/>
        <v>4</v>
      </c>
      <c r="U230" s="420"/>
      <c r="V230" s="415"/>
      <c r="W230" s="415"/>
      <c r="X230" s="415"/>
      <c r="Y230" s="415"/>
      <c r="Z230" s="415"/>
      <c r="AA230" s="415"/>
      <c r="AB230" s="415"/>
      <c r="AC230" s="415"/>
      <c r="AD230" s="415"/>
      <c r="AE230" s="415">
        <v>1</v>
      </c>
      <c r="AF230" s="415">
        <v>3</v>
      </c>
      <c r="AG230" s="415"/>
      <c r="AI230" s="392"/>
    </row>
    <row r="231" spans="1:35" ht="14.25" x14ac:dyDescent="0.15">
      <c r="A231" s="392" t="str">
        <f t="shared" si="28"/>
        <v>26/04</v>
      </c>
      <c r="B231" s="414">
        <v>46115</v>
      </c>
      <c r="C231" s="415">
        <v>0</v>
      </c>
      <c r="D231" s="415">
        <v>0</v>
      </c>
      <c r="E231" s="415">
        <f t="shared" si="45"/>
        <v>0</v>
      </c>
      <c r="F231" s="415">
        <f t="shared" si="45"/>
        <v>0</v>
      </c>
      <c r="G231" s="415">
        <f t="shared" si="45"/>
        <v>0</v>
      </c>
      <c r="H231" s="415">
        <f t="shared" si="45"/>
        <v>0</v>
      </c>
      <c r="I231" s="415">
        <f t="shared" si="45"/>
        <v>0</v>
      </c>
      <c r="J231" s="415">
        <f t="shared" si="45"/>
        <v>0</v>
      </c>
      <c r="K231" s="415">
        <f t="shared" si="45"/>
        <v>1</v>
      </c>
      <c r="L231" s="416">
        <f t="shared" si="38"/>
        <v>1</v>
      </c>
      <c r="M231" s="417">
        <f t="shared" si="39"/>
        <v>21393</v>
      </c>
      <c r="N231" s="288">
        <f t="shared" si="40"/>
        <v>1</v>
      </c>
      <c r="O231" s="290">
        <f t="shared" si="41"/>
        <v>0</v>
      </c>
      <c r="P231" s="287">
        <f t="shared" si="46"/>
        <v>2</v>
      </c>
      <c r="Q231" s="288">
        <f t="shared" si="46"/>
        <v>0</v>
      </c>
      <c r="R231" s="416">
        <f t="shared" si="42"/>
        <v>2</v>
      </c>
      <c r="S231" s="418">
        <f t="shared" si="43"/>
        <v>1549</v>
      </c>
      <c r="T231" s="419">
        <f t="shared" si="44"/>
        <v>3</v>
      </c>
      <c r="U231" s="420"/>
      <c r="V231" s="415"/>
      <c r="W231" s="415"/>
      <c r="X231" s="415"/>
      <c r="Y231" s="415"/>
      <c r="Z231" s="415"/>
      <c r="AA231" s="415"/>
      <c r="AB231" s="415"/>
      <c r="AC231" s="415"/>
      <c r="AD231" s="415"/>
      <c r="AE231" s="415">
        <v>1</v>
      </c>
      <c r="AF231" s="415">
        <v>2</v>
      </c>
      <c r="AG231" s="415"/>
      <c r="AI231" s="392"/>
    </row>
    <row r="232" spans="1:35" ht="14.25" x14ac:dyDescent="0.15">
      <c r="A232" s="392" t="str">
        <f t="shared" si="28"/>
        <v>26/04</v>
      </c>
      <c r="B232" s="414">
        <v>46118</v>
      </c>
      <c r="C232" s="415">
        <v>0</v>
      </c>
      <c r="D232" s="415">
        <v>0</v>
      </c>
      <c r="E232" s="415">
        <f t="shared" si="45"/>
        <v>0</v>
      </c>
      <c r="F232" s="415">
        <f t="shared" si="45"/>
        <v>0</v>
      </c>
      <c r="G232" s="415">
        <f t="shared" si="45"/>
        <v>0</v>
      </c>
      <c r="H232" s="415">
        <f t="shared" si="45"/>
        <v>0</v>
      </c>
      <c r="I232" s="415">
        <f t="shared" si="45"/>
        <v>0</v>
      </c>
      <c r="J232" s="415">
        <f t="shared" si="45"/>
        <v>0</v>
      </c>
      <c r="K232" s="415">
        <f t="shared" si="45"/>
        <v>1</v>
      </c>
      <c r="L232" s="416">
        <f t="shared" si="38"/>
        <v>1</v>
      </c>
      <c r="M232" s="417">
        <f t="shared" si="39"/>
        <v>21394</v>
      </c>
      <c r="N232" s="288">
        <f t="shared" si="40"/>
        <v>1</v>
      </c>
      <c r="O232" s="290">
        <f t="shared" si="41"/>
        <v>0</v>
      </c>
      <c r="P232" s="287">
        <f t="shared" si="46"/>
        <v>2</v>
      </c>
      <c r="Q232" s="288">
        <f t="shared" si="46"/>
        <v>0</v>
      </c>
      <c r="R232" s="416">
        <f t="shared" si="42"/>
        <v>2</v>
      </c>
      <c r="S232" s="418">
        <f t="shared" si="43"/>
        <v>1551</v>
      </c>
      <c r="T232" s="419">
        <f t="shared" si="44"/>
        <v>3</v>
      </c>
      <c r="U232" s="420"/>
      <c r="V232" s="415"/>
      <c r="W232" s="415"/>
      <c r="X232" s="415"/>
      <c r="Y232" s="415"/>
      <c r="Z232" s="415"/>
      <c r="AA232" s="415"/>
      <c r="AB232" s="415"/>
      <c r="AC232" s="415"/>
      <c r="AD232" s="415"/>
      <c r="AE232" s="415">
        <v>1</v>
      </c>
      <c r="AF232" s="415">
        <v>2</v>
      </c>
      <c r="AG232" s="415"/>
      <c r="AI232" s="392"/>
    </row>
    <row r="233" spans="1:35" ht="14.25" x14ac:dyDescent="0.15">
      <c r="A233" s="392" t="str">
        <f t="shared" si="28"/>
        <v>26/04</v>
      </c>
      <c r="B233" s="414">
        <v>46119</v>
      </c>
      <c r="C233" s="415">
        <v>0</v>
      </c>
      <c r="D233" s="415">
        <v>0</v>
      </c>
      <c r="E233" s="415">
        <f t="shared" si="45"/>
        <v>0</v>
      </c>
      <c r="F233" s="415">
        <f t="shared" si="45"/>
        <v>0</v>
      </c>
      <c r="G233" s="415">
        <f t="shared" si="45"/>
        <v>0</v>
      </c>
      <c r="H233" s="415">
        <f t="shared" si="45"/>
        <v>0</v>
      </c>
      <c r="I233" s="415">
        <f t="shared" si="45"/>
        <v>0</v>
      </c>
      <c r="J233" s="415">
        <f t="shared" si="45"/>
        <v>0</v>
      </c>
      <c r="K233" s="415">
        <f t="shared" si="45"/>
        <v>0</v>
      </c>
      <c r="L233" s="416">
        <f t="shared" si="38"/>
        <v>0</v>
      </c>
      <c r="M233" s="417">
        <f t="shared" si="39"/>
        <v>21394</v>
      </c>
      <c r="N233" s="288">
        <f t="shared" si="40"/>
        <v>0</v>
      </c>
      <c r="O233" s="290">
        <f t="shared" si="41"/>
        <v>0</v>
      </c>
      <c r="P233" s="287">
        <f t="shared" si="46"/>
        <v>2</v>
      </c>
      <c r="Q233" s="288">
        <f t="shared" si="46"/>
        <v>0</v>
      </c>
      <c r="R233" s="416">
        <f t="shared" si="42"/>
        <v>2</v>
      </c>
      <c r="S233" s="418">
        <f t="shared" si="43"/>
        <v>1553</v>
      </c>
      <c r="T233" s="419">
        <f t="shared" si="44"/>
        <v>2</v>
      </c>
      <c r="U233" s="420"/>
      <c r="V233" s="415"/>
      <c r="W233" s="415"/>
      <c r="X233" s="415"/>
      <c r="Y233" s="415"/>
      <c r="Z233" s="415"/>
      <c r="AA233" s="415"/>
      <c r="AB233" s="415"/>
      <c r="AC233" s="415"/>
      <c r="AD233" s="415"/>
      <c r="AE233" s="415"/>
      <c r="AF233" s="415">
        <v>2</v>
      </c>
      <c r="AG233" s="415"/>
      <c r="AI233" s="392"/>
    </row>
    <row r="234" spans="1:35" ht="14.25" x14ac:dyDescent="0.15">
      <c r="A234" s="392" t="str">
        <f t="shared" si="28"/>
        <v>26/04</v>
      </c>
      <c r="B234" s="414">
        <v>46120</v>
      </c>
      <c r="C234" s="415">
        <v>0</v>
      </c>
      <c r="D234" s="415">
        <v>0</v>
      </c>
      <c r="E234" s="415">
        <f t="shared" si="45"/>
        <v>0</v>
      </c>
      <c r="F234" s="415">
        <f t="shared" si="45"/>
        <v>0</v>
      </c>
      <c r="G234" s="415">
        <f t="shared" si="45"/>
        <v>0</v>
      </c>
      <c r="H234" s="415">
        <f t="shared" si="45"/>
        <v>0</v>
      </c>
      <c r="I234" s="415">
        <f t="shared" si="45"/>
        <v>0</v>
      </c>
      <c r="J234" s="415">
        <f t="shared" si="45"/>
        <v>0</v>
      </c>
      <c r="K234" s="415">
        <f t="shared" si="45"/>
        <v>0</v>
      </c>
      <c r="L234" s="416">
        <f t="shared" si="38"/>
        <v>0</v>
      </c>
      <c r="M234" s="417">
        <f t="shared" si="39"/>
        <v>21394</v>
      </c>
      <c r="N234" s="288">
        <f t="shared" si="40"/>
        <v>0</v>
      </c>
      <c r="O234" s="290">
        <f t="shared" si="41"/>
        <v>0</v>
      </c>
      <c r="P234" s="287">
        <f t="shared" si="46"/>
        <v>3</v>
      </c>
      <c r="Q234" s="288">
        <f t="shared" si="46"/>
        <v>0</v>
      </c>
      <c r="R234" s="416">
        <f t="shared" si="42"/>
        <v>3</v>
      </c>
      <c r="S234" s="418">
        <f t="shared" si="43"/>
        <v>1556</v>
      </c>
      <c r="T234" s="419">
        <f t="shared" si="44"/>
        <v>3</v>
      </c>
      <c r="U234" s="420"/>
      <c r="V234" s="415"/>
      <c r="W234" s="415"/>
      <c r="X234" s="415"/>
      <c r="Y234" s="415"/>
      <c r="Z234" s="415"/>
      <c r="AA234" s="415"/>
      <c r="AB234" s="415"/>
      <c r="AC234" s="415"/>
      <c r="AD234" s="415"/>
      <c r="AE234" s="415"/>
      <c r="AF234" s="415">
        <v>3</v>
      </c>
      <c r="AG234" s="415"/>
      <c r="AI234" s="392"/>
    </row>
    <row r="235" spans="1:35" ht="14.25" x14ac:dyDescent="0.15">
      <c r="A235" s="392" t="str">
        <f t="shared" si="28"/>
        <v>26/04</v>
      </c>
      <c r="B235" s="414">
        <v>46121</v>
      </c>
      <c r="C235" s="415">
        <v>0</v>
      </c>
      <c r="D235" s="415">
        <v>0</v>
      </c>
      <c r="E235" s="415">
        <f t="shared" si="45"/>
        <v>0</v>
      </c>
      <c r="F235" s="415">
        <f t="shared" si="45"/>
        <v>0</v>
      </c>
      <c r="G235" s="415">
        <f t="shared" si="45"/>
        <v>0</v>
      </c>
      <c r="H235" s="415">
        <f t="shared" si="45"/>
        <v>0</v>
      </c>
      <c r="I235" s="415">
        <f t="shared" si="45"/>
        <v>0</v>
      </c>
      <c r="J235" s="415">
        <f t="shared" si="45"/>
        <v>0</v>
      </c>
      <c r="K235" s="415">
        <f t="shared" si="45"/>
        <v>0</v>
      </c>
      <c r="L235" s="416">
        <f t="shared" si="38"/>
        <v>0</v>
      </c>
      <c r="M235" s="417">
        <f t="shared" si="39"/>
        <v>21394</v>
      </c>
      <c r="N235" s="288">
        <f t="shared" si="40"/>
        <v>0</v>
      </c>
      <c r="O235" s="290">
        <f t="shared" si="41"/>
        <v>0</v>
      </c>
      <c r="P235" s="287">
        <f t="shared" si="46"/>
        <v>2</v>
      </c>
      <c r="Q235" s="288">
        <f t="shared" si="46"/>
        <v>0</v>
      </c>
      <c r="R235" s="416">
        <f t="shared" si="42"/>
        <v>2</v>
      </c>
      <c r="S235" s="418">
        <f t="shared" si="43"/>
        <v>1558</v>
      </c>
      <c r="T235" s="419">
        <f t="shared" si="44"/>
        <v>2</v>
      </c>
      <c r="U235" s="420"/>
      <c r="V235" s="415"/>
      <c r="W235" s="415"/>
      <c r="X235" s="415"/>
      <c r="Y235" s="415"/>
      <c r="Z235" s="415"/>
      <c r="AA235" s="415"/>
      <c r="AB235" s="415"/>
      <c r="AC235" s="415"/>
      <c r="AD235" s="415"/>
      <c r="AE235" s="415"/>
      <c r="AF235" s="415">
        <v>2</v>
      </c>
      <c r="AG235" s="415"/>
      <c r="AI235" s="392"/>
    </row>
    <row r="236" spans="1:35" ht="14.25" x14ac:dyDescent="0.15">
      <c r="A236" s="392" t="str">
        <f t="shared" si="28"/>
        <v>26/04</v>
      </c>
      <c r="B236" s="414">
        <v>46122</v>
      </c>
      <c r="C236" s="415">
        <v>0</v>
      </c>
      <c r="D236" s="415">
        <v>0</v>
      </c>
      <c r="E236" s="415">
        <f t="shared" si="45"/>
        <v>0</v>
      </c>
      <c r="F236" s="415">
        <f t="shared" si="45"/>
        <v>0</v>
      </c>
      <c r="G236" s="415">
        <f t="shared" si="45"/>
        <v>0</v>
      </c>
      <c r="H236" s="415">
        <f t="shared" si="45"/>
        <v>0</v>
      </c>
      <c r="I236" s="415">
        <f t="shared" si="45"/>
        <v>0</v>
      </c>
      <c r="J236" s="415">
        <f t="shared" si="45"/>
        <v>0</v>
      </c>
      <c r="K236" s="415">
        <f t="shared" si="45"/>
        <v>0</v>
      </c>
      <c r="L236" s="416">
        <f t="shared" si="38"/>
        <v>0</v>
      </c>
      <c r="M236" s="417">
        <f t="shared" si="39"/>
        <v>21394</v>
      </c>
      <c r="N236" s="288">
        <f t="shared" si="40"/>
        <v>0</v>
      </c>
      <c r="O236" s="290">
        <f t="shared" si="41"/>
        <v>0</v>
      </c>
      <c r="P236" s="287">
        <f t="shared" si="46"/>
        <v>2</v>
      </c>
      <c r="Q236" s="288">
        <f t="shared" si="46"/>
        <v>0</v>
      </c>
      <c r="R236" s="416">
        <f t="shared" si="42"/>
        <v>2</v>
      </c>
      <c r="S236" s="418">
        <f t="shared" si="43"/>
        <v>1560</v>
      </c>
      <c r="T236" s="419">
        <f t="shared" si="44"/>
        <v>2</v>
      </c>
      <c r="U236" s="420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>
        <v>2</v>
      </c>
      <c r="AG236" s="415"/>
      <c r="AI236" s="392"/>
    </row>
    <row r="237" spans="1:35" ht="14.25" x14ac:dyDescent="0.15">
      <c r="A237" s="392" t="str">
        <f t="shared" si="28"/>
        <v>26/04</v>
      </c>
      <c r="B237" s="414">
        <v>46125</v>
      </c>
      <c r="C237" s="415">
        <v>0</v>
      </c>
      <c r="D237" s="415">
        <v>0</v>
      </c>
      <c r="E237" s="415">
        <f t="shared" si="45"/>
        <v>0</v>
      </c>
      <c r="F237" s="415">
        <f t="shared" si="45"/>
        <v>0</v>
      </c>
      <c r="G237" s="415">
        <f t="shared" si="45"/>
        <v>0</v>
      </c>
      <c r="H237" s="415">
        <f t="shared" si="45"/>
        <v>0</v>
      </c>
      <c r="I237" s="415">
        <f t="shared" si="45"/>
        <v>0</v>
      </c>
      <c r="J237" s="415">
        <f t="shared" si="45"/>
        <v>0</v>
      </c>
      <c r="K237" s="415">
        <f t="shared" si="45"/>
        <v>0</v>
      </c>
      <c r="L237" s="416">
        <f t="shared" si="38"/>
        <v>0</v>
      </c>
      <c r="M237" s="417">
        <f t="shared" si="39"/>
        <v>21394</v>
      </c>
      <c r="N237" s="288">
        <f t="shared" si="40"/>
        <v>0</v>
      </c>
      <c r="O237" s="290">
        <f t="shared" si="41"/>
        <v>0</v>
      </c>
      <c r="P237" s="287">
        <f t="shared" si="46"/>
        <v>2</v>
      </c>
      <c r="Q237" s="288">
        <f t="shared" si="46"/>
        <v>0</v>
      </c>
      <c r="R237" s="416">
        <f t="shared" si="42"/>
        <v>2</v>
      </c>
      <c r="S237" s="418">
        <f t="shared" si="43"/>
        <v>1562</v>
      </c>
      <c r="T237" s="419">
        <f t="shared" si="44"/>
        <v>2</v>
      </c>
      <c r="U237" s="420"/>
      <c r="V237" s="415"/>
      <c r="W237" s="415"/>
      <c r="X237" s="415"/>
      <c r="Y237" s="415"/>
      <c r="Z237" s="415"/>
      <c r="AA237" s="415"/>
      <c r="AB237" s="415"/>
      <c r="AC237" s="415"/>
      <c r="AD237" s="415"/>
      <c r="AE237" s="415"/>
      <c r="AF237" s="415">
        <v>2</v>
      </c>
      <c r="AG237" s="415"/>
      <c r="AI237" s="392"/>
    </row>
    <row r="238" spans="1:35" ht="14.25" x14ac:dyDescent="0.15">
      <c r="A238" s="392" t="str">
        <f t="shared" si="28"/>
        <v>26/04</v>
      </c>
      <c r="B238" s="414">
        <v>46126</v>
      </c>
      <c r="C238" s="415">
        <v>0</v>
      </c>
      <c r="D238" s="415">
        <v>0</v>
      </c>
      <c r="E238" s="415">
        <f t="shared" si="45"/>
        <v>0</v>
      </c>
      <c r="F238" s="415">
        <f t="shared" si="45"/>
        <v>0</v>
      </c>
      <c r="G238" s="415">
        <f t="shared" si="45"/>
        <v>0</v>
      </c>
      <c r="H238" s="415">
        <f t="shared" si="45"/>
        <v>0</v>
      </c>
      <c r="I238" s="415">
        <f t="shared" si="45"/>
        <v>0</v>
      </c>
      <c r="J238" s="415">
        <f t="shared" si="45"/>
        <v>0</v>
      </c>
      <c r="K238" s="415">
        <f t="shared" si="45"/>
        <v>0</v>
      </c>
      <c r="L238" s="416">
        <f t="shared" si="38"/>
        <v>0</v>
      </c>
      <c r="M238" s="417">
        <f t="shared" si="39"/>
        <v>21394</v>
      </c>
      <c r="N238" s="288">
        <f t="shared" si="40"/>
        <v>0</v>
      </c>
      <c r="O238" s="290">
        <f t="shared" si="41"/>
        <v>0</v>
      </c>
      <c r="P238" s="287">
        <f t="shared" si="46"/>
        <v>2</v>
      </c>
      <c r="Q238" s="288">
        <f t="shared" si="46"/>
        <v>0</v>
      </c>
      <c r="R238" s="416">
        <f t="shared" si="42"/>
        <v>2</v>
      </c>
      <c r="S238" s="418">
        <f t="shared" si="43"/>
        <v>1564</v>
      </c>
      <c r="T238" s="419">
        <f t="shared" si="44"/>
        <v>2</v>
      </c>
      <c r="U238" s="420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  <c r="AF238" s="415">
        <v>2</v>
      </c>
      <c r="AG238" s="415"/>
      <c r="AI238" s="392"/>
    </row>
    <row r="239" spans="1:35" ht="14.25" x14ac:dyDescent="0.15">
      <c r="A239" s="392" t="str">
        <f t="shared" si="28"/>
        <v>26/04</v>
      </c>
      <c r="B239" s="414">
        <v>46127</v>
      </c>
      <c r="C239" s="415">
        <v>0</v>
      </c>
      <c r="D239" s="415">
        <v>0</v>
      </c>
      <c r="E239" s="415">
        <f t="shared" si="45"/>
        <v>0</v>
      </c>
      <c r="F239" s="415">
        <f t="shared" si="45"/>
        <v>0</v>
      </c>
      <c r="G239" s="415">
        <f t="shared" si="45"/>
        <v>0</v>
      </c>
      <c r="H239" s="415">
        <f t="shared" si="45"/>
        <v>0</v>
      </c>
      <c r="I239" s="415">
        <f t="shared" si="45"/>
        <v>0</v>
      </c>
      <c r="J239" s="415">
        <f t="shared" si="45"/>
        <v>0</v>
      </c>
      <c r="K239" s="415">
        <f t="shared" si="45"/>
        <v>1</v>
      </c>
      <c r="L239" s="416">
        <f t="shared" si="38"/>
        <v>1</v>
      </c>
      <c r="M239" s="417">
        <f t="shared" si="39"/>
        <v>21395</v>
      </c>
      <c r="N239" s="288">
        <f t="shared" si="40"/>
        <v>1</v>
      </c>
      <c r="O239" s="290">
        <f t="shared" si="41"/>
        <v>0</v>
      </c>
      <c r="P239" s="287">
        <f t="shared" si="46"/>
        <v>3</v>
      </c>
      <c r="Q239" s="288">
        <f t="shared" si="46"/>
        <v>0</v>
      </c>
      <c r="R239" s="416">
        <f t="shared" si="42"/>
        <v>3</v>
      </c>
      <c r="S239" s="418">
        <f t="shared" si="43"/>
        <v>1567</v>
      </c>
      <c r="T239" s="419">
        <f t="shared" si="44"/>
        <v>4</v>
      </c>
      <c r="U239" s="420"/>
      <c r="V239" s="415"/>
      <c r="W239" s="415"/>
      <c r="X239" s="415"/>
      <c r="Y239" s="415"/>
      <c r="Z239" s="415"/>
      <c r="AA239" s="415"/>
      <c r="AB239" s="415"/>
      <c r="AC239" s="415"/>
      <c r="AD239" s="415"/>
      <c r="AE239" s="415">
        <v>1</v>
      </c>
      <c r="AF239" s="415">
        <v>3</v>
      </c>
      <c r="AG239" s="415"/>
      <c r="AI239" s="392"/>
    </row>
    <row r="240" spans="1:35" ht="14.25" x14ac:dyDescent="0.15">
      <c r="A240" s="392" t="str">
        <f t="shared" si="28"/>
        <v>26/04</v>
      </c>
      <c r="B240" s="414">
        <v>46128</v>
      </c>
      <c r="C240" s="415">
        <v>0</v>
      </c>
      <c r="D240" s="415">
        <v>0</v>
      </c>
      <c r="E240" s="415">
        <f t="shared" si="45"/>
        <v>0</v>
      </c>
      <c r="F240" s="415">
        <f t="shared" si="45"/>
        <v>0</v>
      </c>
      <c r="G240" s="415">
        <f t="shared" si="45"/>
        <v>0</v>
      </c>
      <c r="H240" s="415">
        <f t="shared" si="45"/>
        <v>0</v>
      </c>
      <c r="I240" s="415">
        <f t="shared" si="45"/>
        <v>1</v>
      </c>
      <c r="J240" s="415">
        <f t="shared" si="45"/>
        <v>0</v>
      </c>
      <c r="K240" s="415">
        <f t="shared" si="45"/>
        <v>0</v>
      </c>
      <c r="L240" s="416">
        <f t="shared" si="38"/>
        <v>1</v>
      </c>
      <c r="M240" s="417">
        <f t="shared" si="39"/>
        <v>21396</v>
      </c>
      <c r="N240" s="288">
        <f t="shared" si="40"/>
        <v>1</v>
      </c>
      <c r="O240" s="290">
        <f t="shared" si="41"/>
        <v>0</v>
      </c>
      <c r="P240" s="287">
        <f t="shared" si="46"/>
        <v>3</v>
      </c>
      <c r="Q240" s="288">
        <f t="shared" si="46"/>
        <v>0</v>
      </c>
      <c r="R240" s="416">
        <f t="shared" si="42"/>
        <v>3</v>
      </c>
      <c r="S240" s="418">
        <f t="shared" si="43"/>
        <v>1570</v>
      </c>
      <c r="T240" s="419">
        <f t="shared" si="44"/>
        <v>4</v>
      </c>
      <c r="U240" s="420"/>
      <c r="V240" s="415"/>
      <c r="W240" s="415"/>
      <c r="X240" s="415"/>
      <c r="Y240" s="415"/>
      <c r="Z240" s="415"/>
      <c r="AA240" s="415"/>
      <c r="AB240" s="415"/>
      <c r="AC240" s="415">
        <v>1</v>
      </c>
      <c r="AD240" s="415"/>
      <c r="AE240" s="415"/>
      <c r="AF240" s="415">
        <v>3</v>
      </c>
      <c r="AG240" s="415"/>
      <c r="AI240" s="392"/>
    </row>
    <row r="241" spans="1:35" ht="14.25" x14ac:dyDescent="0.15">
      <c r="A241" s="392" t="str">
        <f t="shared" si="28"/>
        <v>26/04</v>
      </c>
      <c r="B241" s="414">
        <v>46129</v>
      </c>
      <c r="C241" s="415">
        <v>0</v>
      </c>
      <c r="D241" s="415">
        <v>0</v>
      </c>
      <c r="E241" s="415">
        <f t="shared" si="45"/>
        <v>0</v>
      </c>
      <c r="F241" s="415">
        <f t="shared" si="45"/>
        <v>0</v>
      </c>
      <c r="G241" s="415">
        <f t="shared" si="45"/>
        <v>0</v>
      </c>
      <c r="H241" s="415">
        <f t="shared" si="45"/>
        <v>0</v>
      </c>
      <c r="I241" s="415">
        <f t="shared" si="45"/>
        <v>1</v>
      </c>
      <c r="J241" s="415">
        <f t="shared" si="45"/>
        <v>0</v>
      </c>
      <c r="K241" s="415">
        <f t="shared" si="45"/>
        <v>1</v>
      </c>
      <c r="L241" s="416">
        <f t="shared" si="38"/>
        <v>2</v>
      </c>
      <c r="M241" s="417">
        <f t="shared" si="39"/>
        <v>21398</v>
      </c>
      <c r="N241" s="288">
        <f t="shared" si="40"/>
        <v>2</v>
      </c>
      <c r="O241" s="290">
        <f t="shared" si="41"/>
        <v>0</v>
      </c>
      <c r="P241" s="287">
        <f t="shared" si="46"/>
        <v>3</v>
      </c>
      <c r="Q241" s="288">
        <f t="shared" si="46"/>
        <v>0</v>
      </c>
      <c r="R241" s="416">
        <f t="shared" si="42"/>
        <v>3</v>
      </c>
      <c r="S241" s="418">
        <f t="shared" si="43"/>
        <v>1573</v>
      </c>
      <c r="T241" s="419">
        <f t="shared" si="44"/>
        <v>5</v>
      </c>
      <c r="U241" s="420"/>
      <c r="V241" s="415"/>
      <c r="W241" s="415"/>
      <c r="X241" s="415"/>
      <c r="Y241" s="415"/>
      <c r="Z241" s="415"/>
      <c r="AA241" s="415"/>
      <c r="AB241" s="415"/>
      <c r="AC241" s="415">
        <v>1</v>
      </c>
      <c r="AD241" s="415"/>
      <c r="AE241" s="415">
        <v>1</v>
      </c>
      <c r="AF241" s="415">
        <v>3</v>
      </c>
      <c r="AG241" s="415"/>
      <c r="AI241" s="392"/>
    </row>
    <row r="242" spans="1:35" ht="14.25" x14ac:dyDescent="0.15">
      <c r="A242" s="392" t="str">
        <f t="shared" si="28"/>
        <v>26/04</v>
      </c>
      <c r="B242" s="414">
        <v>46132</v>
      </c>
      <c r="C242" s="415">
        <v>0</v>
      </c>
      <c r="D242" s="415">
        <v>0</v>
      </c>
      <c r="E242" s="415">
        <f t="shared" si="45"/>
        <v>0</v>
      </c>
      <c r="F242" s="415">
        <f t="shared" si="45"/>
        <v>0</v>
      </c>
      <c r="G242" s="415">
        <f t="shared" si="45"/>
        <v>0</v>
      </c>
      <c r="H242" s="415">
        <f t="shared" si="45"/>
        <v>0</v>
      </c>
      <c r="I242" s="415">
        <f t="shared" si="45"/>
        <v>3</v>
      </c>
      <c r="J242" s="415">
        <f t="shared" si="45"/>
        <v>0</v>
      </c>
      <c r="K242" s="415">
        <f t="shared" si="45"/>
        <v>0</v>
      </c>
      <c r="L242" s="416">
        <f t="shared" si="38"/>
        <v>3</v>
      </c>
      <c r="M242" s="417">
        <f t="shared" si="39"/>
        <v>21401</v>
      </c>
      <c r="N242" s="288">
        <f t="shared" si="40"/>
        <v>3</v>
      </c>
      <c r="O242" s="290">
        <f t="shared" si="41"/>
        <v>0</v>
      </c>
      <c r="P242" s="287">
        <f t="shared" si="46"/>
        <v>2</v>
      </c>
      <c r="Q242" s="288">
        <f t="shared" si="46"/>
        <v>0</v>
      </c>
      <c r="R242" s="416">
        <f t="shared" si="42"/>
        <v>2</v>
      </c>
      <c r="S242" s="418">
        <f t="shared" si="43"/>
        <v>1575</v>
      </c>
      <c r="T242" s="419">
        <f t="shared" si="44"/>
        <v>5</v>
      </c>
      <c r="U242" s="420"/>
      <c r="V242" s="415"/>
      <c r="W242" s="415"/>
      <c r="X242" s="415"/>
      <c r="Y242" s="415"/>
      <c r="Z242" s="415"/>
      <c r="AA242" s="415"/>
      <c r="AB242" s="415"/>
      <c r="AC242" s="415">
        <v>3</v>
      </c>
      <c r="AD242" s="415"/>
      <c r="AE242" s="415"/>
      <c r="AF242" s="415">
        <v>2</v>
      </c>
      <c r="AG242" s="415"/>
      <c r="AI242" s="392"/>
    </row>
    <row r="243" spans="1:35" ht="14.25" x14ac:dyDescent="0.15">
      <c r="A243" s="392" t="str">
        <f t="shared" si="28"/>
        <v>26/04</v>
      </c>
      <c r="B243" s="414">
        <v>46133</v>
      </c>
      <c r="C243" s="415">
        <v>0</v>
      </c>
      <c r="D243" s="415">
        <v>0</v>
      </c>
      <c r="E243" s="415">
        <f t="shared" si="45"/>
        <v>0</v>
      </c>
      <c r="F243" s="415">
        <f t="shared" si="45"/>
        <v>0</v>
      </c>
      <c r="G243" s="415">
        <f t="shared" si="45"/>
        <v>0</v>
      </c>
      <c r="H243" s="415">
        <f t="shared" si="45"/>
        <v>0</v>
      </c>
      <c r="I243" s="415">
        <f t="shared" si="45"/>
        <v>1</v>
      </c>
      <c r="J243" s="415">
        <f t="shared" si="45"/>
        <v>0</v>
      </c>
      <c r="K243" s="415">
        <f t="shared" si="45"/>
        <v>0</v>
      </c>
      <c r="L243" s="416">
        <f t="shared" si="38"/>
        <v>1</v>
      </c>
      <c r="M243" s="417">
        <f t="shared" si="39"/>
        <v>21402</v>
      </c>
      <c r="N243" s="288">
        <f t="shared" si="40"/>
        <v>1</v>
      </c>
      <c r="O243" s="290">
        <f t="shared" si="41"/>
        <v>0</v>
      </c>
      <c r="P243" s="287">
        <f t="shared" si="46"/>
        <v>6</v>
      </c>
      <c r="Q243" s="288">
        <f t="shared" si="46"/>
        <v>0</v>
      </c>
      <c r="R243" s="416">
        <f t="shared" si="42"/>
        <v>6</v>
      </c>
      <c r="S243" s="418">
        <f t="shared" si="43"/>
        <v>1581</v>
      </c>
      <c r="T243" s="419">
        <f t="shared" si="44"/>
        <v>7</v>
      </c>
      <c r="U243" s="420"/>
      <c r="V243" s="415"/>
      <c r="W243" s="415"/>
      <c r="X243" s="415"/>
      <c r="Y243" s="415"/>
      <c r="Z243" s="415"/>
      <c r="AA243" s="415"/>
      <c r="AB243" s="415"/>
      <c r="AC243" s="415">
        <v>1</v>
      </c>
      <c r="AD243" s="415"/>
      <c r="AE243" s="415"/>
      <c r="AF243" s="415">
        <v>6</v>
      </c>
      <c r="AG243" s="415"/>
      <c r="AI243" s="392"/>
    </row>
    <row r="244" spans="1:35" ht="14.25" x14ac:dyDescent="0.15">
      <c r="A244" s="392" t="str">
        <f t="shared" si="28"/>
        <v>26/04</v>
      </c>
      <c r="B244" s="414">
        <v>46134</v>
      </c>
      <c r="C244" s="415">
        <v>0</v>
      </c>
      <c r="D244" s="415">
        <v>0</v>
      </c>
      <c r="E244" s="415">
        <f t="shared" si="45"/>
        <v>0</v>
      </c>
      <c r="F244" s="415">
        <f t="shared" si="45"/>
        <v>0</v>
      </c>
      <c r="G244" s="415">
        <f t="shared" si="45"/>
        <v>0</v>
      </c>
      <c r="H244" s="415">
        <f t="shared" si="45"/>
        <v>0</v>
      </c>
      <c r="I244" s="415">
        <f t="shared" si="45"/>
        <v>0</v>
      </c>
      <c r="J244" s="415">
        <f t="shared" si="45"/>
        <v>0</v>
      </c>
      <c r="K244" s="415">
        <f t="shared" si="45"/>
        <v>0</v>
      </c>
      <c r="L244" s="416">
        <f t="shared" si="38"/>
        <v>0</v>
      </c>
      <c r="M244" s="417">
        <f t="shared" si="39"/>
        <v>21402</v>
      </c>
      <c r="N244" s="288">
        <f t="shared" si="40"/>
        <v>0</v>
      </c>
      <c r="O244" s="290">
        <f t="shared" si="41"/>
        <v>0</v>
      </c>
      <c r="P244" s="287">
        <f t="shared" si="46"/>
        <v>6</v>
      </c>
      <c r="Q244" s="288">
        <f t="shared" si="46"/>
        <v>0</v>
      </c>
      <c r="R244" s="416">
        <f t="shared" si="42"/>
        <v>6</v>
      </c>
      <c r="S244" s="418">
        <f t="shared" si="43"/>
        <v>1587</v>
      </c>
      <c r="T244" s="419">
        <f t="shared" si="44"/>
        <v>6</v>
      </c>
      <c r="U244" s="420"/>
      <c r="V244" s="415"/>
      <c r="W244" s="415"/>
      <c r="X244" s="415"/>
      <c r="Y244" s="415"/>
      <c r="Z244" s="415"/>
      <c r="AA244" s="415"/>
      <c r="AB244" s="415"/>
      <c r="AC244" s="415"/>
      <c r="AD244" s="415"/>
      <c r="AE244" s="415"/>
      <c r="AF244" s="415">
        <v>6</v>
      </c>
      <c r="AG244" s="415"/>
      <c r="AI244" s="392"/>
    </row>
    <row r="245" spans="1:35" ht="14.25" x14ac:dyDescent="0.15">
      <c r="A245" s="392" t="str">
        <f t="shared" si="28"/>
        <v>26/04</v>
      </c>
      <c r="B245" s="414">
        <v>46135</v>
      </c>
      <c r="C245" s="415">
        <v>0</v>
      </c>
      <c r="D245" s="415">
        <v>0</v>
      </c>
      <c r="E245" s="415">
        <f t="shared" si="45"/>
        <v>0</v>
      </c>
      <c r="F245" s="415">
        <f t="shared" si="45"/>
        <v>0</v>
      </c>
      <c r="G245" s="415">
        <f t="shared" si="45"/>
        <v>0</v>
      </c>
      <c r="H245" s="415">
        <f t="shared" si="45"/>
        <v>0</v>
      </c>
      <c r="I245" s="415">
        <f t="shared" si="45"/>
        <v>1</v>
      </c>
      <c r="J245" s="415">
        <f t="shared" si="45"/>
        <v>0</v>
      </c>
      <c r="K245" s="415">
        <f t="shared" si="45"/>
        <v>0</v>
      </c>
      <c r="L245" s="416">
        <f t="shared" si="38"/>
        <v>1</v>
      </c>
      <c r="M245" s="417">
        <f t="shared" si="39"/>
        <v>21403</v>
      </c>
      <c r="N245" s="288">
        <f t="shared" si="40"/>
        <v>1</v>
      </c>
      <c r="O245" s="290">
        <f t="shared" si="41"/>
        <v>0</v>
      </c>
      <c r="P245" s="287">
        <f t="shared" si="46"/>
        <v>6</v>
      </c>
      <c r="Q245" s="288">
        <f t="shared" si="46"/>
        <v>0</v>
      </c>
      <c r="R245" s="416">
        <f t="shared" si="42"/>
        <v>6</v>
      </c>
      <c r="S245" s="418">
        <f t="shared" si="43"/>
        <v>1593</v>
      </c>
      <c r="T245" s="419">
        <f t="shared" si="44"/>
        <v>7</v>
      </c>
      <c r="U245" s="420"/>
      <c r="V245" s="415"/>
      <c r="W245" s="415"/>
      <c r="X245" s="415"/>
      <c r="Y245" s="415"/>
      <c r="Z245" s="415"/>
      <c r="AA245" s="415"/>
      <c r="AB245" s="415"/>
      <c r="AC245" s="415">
        <v>1</v>
      </c>
      <c r="AD245" s="415"/>
      <c r="AE245" s="415"/>
      <c r="AF245" s="415">
        <v>6</v>
      </c>
      <c r="AG245" s="415"/>
      <c r="AI245" s="392"/>
    </row>
    <row r="246" spans="1:35" ht="14.25" x14ac:dyDescent="0.15">
      <c r="A246" s="392" t="str">
        <f t="shared" si="28"/>
        <v>26/04</v>
      </c>
      <c r="B246" s="414">
        <v>46136</v>
      </c>
      <c r="C246" s="415">
        <v>0</v>
      </c>
      <c r="D246" s="415">
        <v>0</v>
      </c>
      <c r="E246" s="415">
        <f t="shared" si="45"/>
        <v>0</v>
      </c>
      <c r="F246" s="415">
        <f t="shared" si="45"/>
        <v>0</v>
      </c>
      <c r="G246" s="415">
        <f t="shared" si="45"/>
        <v>0</v>
      </c>
      <c r="H246" s="415">
        <f t="shared" si="45"/>
        <v>0</v>
      </c>
      <c r="I246" s="415">
        <f t="shared" si="45"/>
        <v>0</v>
      </c>
      <c r="J246" s="415">
        <f t="shared" si="45"/>
        <v>0</v>
      </c>
      <c r="K246" s="415">
        <f t="shared" si="45"/>
        <v>0</v>
      </c>
      <c r="L246" s="416">
        <f t="shared" si="38"/>
        <v>0</v>
      </c>
      <c r="M246" s="417">
        <f t="shared" si="39"/>
        <v>21403</v>
      </c>
      <c r="N246" s="288">
        <f t="shared" si="40"/>
        <v>0</v>
      </c>
      <c r="O246" s="290">
        <f t="shared" si="41"/>
        <v>0</v>
      </c>
      <c r="P246" s="287">
        <f t="shared" si="46"/>
        <v>5</v>
      </c>
      <c r="Q246" s="288">
        <f t="shared" si="46"/>
        <v>0</v>
      </c>
      <c r="R246" s="416">
        <f t="shared" si="42"/>
        <v>5</v>
      </c>
      <c r="S246" s="418">
        <f t="shared" si="43"/>
        <v>1598</v>
      </c>
      <c r="T246" s="419">
        <f t="shared" si="44"/>
        <v>5</v>
      </c>
      <c r="U246" s="420"/>
      <c r="V246" s="415"/>
      <c r="W246" s="415"/>
      <c r="X246" s="415"/>
      <c r="Y246" s="415"/>
      <c r="Z246" s="415"/>
      <c r="AA246" s="415"/>
      <c r="AB246" s="415"/>
      <c r="AC246" s="415"/>
      <c r="AD246" s="415"/>
      <c r="AE246" s="415"/>
      <c r="AF246" s="415">
        <v>5</v>
      </c>
      <c r="AG246" s="415"/>
      <c r="AI246" s="392"/>
    </row>
    <row r="247" spans="1:35" ht="14.25" x14ac:dyDescent="0.15">
      <c r="A247" s="392" t="str">
        <f t="shared" si="28"/>
        <v>26/04</v>
      </c>
      <c r="B247" s="414">
        <v>46139</v>
      </c>
      <c r="C247" s="415">
        <v>0</v>
      </c>
      <c r="D247" s="415">
        <v>0</v>
      </c>
      <c r="E247" s="415">
        <f t="shared" si="45"/>
        <v>0</v>
      </c>
      <c r="F247" s="415">
        <f t="shared" si="45"/>
        <v>0</v>
      </c>
      <c r="G247" s="415">
        <f t="shared" si="45"/>
        <v>0</v>
      </c>
      <c r="H247" s="415">
        <f t="shared" si="45"/>
        <v>0</v>
      </c>
      <c r="I247" s="415">
        <f t="shared" si="45"/>
        <v>0</v>
      </c>
      <c r="J247" s="415">
        <f t="shared" si="45"/>
        <v>0</v>
      </c>
      <c r="K247" s="415">
        <f t="shared" si="45"/>
        <v>0</v>
      </c>
      <c r="L247" s="416">
        <f t="shared" si="38"/>
        <v>0</v>
      </c>
      <c r="M247" s="417">
        <f t="shared" si="39"/>
        <v>21403</v>
      </c>
      <c r="N247" s="288">
        <f t="shared" si="40"/>
        <v>0</v>
      </c>
      <c r="O247" s="290">
        <f t="shared" si="41"/>
        <v>0</v>
      </c>
      <c r="P247" s="287">
        <f t="shared" si="46"/>
        <v>5</v>
      </c>
      <c r="Q247" s="288">
        <f t="shared" si="46"/>
        <v>0</v>
      </c>
      <c r="R247" s="416">
        <f t="shared" si="42"/>
        <v>5</v>
      </c>
      <c r="S247" s="418">
        <f t="shared" si="43"/>
        <v>1603</v>
      </c>
      <c r="T247" s="419">
        <f t="shared" si="44"/>
        <v>5</v>
      </c>
      <c r="U247" s="420"/>
      <c r="V247" s="415"/>
      <c r="W247" s="415"/>
      <c r="X247" s="415"/>
      <c r="Y247" s="415"/>
      <c r="Z247" s="415"/>
      <c r="AA247" s="415"/>
      <c r="AB247" s="415"/>
      <c r="AC247" s="415"/>
      <c r="AD247" s="415"/>
      <c r="AE247" s="415"/>
      <c r="AF247" s="415">
        <v>5</v>
      </c>
      <c r="AG247" s="415"/>
      <c r="AI247" s="392"/>
    </row>
    <row r="248" spans="1:35" ht="15" thickBot="1" x14ac:dyDescent="0.2">
      <c r="A248" s="392" t="str">
        <f t="shared" si="28"/>
        <v>26/04</v>
      </c>
      <c r="B248" s="423">
        <v>46140</v>
      </c>
      <c r="C248" s="424">
        <v>0</v>
      </c>
      <c r="D248" s="424">
        <v>0</v>
      </c>
      <c r="E248" s="424">
        <f t="shared" si="45"/>
        <v>0</v>
      </c>
      <c r="F248" s="424">
        <f t="shared" si="45"/>
        <v>0</v>
      </c>
      <c r="G248" s="424">
        <f t="shared" si="45"/>
        <v>0</v>
      </c>
      <c r="H248" s="424">
        <f t="shared" si="45"/>
        <v>0</v>
      </c>
      <c r="I248" s="424">
        <f t="shared" si="45"/>
        <v>0</v>
      </c>
      <c r="J248" s="424">
        <f t="shared" si="45"/>
        <v>0</v>
      </c>
      <c r="K248" s="424">
        <f t="shared" si="45"/>
        <v>0</v>
      </c>
      <c r="L248" s="425">
        <f t="shared" si="38"/>
        <v>0</v>
      </c>
      <c r="M248" s="426">
        <f t="shared" si="39"/>
        <v>21403</v>
      </c>
      <c r="N248" s="427">
        <f t="shared" si="40"/>
        <v>0</v>
      </c>
      <c r="O248" s="428">
        <f t="shared" si="41"/>
        <v>0</v>
      </c>
      <c r="P248" s="429">
        <f t="shared" si="46"/>
        <v>6</v>
      </c>
      <c r="Q248" s="427">
        <f t="shared" si="46"/>
        <v>0</v>
      </c>
      <c r="R248" s="425">
        <f t="shared" si="42"/>
        <v>6</v>
      </c>
      <c r="S248" s="430">
        <f t="shared" si="43"/>
        <v>1609</v>
      </c>
      <c r="T248" s="431">
        <f t="shared" si="44"/>
        <v>6</v>
      </c>
      <c r="U248" s="432"/>
      <c r="V248" s="424"/>
      <c r="W248" s="424"/>
      <c r="X248" s="424"/>
      <c r="Y248" s="424"/>
      <c r="Z248" s="424"/>
      <c r="AA248" s="424"/>
      <c r="AB248" s="424"/>
      <c r="AC248" s="424"/>
      <c r="AD248" s="424"/>
      <c r="AE248" s="424"/>
      <c r="AF248" s="424">
        <v>6</v>
      </c>
      <c r="AG248" s="424"/>
      <c r="AI248" s="392"/>
    </row>
    <row r="249" spans="1:35" ht="15" thickTop="1" x14ac:dyDescent="0.15">
      <c r="A249" s="392" t="str">
        <f t="shared" si="28"/>
        <v>26/05</v>
      </c>
      <c r="B249" s="414">
        <v>46149</v>
      </c>
      <c r="C249" s="415">
        <v>0</v>
      </c>
      <c r="D249" s="415">
        <v>0</v>
      </c>
      <c r="E249" s="415">
        <f t="shared" si="45"/>
        <v>0</v>
      </c>
      <c r="F249" s="415">
        <f t="shared" si="45"/>
        <v>0</v>
      </c>
      <c r="G249" s="415">
        <f t="shared" si="45"/>
        <v>0</v>
      </c>
      <c r="H249" s="415">
        <f t="shared" si="45"/>
        <v>0</v>
      </c>
      <c r="I249" s="415">
        <f t="shared" si="45"/>
        <v>0</v>
      </c>
      <c r="J249" s="415">
        <f t="shared" si="45"/>
        <v>0</v>
      </c>
      <c r="K249" s="415">
        <f t="shared" si="45"/>
        <v>0</v>
      </c>
      <c r="L249" s="416">
        <f t="shared" si="38"/>
        <v>0</v>
      </c>
      <c r="M249" s="417">
        <f t="shared" si="39"/>
        <v>21403</v>
      </c>
      <c r="N249" s="288">
        <f t="shared" si="40"/>
        <v>0</v>
      </c>
      <c r="O249" s="290">
        <f t="shared" si="41"/>
        <v>0</v>
      </c>
      <c r="P249" s="287">
        <f t="shared" si="46"/>
        <v>6</v>
      </c>
      <c r="Q249" s="288">
        <f t="shared" si="46"/>
        <v>0</v>
      </c>
      <c r="R249" s="416">
        <f t="shared" si="42"/>
        <v>6</v>
      </c>
      <c r="S249" s="418">
        <f t="shared" si="43"/>
        <v>1615</v>
      </c>
      <c r="T249" s="419">
        <f t="shared" si="44"/>
        <v>6</v>
      </c>
      <c r="U249" s="420"/>
      <c r="V249" s="415"/>
      <c r="W249" s="415"/>
      <c r="X249" s="415"/>
      <c r="Y249" s="415"/>
      <c r="Z249" s="415"/>
      <c r="AA249" s="415"/>
      <c r="AB249" s="415"/>
      <c r="AC249" s="415"/>
      <c r="AD249" s="415"/>
      <c r="AE249" s="415"/>
      <c r="AF249" s="415">
        <v>6</v>
      </c>
      <c r="AG249" s="415"/>
      <c r="AI249" s="392"/>
    </row>
    <row r="250" spans="1:35" ht="14.25" x14ac:dyDescent="0.15">
      <c r="A250" s="392" t="str">
        <f t="shared" si="28"/>
        <v>26/05</v>
      </c>
      <c r="B250" s="414">
        <v>46150</v>
      </c>
      <c r="C250" s="415">
        <v>0</v>
      </c>
      <c r="D250" s="415">
        <v>0</v>
      </c>
      <c r="E250" s="415">
        <f t="shared" si="45"/>
        <v>0</v>
      </c>
      <c r="F250" s="415">
        <f t="shared" si="45"/>
        <v>0</v>
      </c>
      <c r="G250" s="415">
        <f t="shared" si="45"/>
        <v>0</v>
      </c>
      <c r="H250" s="415">
        <f t="shared" si="45"/>
        <v>0</v>
      </c>
      <c r="I250" s="415">
        <f t="shared" si="45"/>
        <v>3</v>
      </c>
      <c r="J250" s="415">
        <f t="shared" si="45"/>
        <v>0</v>
      </c>
      <c r="K250" s="415">
        <f t="shared" si="45"/>
        <v>0</v>
      </c>
      <c r="L250" s="416">
        <f t="shared" si="38"/>
        <v>3</v>
      </c>
      <c r="M250" s="417">
        <f t="shared" si="39"/>
        <v>21406</v>
      </c>
      <c r="N250" s="288">
        <f t="shared" si="40"/>
        <v>3</v>
      </c>
      <c r="O250" s="290">
        <f t="shared" si="41"/>
        <v>0</v>
      </c>
      <c r="P250" s="287">
        <f t="shared" si="46"/>
        <v>6</v>
      </c>
      <c r="Q250" s="288">
        <f t="shared" si="46"/>
        <v>0</v>
      </c>
      <c r="R250" s="416">
        <f t="shared" si="42"/>
        <v>6</v>
      </c>
      <c r="S250" s="418">
        <f t="shared" si="43"/>
        <v>1621</v>
      </c>
      <c r="T250" s="419">
        <f t="shared" si="44"/>
        <v>9</v>
      </c>
      <c r="U250" s="420"/>
      <c r="V250" s="415"/>
      <c r="W250" s="415"/>
      <c r="X250" s="415"/>
      <c r="Y250" s="415"/>
      <c r="Z250" s="415"/>
      <c r="AA250" s="415"/>
      <c r="AB250" s="415"/>
      <c r="AC250" s="415">
        <v>3</v>
      </c>
      <c r="AD250" s="415"/>
      <c r="AE250" s="415"/>
      <c r="AF250" s="415">
        <v>6</v>
      </c>
      <c r="AG250" s="415"/>
      <c r="AI250" s="392"/>
    </row>
    <row r="251" spans="1:35" ht="14.25" x14ac:dyDescent="0.15">
      <c r="A251" s="392" t="str">
        <f t="shared" si="28"/>
        <v>26/05</v>
      </c>
      <c r="B251" s="414">
        <v>46153</v>
      </c>
      <c r="C251" s="415">
        <v>0</v>
      </c>
      <c r="D251" s="415">
        <v>0</v>
      </c>
      <c r="E251" s="415">
        <f t="shared" si="45"/>
        <v>0</v>
      </c>
      <c r="F251" s="415">
        <f t="shared" si="45"/>
        <v>0</v>
      </c>
      <c r="G251" s="415">
        <f t="shared" si="45"/>
        <v>0</v>
      </c>
      <c r="H251" s="415">
        <f t="shared" si="45"/>
        <v>3</v>
      </c>
      <c r="I251" s="415">
        <f t="shared" si="45"/>
        <v>0</v>
      </c>
      <c r="J251" s="415">
        <f t="shared" si="45"/>
        <v>0</v>
      </c>
      <c r="K251" s="415">
        <f t="shared" si="45"/>
        <v>0</v>
      </c>
      <c r="L251" s="416">
        <f t="shared" si="38"/>
        <v>3</v>
      </c>
      <c r="M251" s="417">
        <f t="shared" si="39"/>
        <v>21409</v>
      </c>
      <c r="N251" s="288">
        <f t="shared" si="40"/>
        <v>3</v>
      </c>
      <c r="O251" s="290">
        <f t="shared" si="41"/>
        <v>0</v>
      </c>
      <c r="P251" s="287">
        <f t="shared" si="46"/>
        <v>5</v>
      </c>
      <c r="Q251" s="288">
        <f t="shared" si="46"/>
        <v>0</v>
      </c>
      <c r="R251" s="416">
        <f t="shared" si="42"/>
        <v>5</v>
      </c>
      <c r="S251" s="418">
        <f t="shared" si="43"/>
        <v>1626</v>
      </c>
      <c r="T251" s="419">
        <f t="shared" si="44"/>
        <v>8</v>
      </c>
      <c r="U251" s="420">
        <v>3</v>
      </c>
      <c r="V251" s="415"/>
      <c r="W251" s="415"/>
      <c r="X251" s="415"/>
      <c r="Y251" s="415"/>
      <c r="Z251" s="415"/>
      <c r="AA251" s="415"/>
      <c r="AB251" s="415"/>
      <c r="AC251" s="415"/>
      <c r="AD251" s="415"/>
      <c r="AE251" s="415"/>
      <c r="AF251" s="415">
        <v>5</v>
      </c>
      <c r="AG251" s="415"/>
      <c r="AI251" s="392"/>
    </row>
    <row r="252" spans="1:35" ht="14.25" x14ac:dyDescent="0.15">
      <c r="A252" s="392" t="str">
        <f t="shared" si="28"/>
        <v>26/05</v>
      </c>
      <c r="B252" s="414">
        <v>46154</v>
      </c>
      <c r="C252" s="415">
        <v>0</v>
      </c>
      <c r="D252" s="415">
        <v>0</v>
      </c>
      <c r="E252" s="415">
        <f t="shared" si="45"/>
        <v>0</v>
      </c>
      <c r="F252" s="415">
        <f t="shared" si="45"/>
        <v>0</v>
      </c>
      <c r="G252" s="415">
        <f t="shared" si="45"/>
        <v>0</v>
      </c>
      <c r="H252" s="415">
        <f t="shared" si="45"/>
        <v>3</v>
      </c>
      <c r="I252" s="415">
        <f t="shared" si="45"/>
        <v>0</v>
      </c>
      <c r="J252" s="415">
        <f t="shared" si="45"/>
        <v>0</v>
      </c>
      <c r="K252" s="415">
        <f t="shared" si="45"/>
        <v>0</v>
      </c>
      <c r="L252" s="416">
        <f t="shared" si="38"/>
        <v>3</v>
      </c>
      <c r="M252" s="417">
        <f t="shared" si="39"/>
        <v>21412</v>
      </c>
      <c r="N252" s="288">
        <f t="shared" si="40"/>
        <v>3</v>
      </c>
      <c r="O252" s="290">
        <f t="shared" si="41"/>
        <v>0</v>
      </c>
      <c r="P252" s="287">
        <f t="shared" si="46"/>
        <v>5</v>
      </c>
      <c r="Q252" s="288">
        <f t="shared" si="46"/>
        <v>0</v>
      </c>
      <c r="R252" s="416">
        <f t="shared" si="42"/>
        <v>5</v>
      </c>
      <c r="S252" s="418">
        <f t="shared" si="43"/>
        <v>1631</v>
      </c>
      <c r="T252" s="419">
        <f t="shared" si="44"/>
        <v>8</v>
      </c>
      <c r="U252" s="420">
        <v>3</v>
      </c>
      <c r="V252" s="415"/>
      <c r="W252" s="415"/>
      <c r="X252" s="415"/>
      <c r="Y252" s="415"/>
      <c r="Z252" s="415"/>
      <c r="AA252" s="415"/>
      <c r="AB252" s="415"/>
      <c r="AC252" s="415"/>
      <c r="AD252" s="415"/>
      <c r="AE252" s="415"/>
      <c r="AF252" s="415">
        <v>5</v>
      </c>
      <c r="AG252" s="415"/>
      <c r="AI252" s="392"/>
    </row>
    <row r="253" spans="1:35" ht="14.25" x14ac:dyDescent="0.15">
      <c r="A253" s="392" t="str">
        <f t="shared" si="28"/>
        <v>26/05</v>
      </c>
      <c r="B253" s="414">
        <v>46155</v>
      </c>
      <c r="C253" s="415">
        <v>0</v>
      </c>
      <c r="D253" s="415">
        <v>0</v>
      </c>
      <c r="E253" s="415">
        <f t="shared" si="45"/>
        <v>2</v>
      </c>
      <c r="F253" s="415">
        <f t="shared" si="45"/>
        <v>0</v>
      </c>
      <c r="G253" s="415">
        <f t="shared" si="45"/>
        <v>0</v>
      </c>
      <c r="H253" s="415">
        <f t="shared" si="45"/>
        <v>1</v>
      </c>
      <c r="I253" s="415">
        <f t="shared" si="45"/>
        <v>0</v>
      </c>
      <c r="J253" s="415">
        <f t="shared" si="45"/>
        <v>0</v>
      </c>
      <c r="K253" s="415">
        <f t="shared" si="45"/>
        <v>0</v>
      </c>
      <c r="L253" s="416">
        <f t="shared" si="38"/>
        <v>3</v>
      </c>
      <c r="M253" s="417">
        <f t="shared" si="39"/>
        <v>21415</v>
      </c>
      <c r="N253" s="288">
        <f t="shared" si="40"/>
        <v>1</v>
      </c>
      <c r="O253" s="290">
        <f t="shared" si="41"/>
        <v>2</v>
      </c>
      <c r="P253" s="287">
        <f t="shared" si="46"/>
        <v>6</v>
      </c>
      <c r="Q253" s="288">
        <f t="shared" si="46"/>
        <v>0</v>
      </c>
      <c r="R253" s="416">
        <f t="shared" si="42"/>
        <v>6</v>
      </c>
      <c r="S253" s="418">
        <f t="shared" si="43"/>
        <v>1637</v>
      </c>
      <c r="T253" s="419">
        <f t="shared" si="44"/>
        <v>9</v>
      </c>
      <c r="U253" s="420">
        <v>1</v>
      </c>
      <c r="V253" s="415">
        <v>2</v>
      </c>
      <c r="W253" s="415"/>
      <c r="X253" s="415"/>
      <c r="Y253" s="415"/>
      <c r="Z253" s="415"/>
      <c r="AA253" s="415"/>
      <c r="AB253" s="415"/>
      <c r="AC253" s="415"/>
      <c r="AD253" s="415"/>
      <c r="AE253" s="415"/>
      <c r="AF253" s="415">
        <v>6</v>
      </c>
      <c r="AG253" s="415"/>
      <c r="AI253" s="392"/>
    </row>
    <row r="254" spans="1:35" ht="14.25" x14ac:dyDescent="0.15">
      <c r="A254" s="392" t="str">
        <f t="shared" si="28"/>
        <v>26/05</v>
      </c>
      <c r="B254" s="414">
        <v>46156</v>
      </c>
      <c r="C254" s="415">
        <v>0</v>
      </c>
      <c r="D254" s="415">
        <v>0</v>
      </c>
      <c r="E254" s="415">
        <f t="shared" si="45"/>
        <v>3</v>
      </c>
      <c r="F254" s="415">
        <f t="shared" si="45"/>
        <v>0</v>
      </c>
      <c r="G254" s="415">
        <f t="shared" si="45"/>
        <v>0</v>
      </c>
      <c r="H254" s="415">
        <f t="shared" si="45"/>
        <v>0</v>
      </c>
      <c r="I254" s="415">
        <f t="shared" si="45"/>
        <v>0</v>
      </c>
      <c r="J254" s="415">
        <f t="shared" si="45"/>
        <v>0</v>
      </c>
      <c r="K254" s="415">
        <f t="shared" si="45"/>
        <v>0</v>
      </c>
      <c r="L254" s="416">
        <f t="shared" si="38"/>
        <v>3</v>
      </c>
      <c r="M254" s="417">
        <f t="shared" si="39"/>
        <v>21418</v>
      </c>
      <c r="N254" s="288">
        <f t="shared" si="40"/>
        <v>0</v>
      </c>
      <c r="O254" s="290">
        <f t="shared" si="41"/>
        <v>3</v>
      </c>
      <c r="P254" s="287">
        <f t="shared" si="46"/>
        <v>6</v>
      </c>
      <c r="Q254" s="288">
        <f t="shared" si="46"/>
        <v>0</v>
      </c>
      <c r="R254" s="416">
        <f t="shared" si="42"/>
        <v>6</v>
      </c>
      <c r="S254" s="418">
        <f t="shared" si="43"/>
        <v>1643</v>
      </c>
      <c r="T254" s="419">
        <f t="shared" si="44"/>
        <v>9</v>
      </c>
      <c r="U254" s="420"/>
      <c r="V254" s="415">
        <v>3</v>
      </c>
      <c r="W254" s="415"/>
      <c r="X254" s="415"/>
      <c r="Y254" s="415"/>
      <c r="Z254" s="415"/>
      <c r="AA254" s="415"/>
      <c r="AB254" s="415"/>
      <c r="AC254" s="415"/>
      <c r="AD254" s="415"/>
      <c r="AE254" s="415"/>
      <c r="AF254" s="415">
        <v>6</v>
      </c>
      <c r="AG254" s="415"/>
      <c r="AI254" s="392"/>
    </row>
    <row r="255" spans="1:35" ht="14.25" x14ac:dyDescent="0.15">
      <c r="A255" s="392" t="str">
        <f t="shared" si="28"/>
        <v>26/05</v>
      </c>
      <c r="B255" s="414">
        <v>46157</v>
      </c>
      <c r="C255" s="415">
        <v>0</v>
      </c>
      <c r="D255" s="415">
        <v>0</v>
      </c>
      <c r="E255" s="415">
        <f t="shared" si="45"/>
        <v>3</v>
      </c>
      <c r="F255" s="415">
        <f t="shared" si="45"/>
        <v>0</v>
      </c>
      <c r="G255" s="415">
        <f t="shared" si="45"/>
        <v>0</v>
      </c>
      <c r="H255" s="415">
        <f t="shared" si="45"/>
        <v>0</v>
      </c>
      <c r="I255" s="415">
        <f t="shared" si="45"/>
        <v>0</v>
      </c>
      <c r="J255" s="415">
        <f t="shared" si="45"/>
        <v>0</v>
      </c>
      <c r="K255" s="415">
        <f t="shared" si="45"/>
        <v>0</v>
      </c>
      <c r="L255" s="416">
        <f t="shared" si="38"/>
        <v>3</v>
      </c>
      <c r="M255" s="417">
        <f t="shared" si="39"/>
        <v>21421</v>
      </c>
      <c r="N255" s="288">
        <f t="shared" si="40"/>
        <v>0</v>
      </c>
      <c r="O255" s="290">
        <f t="shared" si="41"/>
        <v>3</v>
      </c>
      <c r="P255" s="287">
        <f t="shared" si="46"/>
        <v>5</v>
      </c>
      <c r="Q255" s="288">
        <f t="shared" si="46"/>
        <v>0</v>
      </c>
      <c r="R255" s="416">
        <f t="shared" si="42"/>
        <v>5</v>
      </c>
      <c r="S255" s="418">
        <f t="shared" si="43"/>
        <v>1648</v>
      </c>
      <c r="T255" s="419">
        <f t="shared" si="44"/>
        <v>8</v>
      </c>
      <c r="U255" s="420"/>
      <c r="V255" s="415">
        <v>3</v>
      </c>
      <c r="W255" s="415"/>
      <c r="X255" s="415"/>
      <c r="Y255" s="415"/>
      <c r="Z255" s="415"/>
      <c r="AA255" s="415"/>
      <c r="AB255" s="415"/>
      <c r="AC255" s="415"/>
      <c r="AD255" s="415"/>
      <c r="AE255" s="415"/>
      <c r="AF255" s="415">
        <v>5</v>
      </c>
      <c r="AG255" s="415"/>
      <c r="AI255" s="392"/>
    </row>
    <row r="256" spans="1:35" ht="14.25" x14ac:dyDescent="0.15">
      <c r="A256" s="392" t="str">
        <f t="shared" si="28"/>
        <v>26/05</v>
      </c>
      <c r="B256" s="414">
        <v>46160</v>
      </c>
      <c r="C256" s="415">
        <v>0</v>
      </c>
      <c r="D256" s="415">
        <v>0</v>
      </c>
      <c r="E256" s="415">
        <f t="shared" si="45"/>
        <v>3</v>
      </c>
      <c r="F256" s="415">
        <f t="shared" si="45"/>
        <v>0</v>
      </c>
      <c r="G256" s="415">
        <f t="shared" si="45"/>
        <v>0</v>
      </c>
      <c r="H256" s="415">
        <f t="shared" si="45"/>
        <v>0</v>
      </c>
      <c r="I256" s="415">
        <f t="shared" si="45"/>
        <v>0</v>
      </c>
      <c r="J256" s="415">
        <f t="shared" si="45"/>
        <v>0</v>
      </c>
      <c r="K256" s="415">
        <f t="shared" si="45"/>
        <v>0</v>
      </c>
      <c r="L256" s="416">
        <f t="shared" si="38"/>
        <v>3</v>
      </c>
      <c r="M256" s="417">
        <f t="shared" si="39"/>
        <v>21424</v>
      </c>
      <c r="N256" s="288">
        <f t="shared" si="40"/>
        <v>0</v>
      </c>
      <c r="O256" s="290">
        <f t="shared" si="41"/>
        <v>3</v>
      </c>
      <c r="P256" s="287">
        <f t="shared" si="46"/>
        <v>5</v>
      </c>
      <c r="Q256" s="288">
        <f t="shared" si="46"/>
        <v>0</v>
      </c>
      <c r="R256" s="416">
        <f t="shared" si="42"/>
        <v>5</v>
      </c>
      <c r="S256" s="418">
        <f t="shared" si="43"/>
        <v>1653</v>
      </c>
      <c r="T256" s="419">
        <f t="shared" si="44"/>
        <v>8</v>
      </c>
      <c r="U256" s="420"/>
      <c r="V256" s="415">
        <v>1</v>
      </c>
      <c r="W256" s="415"/>
      <c r="X256" s="415"/>
      <c r="Y256" s="415">
        <v>2</v>
      </c>
      <c r="Z256" s="415"/>
      <c r="AA256" s="415"/>
      <c r="AB256" s="415"/>
      <c r="AC256" s="415"/>
      <c r="AD256" s="415"/>
      <c r="AE256" s="415"/>
      <c r="AF256" s="415">
        <v>5</v>
      </c>
      <c r="AG256" s="415"/>
      <c r="AI256" s="392"/>
    </row>
    <row r="257" spans="1:35" ht="14.25" x14ac:dyDescent="0.15">
      <c r="A257" s="392" t="str">
        <f t="shared" si="28"/>
        <v>26/05</v>
      </c>
      <c r="B257" s="414">
        <v>46161</v>
      </c>
      <c r="C257" s="415">
        <v>0</v>
      </c>
      <c r="D257" s="415">
        <v>0</v>
      </c>
      <c r="E257" s="415">
        <f t="shared" si="45"/>
        <v>3</v>
      </c>
      <c r="F257" s="415">
        <f t="shared" si="45"/>
        <v>0</v>
      </c>
      <c r="G257" s="415">
        <f t="shared" si="45"/>
        <v>0</v>
      </c>
      <c r="H257" s="415">
        <f t="shared" si="45"/>
        <v>0</v>
      </c>
      <c r="I257" s="415">
        <f t="shared" si="45"/>
        <v>0</v>
      </c>
      <c r="J257" s="415">
        <f t="shared" si="45"/>
        <v>0</v>
      </c>
      <c r="K257" s="415">
        <f t="shared" si="45"/>
        <v>0</v>
      </c>
      <c r="L257" s="416">
        <f t="shared" si="38"/>
        <v>3</v>
      </c>
      <c r="M257" s="417">
        <f t="shared" si="39"/>
        <v>21427</v>
      </c>
      <c r="N257" s="288">
        <f t="shared" si="40"/>
        <v>0</v>
      </c>
      <c r="O257" s="290">
        <f t="shared" si="41"/>
        <v>3</v>
      </c>
      <c r="P257" s="287">
        <f t="shared" si="46"/>
        <v>5</v>
      </c>
      <c r="Q257" s="288">
        <f t="shared" si="46"/>
        <v>0</v>
      </c>
      <c r="R257" s="416">
        <f t="shared" si="42"/>
        <v>5</v>
      </c>
      <c r="S257" s="418">
        <f t="shared" si="43"/>
        <v>1658</v>
      </c>
      <c r="T257" s="419">
        <f t="shared" si="44"/>
        <v>8</v>
      </c>
      <c r="U257" s="420"/>
      <c r="V257" s="415"/>
      <c r="W257" s="415"/>
      <c r="X257" s="415"/>
      <c r="Y257" s="415">
        <v>3</v>
      </c>
      <c r="Z257" s="415"/>
      <c r="AA257" s="415"/>
      <c r="AB257" s="415"/>
      <c r="AC257" s="415"/>
      <c r="AD257" s="415"/>
      <c r="AE257" s="415"/>
      <c r="AF257" s="415">
        <v>5</v>
      </c>
      <c r="AG257" s="415"/>
      <c r="AI257" s="392"/>
    </row>
    <row r="258" spans="1:35" ht="14.25" x14ac:dyDescent="0.15">
      <c r="A258" s="392" t="str">
        <f t="shared" si="28"/>
        <v>26/05</v>
      </c>
      <c r="B258" s="414">
        <v>46162</v>
      </c>
      <c r="C258" s="415">
        <v>0</v>
      </c>
      <c r="D258" s="415">
        <v>0</v>
      </c>
      <c r="E258" s="415">
        <f t="shared" si="45"/>
        <v>3</v>
      </c>
      <c r="F258" s="415">
        <f t="shared" si="45"/>
        <v>0</v>
      </c>
      <c r="G258" s="415">
        <f t="shared" si="45"/>
        <v>0</v>
      </c>
      <c r="H258" s="415">
        <f t="shared" si="45"/>
        <v>0</v>
      </c>
      <c r="I258" s="415">
        <f t="shared" si="45"/>
        <v>0</v>
      </c>
      <c r="J258" s="415">
        <f t="shared" si="45"/>
        <v>0</v>
      </c>
      <c r="K258" s="415">
        <f t="shared" si="45"/>
        <v>0</v>
      </c>
      <c r="L258" s="416">
        <f t="shared" si="38"/>
        <v>3</v>
      </c>
      <c r="M258" s="417">
        <f t="shared" si="39"/>
        <v>21430</v>
      </c>
      <c r="N258" s="288">
        <f t="shared" si="40"/>
        <v>0</v>
      </c>
      <c r="O258" s="290">
        <f t="shared" si="41"/>
        <v>3</v>
      </c>
      <c r="P258" s="287">
        <f t="shared" si="46"/>
        <v>6</v>
      </c>
      <c r="Q258" s="288">
        <f t="shared" si="46"/>
        <v>0</v>
      </c>
      <c r="R258" s="416">
        <f t="shared" si="42"/>
        <v>6</v>
      </c>
      <c r="S258" s="418">
        <f t="shared" si="43"/>
        <v>1664</v>
      </c>
      <c r="T258" s="419">
        <f t="shared" si="44"/>
        <v>9</v>
      </c>
      <c r="U258" s="420"/>
      <c r="V258" s="415"/>
      <c r="W258" s="415"/>
      <c r="X258" s="415"/>
      <c r="Y258" s="415">
        <v>3</v>
      </c>
      <c r="Z258" s="415"/>
      <c r="AA258" s="415"/>
      <c r="AB258" s="415"/>
      <c r="AC258" s="415"/>
      <c r="AD258" s="415"/>
      <c r="AE258" s="415"/>
      <c r="AF258" s="415">
        <v>6</v>
      </c>
      <c r="AG258" s="415"/>
      <c r="AI258" s="392"/>
    </row>
    <row r="259" spans="1:35" ht="14.25" x14ac:dyDescent="0.15">
      <c r="A259" s="392" t="str">
        <f t="shared" si="28"/>
        <v>26/05</v>
      </c>
      <c r="B259" s="414">
        <v>46163</v>
      </c>
      <c r="C259" s="415">
        <v>0</v>
      </c>
      <c r="D259" s="415">
        <v>0</v>
      </c>
      <c r="E259" s="415">
        <f t="shared" si="45"/>
        <v>3</v>
      </c>
      <c r="F259" s="415">
        <f t="shared" si="45"/>
        <v>0</v>
      </c>
      <c r="G259" s="415">
        <f t="shared" si="45"/>
        <v>0</v>
      </c>
      <c r="H259" s="415">
        <f t="shared" si="45"/>
        <v>0</v>
      </c>
      <c r="I259" s="415">
        <f t="shared" si="45"/>
        <v>0</v>
      </c>
      <c r="J259" s="415">
        <f t="shared" si="45"/>
        <v>0</v>
      </c>
      <c r="K259" s="415">
        <f t="shared" si="45"/>
        <v>0</v>
      </c>
      <c r="L259" s="416">
        <f t="shared" si="38"/>
        <v>3</v>
      </c>
      <c r="M259" s="417">
        <f t="shared" si="39"/>
        <v>21433</v>
      </c>
      <c r="N259" s="288">
        <f t="shared" si="40"/>
        <v>0</v>
      </c>
      <c r="O259" s="290">
        <f t="shared" si="41"/>
        <v>3</v>
      </c>
      <c r="P259" s="287">
        <f t="shared" si="46"/>
        <v>6</v>
      </c>
      <c r="Q259" s="288">
        <f t="shared" si="46"/>
        <v>0</v>
      </c>
      <c r="R259" s="416">
        <f t="shared" si="42"/>
        <v>6</v>
      </c>
      <c r="S259" s="418">
        <f t="shared" si="43"/>
        <v>1670</v>
      </c>
      <c r="T259" s="419">
        <f t="shared" si="44"/>
        <v>9</v>
      </c>
      <c r="U259" s="420"/>
      <c r="V259" s="415"/>
      <c r="W259" s="415"/>
      <c r="X259" s="415"/>
      <c r="Y259" s="415">
        <v>1</v>
      </c>
      <c r="Z259" s="415"/>
      <c r="AA259" s="415"/>
      <c r="AB259" s="415"/>
      <c r="AC259" s="415"/>
      <c r="AD259" s="415">
        <v>2</v>
      </c>
      <c r="AE259" s="415"/>
      <c r="AF259" s="415">
        <v>6</v>
      </c>
      <c r="AG259" s="415"/>
      <c r="AI259" s="392"/>
    </row>
    <row r="260" spans="1:35" ht="14.25" x14ac:dyDescent="0.15">
      <c r="A260" s="392" t="str">
        <f t="shared" si="28"/>
        <v>26/05</v>
      </c>
      <c r="B260" s="414">
        <v>46164</v>
      </c>
      <c r="C260" s="415">
        <v>0</v>
      </c>
      <c r="D260" s="415">
        <v>0</v>
      </c>
      <c r="E260" s="415">
        <f t="shared" si="45"/>
        <v>3</v>
      </c>
      <c r="F260" s="415">
        <f t="shared" si="45"/>
        <v>0</v>
      </c>
      <c r="G260" s="415">
        <f t="shared" si="45"/>
        <v>0</v>
      </c>
      <c r="H260" s="415">
        <f t="shared" si="45"/>
        <v>0</v>
      </c>
      <c r="I260" s="415">
        <f t="shared" si="45"/>
        <v>0</v>
      </c>
      <c r="J260" s="415">
        <f t="shared" si="45"/>
        <v>0</v>
      </c>
      <c r="K260" s="415">
        <f t="shared" si="45"/>
        <v>0</v>
      </c>
      <c r="L260" s="416">
        <f t="shared" si="38"/>
        <v>3</v>
      </c>
      <c r="M260" s="417">
        <f t="shared" si="39"/>
        <v>21436</v>
      </c>
      <c r="N260" s="288">
        <f t="shared" si="40"/>
        <v>0</v>
      </c>
      <c r="O260" s="290">
        <f t="shared" si="41"/>
        <v>3</v>
      </c>
      <c r="P260" s="287">
        <f t="shared" si="46"/>
        <v>5</v>
      </c>
      <c r="Q260" s="288">
        <f t="shared" si="46"/>
        <v>0</v>
      </c>
      <c r="R260" s="416">
        <f t="shared" si="42"/>
        <v>5</v>
      </c>
      <c r="S260" s="418">
        <f t="shared" si="43"/>
        <v>1675</v>
      </c>
      <c r="T260" s="419">
        <f t="shared" si="44"/>
        <v>8</v>
      </c>
      <c r="U260" s="420"/>
      <c r="V260" s="415"/>
      <c r="W260" s="415"/>
      <c r="X260" s="415"/>
      <c r="Y260" s="415"/>
      <c r="Z260" s="415"/>
      <c r="AA260" s="415"/>
      <c r="AB260" s="415"/>
      <c r="AC260" s="415"/>
      <c r="AD260" s="415">
        <v>3</v>
      </c>
      <c r="AE260" s="415"/>
      <c r="AF260" s="415">
        <v>5</v>
      </c>
      <c r="AG260" s="415"/>
      <c r="AI260" s="392"/>
    </row>
    <row r="261" spans="1:35" ht="14.25" x14ac:dyDescent="0.15">
      <c r="A261" s="392" t="str">
        <f t="shared" si="28"/>
        <v>26/05</v>
      </c>
      <c r="B261" s="414">
        <v>46167</v>
      </c>
      <c r="C261" s="415">
        <v>0</v>
      </c>
      <c r="D261" s="415">
        <v>0</v>
      </c>
      <c r="E261" s="415">
        <f t="shared" si="45"/>
        <v>0</v>
      </c>
      <c r="F261" s="415">
        <f t="shared" si="45"/>
        <v>0</v>
      </c>
      <c r="G261" s="415">
        <f t="shared" si="45"/>
        <v>0</v>
      </c>
      <c r="H261" s="415">
        <f t="shared" si="45"/>
        <v>0</v>
      </c>
      <c r="I261" s="415">
        <f t="shared" si="45"/>
        <v>0</v>
      </c>
      <c r="J261" s="415">
        <f t="shared" si="45"/>
        <v>0</v>
      </c>
      <c r="K261" s="415">
        <f t="shared" si="45"/>
        <v>0</v>
      </c>
      <c r="L261" s="416">
        <f t="shared" si="38"/>
        <v>0</v>
      </c>
      <c r="M261" s="417">
        <f t="shared" si="39"/>
        <v>21436</v>
      </c>
      <c r="N261" s="288">
        <f t="shared" si="40"/>
        <v>0</v>
      </c>
      <c r="O261" s="290">
        <f t="shared" si="41"/>
        <v>0</v>
      </c>
      <c r="P261" s="287">
        <f t="shared" si="46"/>
        <v>5</v>
      </c>
      <c r="Q261" s="288">
        <f t="shared" si="46"/>
        <v>0</v>
      </c>
      <c r="R261" s="416">
        <f t="shared" si="42"/>
        <v>5</v>
      </c>
      <c r="S261" s="418">
        <f t="shared" si="43"/>
        <v>1680</v>
      </c>
      <c r="T261" s="419">
        <f t="shared" si="44"/>
        <v>5</v>
      </c>
      <c r="U261" s="420"/>
      <c r="V261" s="415"/>
      <c r="W261" s="415"/>
      <c r="X261" s="415"/>
      <c r="Y261" s="415"/>
      <c r="Z261" s="415"/>
      <c r="AA261" s="415"/>
      <c r="AB261" s="415"/>
      <c r="AC261" s="415"/>
      <c r="AD261" s="415"/>
      <c r="AE261" s="415"/>
      <c r="AF261" s="415">
        <v>5</v>
      </c>
      <c r="AG261" s="415"/>
      <c r="AI261" s="392"/>
    </row>
    <row r="262" spans="1:35" ht="14.25" x14ac:dyDescent="0.15">
      <c r="A262" s="392" t="str">
        <f t="shared" si="28"/>
        <v>26/05</v>
      </c>
      <c r="B262" s="414">
        <v>46168</v>
      </c>
      <c r="C262" s="415">
        <v>0</v>
      </c>
      <c r="D262" s="415">
        <v>0</v>
      </c>
      <c r="E262" s="415">
        <f t="shared" si="45"/>
        <v>0</v>
      </c>
      <c r="F262" s="415">
        <f t="shared" si="45"/>
        <v>0</v>
      </c>
      <c r="G262" s="415">
        <f t="shared" si="45"/>
        <v>0</v>
      </c>
      <c r="H262" s="415">
        <f t="shared" si="45"/>
        <v>0</v>
      </c>
      <c r="I262" s="415">
        <f t="shared" si="45"/>
        <v>0</v>
      </c>
      <c r="J262" s="415">
        <f t="shared" si="45"/>
        <v>0</v>
      </c>
      <c r="K262" s="415">
        <f t="shared" si="45"/>
        <v>0</v>
      </c>
      <c r="L262" s="416">
        <f t="shared" si="38"/>
        <v>0</v>
      </c>
      <c r="M262" s="417">
        <f t="shared" si="39"/>
        <v>21436</v>
      </c>
      <c r="N262" s="288">
        <f t="shared" si="40"/>
        <v>0</v>
      </c>
      <c r="O262" s="290">
        <f t="shared" si="41"/>
        <v>0</v>
      </c>
      <c r="P262" s="287">
        <f t="shared" si="46"/>
        <v>5</v>
      </c>
      <c r="Q262" s="288">
        <f t="shared" si="46"/>
        <v>0</v>
      </c>
      <c r="R262" s="416">
        <f t="shared" si="42"/>
        <v>5</v>
      </c>
      <c r="S262" s="418">
        <f t="shared" si="43"/>
        <v>1685</v>
      </c>
      <c r="T262" s="419">
        <f t="shared" si="44"/>
        <v>5</v>
      </c>
      <c r="U262" s="420"/>
      <c r="V262" s="415"/>
      <c r="W262" s="415"/>
      <c r="X262" s="415"/>
      <c r="Y262" s="415"/>
      <c r="Z262" s="415"/>
      <c r="AA262" s="415"/>
      <c r="AB262" s="415"/>
      <c r="AC262" s="415"/>
      <c r="AD262" s="415"/>
      <c r="AE262" s="415"/>
      <c r="AF262" s="415">
        <v>5</v>
      </c>
      <c r="AG262" s="415"/>
      <c r="AI262" s="392"/>
    </row>
    <row r="263" spans="1:35" ht="14.25" x14ac:dyDescent="0.15">
      <c r="A263" s="392" t="str">
        <f t="shared" si="28"/>
        <v>26/05</v>
      </c>
      <c r="B263" s="414">
        <v>46169</v>
      </c>
      <c r="C263" s="415">
        <v>0</v>
      </c>
      <c r="D263" s="415">
        <v>0</v>
      </c>
      <c r="E263" s="415">
        <f t="shared" si="45"/>
        <v>0</v>
      </c>
      <c r="F263" s="415">
        <f t="shared" si="45"/>
        <v>0</v>
      </c>
      <c r="G263" s="415">
        <f t="shared" si="45"/>
        <v>0</v>
      </c>
      <c r="H263" s="415">
        <f t="shared" si="45"/>
        <v>0</v>
      </c>
      <c r="I263" s="415">
        <f t="shared" si="45"/>
        <v>0</v>
      </c>
      <c r="J263" s="415">
        <f t="shared" si="45"/>
        <v>0</v>
      </c>
      <c r="K263" s="415">
        <f t="shared" si="45"/>
        <v>0</v>
      </c>
      <c r="L263" s="416">
        <f t="shared" si="38"/>
        <v>0</v>
      </c>
      <c r="M263" s="417">
        <f t="shared" si="39"/>
        <v>21436</v>
      </c>
      <c r="N263" s="288">
        <f t="shared" si="40"/>
        <v>0</v>
      </c>
      <c r="O263" s="290">
        <f t="shared" si="41"/>
        <v>0</v>
      </c>
      <c r="P263" s="287">
        <f t="shared" si="46"/>
        <v>6</v>
      </c>
      <c r="Q263" s="288">
        <f t="shared" si="46"/>
        <v>0</v>
      </c>
      <c r="R263" s="416">
        <f t="shared" si="42"/>
        <v>6</v>
      </c>
      <c r="S263" s="418">
        <f t="shared" si="43"/>
        <v>1691</v>
      </c>
      <c r="T263" s="419">
        <f t="shared" si="44"/>
        <v>6</v>
      </c>
      <c r="U263" s="420"/>
      <c r="V263" s="415"/>
      <c r="W263" s="415"/>
      <c r="X263" s="415"/>
      <c r="Y263" s="415"/>
      <c r="Z263" s="415"/>
      <c r="AA263" s="415"/>
      <c r="AB263" s="415"/>
      <c r="AC263" s="415"/>
      <c r="AD263" s="415"/>
      <c r="AE263" s="415"/>
      <c r="AF263" s="415">
        <v>6</v>
      </c>
      <c r="AG263" s="415"/>
      <c r="AI263" s="392"/>
    </row>
    <row r="264" spans="1:35" ht="14.25" x14ac:dyDescent="0.15">
      <c r="A264" s="392" t="str">
        <f t="shared" si="28"/>
        <v>26/05</v>
      </c>
      <c r="B264" s="414">
        <v>46170</v>
      </c>
      <c r="C264" s="415">
        <v>0</v>
      </c>
      <c r="D264" s="415">
        <v>0</v>
      </c>
      <c r="E264" s="415">
        <f t="shared" si="45"/>
        <v>0</v>
      </c>
      <c r="F264" s="415">
        <f t="shared" si="45"/>
        <v>0</v>
      </c>
      <c r="G264" s="415">
        <f t="shared" si="45"/>
        <v>0</v>
      </c>
      <c r="H264" s="415">
        <f t="shared" si="45"/>
        <v>0</v>
      </c>
      <c r="I264" s="415">
        <f t="shared" si="45"/>
        <v>0</v>
      </c>
      <c r="J264" s="415">
        <f t="shared" si="45"/>
        <v>0</v>
      </c>
      <c r="K264" s="415">
        <f t="shared" si="45"/>
        <v>0</v>
      </c>
      <c r="L264" s="416">
        <f t="shared" si="38"/>
        <v>0</v>
      </c>
      <c r="M264" s="417">
        <f t="shared" si="39"/>
        <v>21436</v>
      </c>
      <c r="N264" s="288">
        <f t="shared" si="40"/>
        <v>0</v>
      </c>
      <c r="O264" s="290">
        <f t="shared" si="41"/>
        <v>0</v>
      </c>
      <c r="P264" s="287">
        <f t="shared" si="46"/>
        <v>6</v>
      </c>
      <c r="Q264" s="288">
        <f t="shared" si="46"/>
        <v>0</v>
      </c>
      <c r="R264" s="416">
        <f t="shared" si="42"/>
        <v>6</v>
      </c>
      <c r="S264" s="418">
        <f t="shared" si="43"/>
        <v>1697</v>
      </c>
      <c r="T264" s="419">
        <f t="shared" si="44"/>
        <v>6</v>
      </c>
      <c r="U264" s="420"/>
      <c r="V264" s="415"/>
      <c r="W264" s="415"/>
      <c r="X264" s="415"/>
      <c r="Y264" s="415"/>
      <c r="Z264" s="415"/>
      <c r="AA264" s="415"/>
      <c r="AB264" s="415"/>
      <c r="AC264" s="415"/>
      <c r="AD264" s="415"/>
      <c r="AE264" s="415"/>
      <c r="AF264" s="415">
        <v>6</v>
      </c>
      <c r="AG264" s="415"/>
      <c r="AI264" s="392"/>
    </row>
    <row r="265" spans="1:35" ht="15" thickBot="1" x14ac:dyDescent="0.2">
      <c r="A265" s="392" t="str">
        <f t="shared" si="28"/>
        <v>26/05</v>
      </c>
      <c r="B265" s="423">
        <v>46171</v>
      </c>
      <c r="C265" s="424">
        <v>0</v>
      </c>
      <c r="D265" s="424">
        <v>0</v>
      </c>
      <c r="E265" s="424">
        <f t="shared" si="45"/>
        <v>0</v>
      </c>
      <c r="F265" s="424">
        <f t="shared" si="45"/>
        <v>0</v>
      </c>
      <c r="G265" s="424">
        <f t="shared" si="45"/>
        <v>0</v>
      </c>
      <c r="H265" s="424">
        <f t="shared" ref="F265:K328" si="47">SUMIFS($U265:$AG265,$U$210:$AG$210,H$208)</f>
        <v>0</v>
      </c>
      <c r="I265" s="424">
        <f t="shared" si="47"/>
        <v>0</v>
      </c>
      <c r="J265" s="424">
        <f t="shared" si="47"/>
        <v>0</v>
      </c>
      <c r="K265" s="424">
        <f t="shared" si="47"/>
        <v>0</v>
      </c>
      <c r="L265" s="425">
        <f t="shared" si="38"/>
        <v>0</v>
      </c>
      <c r="M265" s="426">
        <f t="shared" si="39"/>
        <v>21436</v>
      </c>
      <c r="N265" s="427">
        <f t="shared" si="40"/>
        <v>0</v>
      </c>
      <c r="O265" s="428">
        <f t="shared" si="41"/>
        <v>0</v>
      </c>
      <c r="P265" s="429">
        <f t="shared" si="46"/>
        <v>6</v>
      </c>
      <c r="Q265" s="427">
        <f t="shared" si="46"/>
        <v>0</v>
      </c>
      <c r="R265" s="425">
        <f t="shared" si="42"/>
        <v>6</v>
      </c>
      <c r="S265" s="430">
        <f t="shared" si="43"/>
        <v>1703</v>
      </c>
      <c r="T265" s="431">
        <f t="shared" si="44"/>
        <v>6</v>
      </c>
      <c r="U265" s="432"/>
      <c r="V265" s="424"/>
      <c r="W265" s="424"/>
      <c r="X265" s="424"/>
      <c r="Y265" s="424"/>
      <c r="Z265" s="424"/>
      <c r="AA265" s="424"/>
      <c r="AB265" s="424"/>
      <c r="AC265" s="424"/>
      <c r="AD265" s="424"/>
      <c r="AE265" s="424"/>
      <c r="AF265" s="424">
        <v>6</v>
      </c>
      <c r="AG265" s="424"/>
      <c r="AI265" s="392"/>
    </row>
    <row r="266" spans="1:35" ht="15" thickTop="1" x14ac:dyDescent="0.15">
      <c r="A266" s="392" t="str">
        <f t="shared" si="28"/>
        <v>26/06</v>
      </c>
      <c r="B266" s="414">
        <v>46174</v>
      </c>
      <c r="C266" s="415">
        <v>0</v>
      </c>
      <c r="D266" s="415">
        <v>0</v>
      </c>
      <c r="E266" s="415">
        <f t="shared" ref="E266:E329" si="48">SUMIFS($U266:$AG266,$U$210:$AG$210,E$208)</f>
        <v>0</v>
      </c>
      <c r="F266" s="415">
        <f t="shared" si="47"/>
        <v>0</v>
      </c>
      <c r="G266" s="415">
        <f t="shared" si="47"/>
        <v>0</v>
      </c>
      <c r="H266" s="415">
        <f t="shared" si="47"/>
        <v>0</v>
      </c>
      <c r="I266" s="415">
        <f t="shared" si="47"/>
        <v>0</v>
      </c>
      <c r="J266" s="415">
        <f t="shared" si="47"/>
        <v>0</v>
      </c>
      <c r="K266" s="415">
        <f t="shared" si="47"/>
        <v>0</v>
      </c>
      <c r="L266" s="416">
        <f t="shared" si="38"/>
        <v>0</v>
      </c>
      <c r="M266" s="417">
        <f t="shared" si="39"/>
        <v>21436</v>
      </c>
      <c r="N266" s="288">
        <f t="shared" si="40"/>
        <v>0</v>
      </c>
      <c r="O266" s="290">
        <f t="shared" si="41"/>
        <v>0</v>
      </c>
      <c r="P266" s="287">
        <f t="shared" si="46"/>
        <v>5</v>
      </c>
      <c r="Q266" s="288">
        <f t="shared" si="46"/>
        <v>0</v>
      </c>
      <c r="R266" s="416">
        <f t="shared" si="42"/>
        <v>5</v>
      </c>
      <c r="S266" s="418">
        <f t="shared" si="43"/>
        <v>1708</v>
      </c>
      <c r="T266" s="419">
        <f t="shared" si="44"/>
        <v>5</v>
      </c>
      <c r="U266" s="420"/>
      <c r="V266" s="415"/>
      <c r="W266" s="415"/>
      <c r="X266" s="415"/>
      <c r="Y266" s="415"/>
      <c r="Z266" s="415"/>
      <c r="AA266" s="415"/>
      <c r="AB266" s="415"/>
      <c r="AC266" s="415"/>
      <c r="AD266" s="415"/>
      <c r="AE266" s="415"/>
      <c r="AF266" s="415">
        <v>5</v>
      </c>
      <c r="AG266" s="415"/>
      <c r="AI266" s="392"/>
    </row>
    <row r="267" spans="1:35" ht="14.25" x14ac:dyDescent="0.15">
      <c r="A267" s="392" t="str">
        <f t="shared" si="28"/>
        <v>26/06</v>
      </c>
      <c r="B267" s="414">
        <v>46175</v>
      </c>
      <c r="C267" s="415">
        <v>0</v>
      </c>
      <c r="D267" s="415">
        <v>0</v>
      </c>
      <c r="E267" s="415">
        <f t="shared" si="48"/>
        <v>0</v>
      </c>
      <c r="F267" s="415">
        <f t="shared" si="47"/>
        <v>0</v>
      </c>
      <c r="G267" s="415">
        <f t="shared" si="47"/>
        <v>0</v>
      </c>
      <c r="H267" s="415">
        <f t="shared" si="47"/>
        <v>0</v>
      </c>
      <c r="I267" s="415">
        <f t="shared" si="47"/>
        <v>1</v>
      </c>
      <c r="J267" s="415">
        <f t="shared" si="47"/>
        <v>0</v>
      </c>
      <c r="K267" s="415">
        <f t="shared" si="47"/>
        <v>0</v>
      </c>
      <c r="L267" s="416">
        <f t="shared" si="38"/>
        <v>1</v>
      </c>
      <c r="M267" s="417">
        <f t="shared" si="39"/>
        <v>21437</v>
      </c>
      <c r="N267" s="288">
        <f t="shared" si="40"/>
        <v>1</v>
      </c>
      <c r="O267" s="290">
        <f t="shared" si="41"/>
        <v>0</v>
      </c>
      <c r="P267" s="287">
        <f t="shared" si="46"/>
        <v>5</v>
      </c>
      <c r="Q267" s="288">
        <f t="shared" si="46"/>
        <v>0</v>
      </c>
      <c r="R267" s="416">
        <f t="shared" si="42"/>
        <v>5</v>
      </c>
      <c r="S267" s="418">
        <f t="shared" si="43"/>
        <v>1713</v>
      </c>
      <c r="T267" s="419">
        <f t="shared" si="44"/>
        <v>6</v>
      </c>
      <c r="U267" s="420"/>
      <c r="V267" s="415"/>
      <c r="W267" s="415"/>
      <c r="X267" s="415"/>
      <c r="Y267" s="415"/>
      <c r="Z267" s="415"/>
      <c r="AA267" s="415"/>
      <c r="AB267" s="415"/>
      <c r="AC267" s="415">
        <v>1</v>
      </c>
      <c r="AD267" s="415"/>
      <c r="AE267" s="415"/>
      <c r="AF267" s="415">
        <v>5</v>
      </c>
      <c r="AG267" s="415"/>
      <c r="AI267" s="392"/>
    </row>
    <row r="268" spans="1:35" ht="14.25" x14ac:dyDescent="0.15">
      <c r="A268" s="392" t="str">
        <f t="shared" si="28"/>
        <v>26/06</v>
      </c>
      <c r="B268" s="414">
        <v>46176</v>
      </c>
      <c r="C268" s="415">
        <v>0</v>
      </c>
      <c r="D268" s="415">
        <v>0</v>
      </c>
      <c r="E268" s="415">
        <f t="shared" si="48"/>
        <v>0</v>
      </c>
      <c r="F268" s="415">
        <f t="shared" si="47"/>
        <v>0</v>
      </c>
      <c r="G268" s="415">
        <f t="shared" si="47"/>
        <v>0</v>
      </c>
      <c r="H268" s="415">
        <f t="shared" si="47"/>
        <v>0</v>
      </c>
      <c r="I268" s="415">
        <f t="shared" si="47"/>
        <v>1</v>
      </c>
      <c r="J268" s="415">
        <f t="shared" si="47"/>
        <v>0</v>
      </c>
      <c r="K268" s="415">
        <f t="shared" si="47"/>
        <v>0</v>
      </c>
      <c r="L268" s="416">
        <f t="shared" si="38"/>
        <v>1</v>
      </c>
      <c r="M268" s="417">
        <f t="shared" si="39"/>
        <v>21438</v>
      </c>
      <c r="N268" s="288">
        <f t="shared" si="40"/>
        <v>1</v>
      </c>
      <c r="O268" s="290">
        <f t="shared" si="41"/>
        <v>0</v>
      </c>
      <c r="P268" s="287">
        <f t="shared" si="46"/>
        <v>6</v>
      </c>
      <c r="Q268" s="288">
        <f t="shared" si="46"/>
        <v>0</v>
      </c>
      <c r="R268" s="416">
        <f t="shared" si="42"/>
        <v>6</v>
      </c>
      <c r="S268" s="418">
        <f t="shared" si="43"/>
        <v>1719</v>
      </c>
      <c r="T268" s="419">
        <f t="shared" si="44"/>
        <v>7</v>
      </c>
      <c r="U268" s="420"/>
      <c r="V268" s="415"/>
      <c r="W268" s="415"/>
      <c r="X268" s="415"/>
      <c r="Y268" s="415"/>
      <c r="Z268" s="415"/>
      <c r="AA268" s="415"/>
      <c r="AB268" s="415"/>
      <c r="AC268" s="415">
        <v>1</v>
      </c>
      <c r="AD268" s="415"/>
      <c r="AE268" s="415"/>
      <c r="AF268" s="415">
        <v>6</v>
      </c>
      <c r="AG268" s="415"/>
      <c r="AI268" s="392"/>
    </row>
    <row r="269" spans="1:35" ht="14.25" x14ac:dyDescent="0.15">
      <c r="A269" s="392" t="str">
        <f t="shared" si="28"/>
        <v>26/06</v>
      </c>
      <c r="B269" s="414">
        <v>46177</v>
      </c>
      <c r="C269" s="415">
        <v>0</v>
      </c>
      <c r="D269" s="415">
        <v>0</v>
      </c>
      <c r="E269" s="415">
        <f t="shared" si="48"/>
        <v>1</v>
      </c>
      <c r="F269" s="415">
        <f t="shared" si="47"/>
        <v>0</v>
      </c>
      <c r="G269" s="415">
        <f t="shared" si="47"/>
        <v>0</v>
      </c>
      <c r="H269" s="415">
        <f t="shared" si="47"/>
        <v>0</v>
      </c>
      <c r="I269" s="415">
        <f t="shared" si="47"/>
        <v>0</v>
      </c>
      <c r="J269" s="415">
        <f t="shared" si="47"/>
        <v>0</v>
      </c>
      <c r="K269" s="415">
        <f t="shared" si="47"/>
        <v>0</v>
      </c>
      <c r="L269" s="416">
        <f t="shared" si="38"/>
        <v>1</v>
      </c>
      <c r="M269" s="417">
        <f t="shared" si="39"/>
        <v>21439</v>
      </c>
      <c r="N269" s="288">
        <f t="shared" si="40"/>
        <v>0</v>
      </c>
      <c r="O269" s="290">
        <f t="shared" si="41"/>
        <v>1</v>
      </c>
      <c r="P269" s="287">
        <f t="shared" si="46"/>
        <v>6</v>
      </c>
      <c r="Q269" s="288">
        <f t="shared" si="46"/>
        <v>0</v>
      </c>
      <c r="R269" s="416">
        <f t="shared" si="42"/>
        <v>6</v>
      </c>
      <c r="S269" s="418">
        <f t="shared" si="43"/>
        <v>1725</v>
      </c>
      <c r="T269" s="419">
        <f t="shared" si="44"/>
        <v>7</v>
      </c>
      <c r="U269" s="420"/>
      <c r="V269" s="415">
        <v>1</v>
      </c>
      <c r="W269" s="415"/>
      <c r="X269" s="415"/>
      <c r="Y269" s="415"/>
      <c r="Z269" s="415"/>
      <c r="AA269" s="415"/>
      <c r="AB269" s="415"/>
      <c r="AC269" s="415"/>
      <c r="AD269" s="415"/>
      <c r="AE269" s="415"/>
      <c r="AF269" s="415">
        <v>6</v>
      </c>
      <c r="AG269" s="415"/>
      <c r="AI269" s="392"/>
    </row>
    <row r="270" spans="1:35" ht="14.25" x14ac:dyDescent="0.15">
      <c r="A270" s="392" t="str">
        <f t="shared" si="28"/>
        <v>26/06</v>
      </c>
      <c r="B270" s="414">
        <v>46178</v>
      </c>
      <c r="C270" s="415">
        <v>0</v>
      </c>
      <c r="D270" s="415">
        <v>0</v>
      </c>
      <c r="E270" s="415">
        <f t="shared" si="48"/>
        <v>1</v>
      </c>
      <c r="F270" s="415">
        <f t="shared" si="47"/>
        <v>0</v>
      </c>
      <c r="G270" s="415">
        <f t="shared" si="47"/>
        <v>0</v>
      </c>
      <c r="H270" s="415">
        <f t="shared" si="47"/>
        <v>0</v>
      </c>
      <c r="I270" s="415">
        <f t="shared" si="47"/>
        <v>0</v>
      </c>
      <c r="J270" s="415">
        <f t="shared" si="47"/>
        <v>0</v>
      </c>
      <c r="K270" s="415">
        <f t="shared" si="47"/>
        <v>0</v>
      </c>
      <c r="L270" s="416">
        <f t="shared" si="38"/>
        <v>1</v>
      </c>
      <c r="M270" s="417">
        <f t="shared" si="39"/>
        <v>21440</v>
      </c>
      <c r="N270" s="288">
        <f t="shared" si="40"/>
        <v>0</v>
      </c>
      <c r="O270" s="290">
        <f t="shared" si="41"/>
        <v>1</v>
      </c>
      <c r="P270" s="287">
        <f t="shared" si="46"/>
        <v>6</v>
      </c>
      <c r="Q270" s="288">
        <f t="shared" si="46"/>
        <v>0</v>
      </c>
      <c r="R270" s="416">
        <f t="shared" si="42"/>
        <v>6</v>
      </c>
      <c r="S270" s="418">
        <f t="shared" si="43"/>
        <v>1731</v>
      </c>
      <c r="T270" s="419">
        <f t="shared" si="44"/>
        <v>7</v>
      </c>
      <c r="U270" s="420"/>
      <c r="V270" s="415">
        <v>1</v>
      </c>
      <c r="W270" s="415"/>
      <c r="X270" s="415"/>
      <c r="Y270" s="415"/>
      <c r="Z270" s="415"/>
      <c r="AA270" s="415"/>
      <c r="AB270" s="415"/>
      <c r="AC270" s="415"/>
      <c r="AD270" s="415"/>
      <c r="AE270" s="415"/>
      <c r="AF270" s="415">
        <v>6</v>
      </c>
      <c r="AG270" s="415"/>
      <c r="AI270" s="392"/>
    </row>
    <row r="271" spans="1:35" ht="14.25" x14ac:dyDescent="0.15">
      <c r="A271" s="392" t="str">
        <f t="shared" si="28"/>
        <v>26/06</v>
      </c>
      <c r="B271" s="414">
        <v>46181</v>
      </c>
      <c r="C271" s="415">
        <v>0</v>
      </c>
      <c r="D271" s="415">
        <v>0</v>
      </c>
      <c r="E271" s="415">
        <f t="shared" si="48"/>
        <v>2</v>
      </c>
      <c r="F271" s="415">
        <f t="shared" si="47"/>
        <v>0</v>
      </c>
      <c r="G271" s="415">
        <f t="shared" si="47"/>
        <v>0</v>
      </c>
      <c r="H271" s="415">
        <f t="shared" si="47"/>
        <v>0</v>
      </c>
      <c r="I271" s="415">
        <f t="shared" si="47"/>
        <v>0</v>
      </c>
      <c r="J271" s="415">
        <f t="shared" si="47"/>
        <v>0</v>
      </c>
      <c r="K271" s="415">
        <f t="shared" si="47"/>
        <v>0</v>
      </c>
      <c r="L271" s="416">
        <f t="shared" si="38"/>
        <v>2</v>
      </c>
      <c r="M271" s="417">
        <f t="shared" si="39"/>
        <v>21442</v>
      </c>
      <c r="N271" s="288">
        <f t="shared" si="40"/>
        <v>0</v>
      </c>
      <c r="O271" s="290">
        <f t="shared" si="41"/>
        <v>2</v>
      </c>
      <c r="P271" s="287">
        <f t="shared" si="46"/>
        <v>5</v>
      </c>
      <c r="Q271" s="288">
        <f t="shared" si="46"/>
        <v>0</v>
      </c>
      <c r="R271" s="416">
        <f t="shared" si="42"/>
        <v>5</v>
      </c>
      <c r="S271" s="418">
        <f t="shared" si="43"/>
        <v>1736</v>
      </c>
      <c r="T271" s="419">
        <f t="shared" si="44"/>
        <v>7</v>
      </c>
      <c r="U271" s="420"/>
      <c r="V271" s="415">
        <v>2</v>
      </c>
      <c r="W271" s="415"/>
      <c r="X271" s="415"/>
      <c r="Y271" s="415"/>
      <c r="Z271" s="415"/>
      <c r="AA271" s="415"/>
      <c r="AB271" s="415"/>
      <c r="AC271" s="415"/>
      <c r="AD271" s="415"/>
      <c r="AE271" s="415"/>
      <c r="AF271" s="415">
        <v>5</v>
      </c>
      <c r="AG271" s="415"/>
      <c r="AI271" s="392"/>
    </row>
    <row r="272" spans="1:35" ht="14.25" x14ac:dyDescent="0.15">
      <c r="A272" s="392" t="str">
        <f t="shared" si="28"/>
        <v>26/06</v>
      </c>
      <c r="B272" s="414">
        <v>46182</v>
      </c>
      <c r="C272" s="415">
        <v>0</v>
      </c>
      <c r="D272" s="415">
        <v>0</v>
      </c>
      <c r="E272" s="415">
        <f t="shared" si="48"/>
        <v>0</v>
      </c>
      <c r="F272" s="415">
        <f t="shared" si="47"/>
        <v>0</v>
      </c>
      <c r="G272" s="415">
        <f t="shared" si="47"/>
        <v>0</v>
      </c>
      <c r="H272" s="415">
        <f t="shared" si="47"/>
        <v>0</v>
      </c>
      <c r="I272" s="415">
        <f t="shared" si="47"/>
        <v>0</v>
      </c>
      <c r="J272" s="415">
        <f t="shared" si="47"/>
        <v>0</v>
      </c>
      <c r="K272" s="415">
        <f t="shared" si="47"/>
        <v>0</v>
      </c>
      <c r="L272" s="416">
        <f t="shared" si="38"/>
        <v>0</v>
      </c>
      <c r="M272" s="417">
        <f t="shared" si="39"/>
        <v>21442</v>
      </c>
      <c r="N272" s="288">
        <f t="shared" si="40"/>
        <v>0</v>
      </c>
      <c r="O272" s="290">
        <f t="shared" si="41"/>
        <v>0</v>
      </c>
      <c r="P272" s="287">
        <f t="shared" si="46"/>
        <v>5</v>
      </c>
      <c r="Q272" s="288">
        <f t="shared" si="46"/>
        <v>0</v>
      </c>
      <c r="R272" s="416">
        <f t="shared" si="42"/>
        <v>5</v>
      </c>
      <c r="S272" s="418">
        <f t="shared" si="43"/>
        <v>1741</v>
      </c>
      <c r="T272" s="419">
        <f t="shared" si="44"/>
        <v>5</v>
      </c>
      <c r="U272" s="420"/>
      <c r="V272" s="415"/>
      <c r="W272" s="415"/>
      <c r="X272" s="415"/>
      <c r="Y272" s="415"/>
      <c r="Z272" s="415"/>
      <c r="AA272" s="415"/>
      <c r="AB272" s="415"/>
      <c r="AC272" s="415"/>
      <c r="AD272" s="415"/>
      <c r="AE272" s="415"/>
      <c r="AF272" s="415">
        <v>5</v>
      </c>
      <c r="AG272" s="415"/>
      <c r="AI272" s="392"/>
    </row>
    <row r="273" spans="1:35" ht="14.25" x14ac:dyDescent="0.15">
      <c r="A273" s="392" t="str">
        <f t="shared" si="28"/>
        <v>26/06</v>
      </c>
      <c r="B273" s="414">
        <v>46183</v>
      </c>
      <c r="C273" s="415">
        <v>0</v>
      </c>
      <c r="D273" s="415">
        <v>0</v>
      </c>
      <c r="E273" s="415">
        <f t="shared" si="48"/>
        <v>1</v>
      </c>
      <c r="F273" s="415">
        <f t="shared" si="47"/>
        <v>0</v>
      </c>
      <c r="G273" s="415">
        <f t="shared" si="47"/>
        <v>0</v>
      </c>
      <c r="H273" s="415">
        <f t="shared" si="47"/>
        <v>0</v>
      </c>
      <c r="I273" s="415">
        <f t="shared" si="47"/>
        <v>0</v>
      </c>
      <c r="J273" s="415">
        <f t="shared" si="47"/>
        <v>0</v>
      </c>
      <c r="K273" s="415">
        <f t="shared" si="47"/>
        <v>0</v>
      </c>
      <c r="L273" s="416">
        <f t="shared" si="38"/>
        <v>1</v>
      </c>
      <c r="M273" s="417">
        <f t="shared" si="39"/>
        <v>21443</v>
      </c>
      <c r="N273" s="288">
        <f t="shared" si="40"/>
        <v>0</v>
      </c>
      <c r="O273" s="290">
        <f t="shared" si="41"/>
        <v>1</v>
      </c>
      <c r="P273" s="287">
        <f t="shared" si="46"/>
        <v>6</v>
      </c>
      <c r="Q273" s="288">
        <f t="shared" si="46"/>
        <v>0</v>
      </c>
      <c r="R273" s="416">
        <f t="shared" si="42"/>
        <v>6</v>
      </c>
      <c r="S273" s="418">
        <f t="shared" si="43"/>
        <v>1747</v>
      </c>
      <c r="T273" s="419">
        <f t="shared" si="44"/>
        <v>7</v>
      </c>
      <c r="U273" s="420"/>
      <c r="V273" s="415">
        <v>1</v>
      </c>
      <c r="W273" s="415"/>
      <c r="X273" s="415"/>
      <c r="Y273" s="415"/>
      <c r="Z273" s="415"/>
      <c r="AA273" s="415"/>
      <c r="AB273" s="415"/>
      <c r="AC273" s="415"/>
      <c r="AD273" s="415"/>
      <c r="AE273" s="415"/>
      <c r="AF273" s="415">
        <v>6</v>
      </c>
      <c r="AG273" s="415"/>
      <c r="AI273" s="392"/>
    </row>
    <row r="274" spans="1:35" ht="14.25" x14ac:dyDescent="0.15">
      <c r="A274" s="392" t="str">
        <f t="shared" si="28"/>
        <v>26/06</v>
      </c>
      <c r="B274" s="414">
        <v>46184</v>
      </c>
      <c r="C274" s="415">
        <v>0</v>
      </c>
      <c r="D274" s="415">
        <v>0</v>
      </c>
      <c r="E274" s="415">
        <f t="shared" si="48"/>
        <v>1</v>
      </c>
      <c r="F274" s="415">
        <f t="shared" si="47"/>
        <v>0</v>
      </c>
      <c r="G274" s="415">
        <f t="shared" si="47"/>
        <v>0</v>
      </c>
      <c r="H274" s="415">
        <f t="shared" si="47"/>
        <v>0</v>
      </c>
      <c r="I274" s="415">
        <f t="shared" si="47"/>
        <v>0</v>
      </c>
      <c r="J274" s="415">
        <f t="shared" si="47"/>
        <v>0</v>
      </c>
      <c r="K274" s="415">
        <f t="shared" si="47"/>
        <v>0</v>
      </c>
      <c r="L274" s="416">
        <f t="shared" si="38"/>
        <v>1</v>
      </c>
      <c r="M274" s="417">
        <f t="shared" si="39"/>
        <v>21444</v>
      </c>
      <c r="N274" s="288">
        <f t="shared" si="40"/>
        <v>0</v>
      </c>
      <c r="O274" s="290">
        <f t="shared" si="41"/>
        <v>1</v>
      </c>
      <c r="P274" s="287">
        <f t="shared" si="46"/>
        <v>6</v>
      </c>
      <c r="Q274" s="288">
        <f t="shared" si="46"/>
        <v>0</v>
      </c>
      <c r="R274" s="416">
        <f t="shared" si="42"/>
        <v>6</v>
      </c>
      <c r="S274" s="418">
        <f t="shared" si="43"/>
        <v>1753</v>
      </c>
      <c r="T274" s="419">
        <f t="shared" si="44"/>
        <v>7</v>
      </c>
      <c r="U274" s="420"/>
      <c r="V274" s="415">
        <v>1</v>
      </c>
      <c r="W274" s="415"/>
      <c r="X274" s="415"/>
      <c r="Y274" s="415"/>
      <c r="Z274" s="415"/>
      <c r="AA274" s="415"/>
      <c r="AB274" s="415"/>
      <c r="AC274" s="415"/>
      <c r="AD274" s="415"/>
      <c r="AE274" s="415"/>
      <c r="AF274" s="415">
        <v>6</v>
      </c>
      <c r="AG274" s="415"/>
      <c r="AI274" s="392"/>
    </row>
    <row r="275" spans="1:35" ht="14.25" x14ac:dyDescent="0.15">
      <c r="A275" s="392" t="str">
        <f t="shared" si="28"/>
        <v>26/06</v>
      </c>
      <c r="B275" s="414">
        <v>46185</v>
      </c>
      <c r="C275" s="415">
        <v>0</v>
      </c>
      <c r="D275" s="415">
        <v>0</v>
      </c>
      <c r="E275" s="415">
        <f t="shared" si="48"/>
        <v>1</v>
      </c>
      <c r="F275" s="415">
        <f t="shared" si="47"/>
        <v>0</v>
      </c>
      <c r="G275" s="415">
        <f t="shared" si="47"/>
        <v>0</v>
      </c>
      <c r="H275" s="415">
        <f t="shared" si="47"/>
        <v>0</v>
      </c>
      <c r="I275" s="415">
        <f t="shared" si="47"/>
        <v>0</v>
      </c>
      <c r="J275" s="415">
        <f t="shared" si="47"/>
        <v>0</v>
      </c>
      <c r="K275" s="415">
        <f t="shared" si="47"/>
        <v>0</v>
      </c>
      <c r="L275" s="416">
        <f t="shared" si="38"/>
        <v>1</v>
      </c>
      <c r="M275" s="417">
        <f t="shared" si="39"/>
        <v>21445</v>
      </c>
      <c r="N275" s="288">
        <f t="shared" si="40"/>
        <v>0</v>
      </c>
      <c r="O275" s="290">
        <f t="shared" si="41"/>
        <v>1</v>
      </c>
      <c r="P275" s="287">
        <f t="shared" si="46"/>
        <v>5</v>
      </c>
      <c r="Q275" s="288">
        <f t="shared" si="46"/>
        <v>0</v>
      </c>
      <c r="R275" s="416">
        <f t="shared" si="42"/>
        <v>5</v>
      </c>
      <c r="S275" s="418">
        <f t="shared" si="43"/>
        <v>1758</v>
      </c>
      <c r="T275" s="419">
        <f t="shared" si="44"/>
        <v>6</v>
      </c>
      <c r="U275" s="420"/>
      <c r="V275" s="415">
        <v>1</v>
      </c>
      <c r="W275" s="415"/>
      <c r="X275" s="415"/>
      <c r="Y275" s="415"/>
      <c r="Z275" s="415"/>
      <c r="AA275" s="415"/>
      <c r="AB275" s="415"/>
      <c r="AC275" s="415"/>
      <c r="AD275" s="415"/>
      <c r="AE275" s="415"/>
      <c r="AF275" s="415">
        <v>5</v>
      </c>
      <c r="AG275" s="415"/>
      <c r="AI275" s="392"/>
    </row>
    <row r="276" spans="1:35" ht="14.25" x14ac:dyDescent="0.15">
      <c r="A276" s="392" t="str">
        <f t="shared" ref="A276:A336" si="49">TEXT(B276,"yy/mm")</f>
        <v>26/06</v>
      </c>
      <c r="B276" s="414">
        <v>46188</v>
      </c>
      <c r="C276" s="415">
        <v>0</v>
      </c>
      <c r="D276" s="415">
        <v>0</v>
      </c>
      <c r="E276" s="415">
        <f t="shared" si="48"/>
        <v>1</v>
      </c>
      <c r="F276" s="415">
        <f t="shared" si="47"/>
        <v>0</v>
      </c>
      <c r="G276" s="415">
        <f t="shared" si="47"/>
        <v>0</v>
      </c>
      <c r="H276" s="415">
        <f t="shared" si="47"/>
        <v>0</v>
      </c>
      <c r="I276" s="415">
        <f t="shared" si="47"/>
        <v>0</v>
      </c>
      <c r="J276" s="415">
        <f t="shared" si="47"/>
        <v>0</v>
      </c>
      <c r="K276" s="415">
        <f t="shared" si="47"/>
        <v>0</v>
      </c>
      <c r="L276" s="416">
        <f t="shared" si="38"/>
        <v>1</v>
      </c>
      <c r="M276" s="417">
        <f t="shared" si="39"/>
        <v>21446</v>
      </c>
      <c r="N276" s="288">
        <f t="shared" si="40"/>
        <v>0</v>
      </c>
      <c r="O276" s="290">
        <f t="shared" si="41"/>
        <v>1</v>
      </c>
      <c r="P276" s="287">
        <f t="shared" si="46"/>
        <v>5</v>
      </c>
      <c r="Q276" s="288">
        <f t="shared" si="46"/>
        <v>0</v>
      </c>
      <c r="R276" s="416">
        <f t="shared" si="42"/>
        <v>5</v>
      </c>
      <c r="S276" s="418">
        <f t="shared" si="43"/>
        <v>1763</v>
      </c>
      <c r="T276" s="419">
        <f t="shared" si="44"/>
        <v>6</v>
      </c>
      <c r="U276" s="420"/>
      <c r="V276" s="415">
        <v>1</v>
      </c>
      <c r="W276" s="415"/>
      <c r="X276" s="415"/>
      <c r="Y276" s="415"/>
      <c r="Z276" s="415"/>
      <c r="AA276" s="415"/>
      <c r="AB276" s="415"/>
      <c r="AC276" s="415"/>
      <c r="AD276" s="415"/>
      <c r="AE276" s="415"/>
      <c r="AF276" s="415">
        <v>5</v>
      </c>
      <c r="AG276" s="415"/>
      <c r="AI276" s="392"/>
    </row>
    <row r="277" spans="1:35" ht="14.25" x14ac:dyDescent="0.15">
      <c r="A277" s="392" t="str">
        <f t="shared" si="49"/>
        <v>26/06</v>
      </c>
      <c r="B277" s="414">
        <v>46189</v>
      </c>
      <c r="C277" s="415">
        <v>0</v>
      </c>
      <c r="D277" s="415">
        <v>0</v>
      </c>
      <c r="E277" s="415">
        <f t="shared" si="48"/>
        <v>1</v>
      </c>
      <c r="F277" s="415">
        <f t="shared" si="47"/>
        <v>0</v>
      </c>
      <c r="G277" s="415">
        <f t="shared" si="47"/>
        <v>0</v>
      </c>
      <c r="H277" s="415">
        <f t="shared" si="47"/>
        <v>0</v>
      </c>
      <c r="I277" s="415">
        <f t="shared" si="47"/>
        <v>0</v>
      </c>
      <c r="J277" s="415">
        <f t="shared" si="47"/>
        <v>0</v>
      </c>
      <c r="K277" s="415">
        <f t="shared" si="47"/>
        <v>0</v>
      </c>
      <c r="L277" s="416">
        <f t="shared" si="38"/>
        <v>1</v>
      </c>
      <c r="M277" s="417">
        <f t="shared" si="39"/>
        <v>21447</v>
      </c>
      <c r="N277" s="288">
        <f t="shared" si="40"/>
        <v>0</v>
      </c>
      <c r="O277" s="290">
        <f t="shared" si="41"/>
        <v>1</v>
      </c>
      <c r="P277" s="287">
        <f t="shared" si="46"/>
        <v>5</v>
      </c>
      <c r="Q277" s="288">
        <f t="shared" si="46"/>
        <v>0</v>
      </c>
      <c r="R277" s="416">
        <f t="shared" si="42"/>
        <v>5</v>
      </c>
      <c r="S277" s="418">
        <f t="shared" si="43"/>
        <v>1768</v>
      </c>
      <c r="T277" s="419">
        <f t="shared" si="44"/>
        <v>6</v>
      </c>
      <c r="U277" s="420"/>
      <c r="V277" s="415"/>
      <c r="W277" s="415"/>
      <c r="X277" s="415"/>
      <c r="Y277" s="415">
        <v>1</v>
      </c>
      <c r="Z277" s="415"/>
      <c r="AA277" s="415"/>
      <c r="AB277" s="415"/>
      <c r="AC277" s="415"/>
      <c r="AD277" s="415"/>
      <c r="AE277" s="415"/>
      <c r="AF277" s="415">
        <v>5</v>
      </c>
      <c r="AG277" s="415"/>
      <c r="AI277" s="392"/>
    </row>
    <row r="278" spans="1:35" ht="14.25" x14ac:dyDescent="0.15">
      <c r="A278" s="392" t="str">
        <f t="shared" si="49"/>
        <v>26/06</v>
      </c>
      <c r="B278" s="414">
        <v>46190</v>
      </c>
      <c r="C278" s="415">
        <v>0</v>
      </c>
      <c r="D278" s="415">
        <v>0</v>
      </c>
      <c r="E278" s="415">
        <f t="shared" si="48"/>
        <v>1</v>
      </c>
      <c r="F278" s="415">
        <f t="shared" si="47"/>
        <v>0</v>
      </c>
      <c r="G278" s="415">
        <f t="shared" si="47"/>
        <v>0</v>
      </c>
      <c r="H278" s="415">
        <f t="shared" si="47"/>
        <v>0</v>
      </c>
      <c r="I278" s="415">
        <f t="shared" si="47"/>
        <v>0</v>
      </c>
      <c r="J278" s="415">
        <f t="shared" si="47"/>
        <v>0</v>
      </c>
      <c r="K278" s="415">
        <f t="shared" si="47"/>
        <v>0</v>
      </c>
      <c r="L278" s="416">
        <f t="shared" ref="L278:L335" si="50">SUM(C278:K278)</f>
        <v>1</v>
      </c>
      <c r="M278" s="417">
        <f t="shared" ref="M278:M335" si="51">M277+L278</f>
        <v>21448</v>
      </c>
      <c r="N278" s="288">
        <f t="shared" ref="N278:N335" si="52">C278+D278+F278+H278+I278+K278+J278</f>
        <v>0</v>
      </c>
      <c r="O278" s="290">
        <f t="shared" ref="O278:O335" si="53">E278+G278</f>
        <v>1</v>
      </c>
      <c r="P278" s="287">
        <f t="shared" si="46"/>
        <v>6</v>
      </c>
      <c r="Q278" s="288">
        <f t="shared" si="46"/>
        <v>0</v>
      </c>
      <c r="R278" s="416">
        <f t="shared" ref="R278:R335" si="54">SUM(P278:Q278)</f>
        <v>6</v>
      </c>
      <c r="S278" s="418">
        <f t="shared" ref="S278:S335" si="55">S277+R278</f>
        <v>1774</v>
      </c>
      <c r="T278" s="419">
        <f t="shared" ref="T278:T335" si="56">L278+R278</f>
        <v>7</v>
      </c>
      <c r="U278" s="420"/>
      <c r="V278" s="415"/>
      <c r="W278" s="415"/>
      <c r="X278" s="415"/>
      <c r="Y278" s="415">
        <v>1</v>
      </c>
      <c r="Z278" s="415"/>
      <c r="AA278" s="415"/>
      <c r="AB278" s="415"/>
      <c r="AC278" s="415"/>
      <c r="AD278" s="415"/>
      <c r="AE278" s="415"/>
      <c r="AF278" s="415">
        <v>6</v>
      </c>
      <c r="AG278" s="415"/>
      <c r="AI278" s="392"/>
    </row>
    <row r="279" spans="1:35" ht="14.25" x14ac:dyDescent="0.15">
      <c r="A279" s="392" t="str">
        <f t="shared" si="49"/>
        <v>26/06</v>
      </c>
      <c r="B279" s="414">
        <v>46191</v>
      </c>
      <c r="C279" s="415">
        <v>0</v>
      </c>
      <c r="D279" s="415">
        <v>0</v>
      </c>
      <c r="E279" s="415">
        <f t="shared" si="48"/>
        <v>1</v>
      </c>
      <c r="F279" s="415">
        <f t="shared" si="47"/>
        <v>0</v>
      </c>
      <c r="G279" s="415">
        <f t="shared" si="47"/>
        <v>0</v>
      </c>
      <c r="H279" s="415">
        <f t="shared" si="47"/>
        <v>0</v>
      </c>
      <c r="I279" s="415">
        <f t="shared" si="47"/>
        <v>0</v>
      </c>
      <c r="J279" s="415">
        <f t="shared" si="47"/>
        <v>0</v>
      </c>
      <c r="K279" s="415">
        <f t="shared" si="47"/>
        <v>0</v>
      </c>
      <c r="L279" s="416">
        <f t="shared" si="50"/>
        <v>1</v>
      </c>
      <c r="M279" s="417">
        <f t="shared" si="51"/>
        <v>21449</v>
      </c>
      <c r="N279" s="288">
        <f t="shared" si="52"/>
        <v>0</v>
      </c>
      <c r="O279" s="290">
        <f t="shared" si="53"/>
        <v>1</v>
      </c>
      <c r="P279" s="287">
        <f t="shared" si="46"/>
        <v>6</v>
      </c>
      <c r="Q279" s="288">
        <f t="shared" si="46"/>
        <v>0</v>
      </c>
      <c r="R279" s="416">
        <f t="shared" si="54"/>
        <v>6</v>
      </c>
      <c r="S279" s="418">
        <f t="shared" si="55"/>
        <v>1780</v>
      </c>
      <c r="T279" s="419">
        <f t="shared" si="56"/>
        <v>7</v>
      </c>
      <c r="U279" s="420"/>
      <c r="V279" s="415"/>
      <c r="W279" s="415"/>
      <c r="X279" s="415"/>
      <c r="Y279" s="415">
        <v>1</v>
      </c>
      <c r="Z279" s="415"/>
      <c r="AA279" s="415"/>
      <c r="AB279" s="415"/>
      <c r="AC279" s="415"/>
      <c r="AD279" s="415"/>
      <c r="AE279" s="415"/>
      <c r="AF279" s="415">
        <v>6</v>
      </c>
      <c r="AG279" s="415"/>
      <c r="AI279" s="392"/>
    </row>
    <row r="280" spans="1:35" ht="14.25" x14ac:dyDescent="0.15">
      <c r="A280" s="392" t="str">
        <f t="shared" si="49"/>
        <v>26/06</v>
      </c>
      <c r="B280" s="414">
        <v>46192</v>
      </c>
      <c r="C280" s="415">
        <v>0</v>
      </c>
      <c r="D280" s="415">
        <v>0</v>
      </c>
      <c r="E280" s="415">
        <f t="shared" si="48"/>
        <v>1</v>
      </c>
      <c r="F280" s="415">
        <f t="shared" si="47"/>
        <v>0</v>
      </c>
      <c r="G280" s="415">
        <f t="shared" si="47"/>
        <v>0</v>
      </c>
      <c r="H280" s="415">
        <f t="shared" si="47"/>
        <v>0</v>
      </c>
      <c r="I280" s="415">
        <f t="shared" si="47"/>
        <v>0</v>
      </c>
      <c r="J280" s="415">
        <f t="shared" si="47"/>
        <v>0</v>
      </c>
      <c r="K280" s="415">
        <f t="shared" si="47"/>
        <v>0</v>
      </c>
      <c r="L280" s="416">
        <f t="shared" si="50"/>
        <v>1</v>
      </c>
      <c r="M280" s="417">
        <f t="shared" si="51"/>
        <v>21450</v>
      </c>
      <c r="N280" s="288">
        <f t="shared" si="52"/>
        <v>0</v>
      </c>
      <c r="O280" s="290">
        <f t="shared" si="53"/>
        <v>1</v>
      </c>
      <c r="P280" s="287">
        <f t="shared" si="46"/>
        <v>5</v>
      </c>
      <c r="Q280" s="288">
        <f t="shared" si="46"/>
        <v>0</v>
      </c>
      <c r="R280" s="416">
        <f t="shared" si="54"/>
        <v>5</v>
      </c>
      <c r="S280" s="418">
        <f t="shared" si="55"/>
        <v>1785</v>
      </c>
      <c r="T280" s="419">
        <f t="shared" si="56"/>
        <v>6</v>
      </c>
      <c r="U280" s="420"/>
      <c r="V280" s="415"/>
      <c r="W280" s="415"/>
      <c r="X280" s="415"/>
      <c r="Y280" s="415">
        <v>1</v>
      </c>
      <c r="Z280" s="415"/>
      <c r="AA280" s="415"/>
      <c r="AB280" s="415"/>
      <c r="AC280" s="415"/>
      <c r="AD280" s="415"/>
      <c r="AE280" s="415"/>
      <c r="AF280" s="415">
        <v>5</v>
      </c>
      <c r="AG280" s="415"/>
      <c r="AI280" s="392"/>
    </row>
    <row r="281" spans="1:35" ht="14.25" x14ac:dyDescent="0.15">
      <c r="A281" s="392" t="str">
        <f t="shared" si="49"/>
        <v>26/06</v>
      </c>
      <c r="B281" s="414">
        <v>46195</v>
      </c>
      <c r="C281" s="415">
        <v>0</v>
      </c>
      <c r="D281" s="415">
        <v>0</v>
      </c>
      <c r="E281" s="415">
        <f t="shared" si="48"/>
        <v>1</v>
      </c>
      <c r="F281" s="415">
        <f t="shared" si="47"/>
        <v>0</v>
      </c>
      <c r="G281" s="415">
        <f t="shared" si="47"/>
        <v>0</v>
      </c>
      <c r="H281" s="415">
        <f t="shared" si="47"/>
        <v>0</v>
      </c>
      <c r="I281" s="415">
        <f t="shared" si="47"/>
        <v>0</v>
      </c>
      <c r="J281" s="415">
        <f t="shared" si="47"/>
        <v>0</v>
      </c>
      <c r="K281" s="415">
        <f t="shared" si="47"/>
        <v>0</v>
      </c>
      <c r="L281" s="416">
        <f t="shared" si="50"/>
        <v>1</v>
      </c>
      <c r="M281" s="417">
        <f t="shared" si="51"/>
        <v>21451</v>
      </c>
      <c r="N281" s="288">
        <f t="shared" si="52"/>
        <v>0</v>
      </c>
      <c r="O281" s="290">
        <f t="shared" si="53"/>
        <v>1</v>
      </c>
      <c r="P281" s="287">
        <f t="shared" si="46"/>
        <v>5</v>
      </c>
      <c r="Q281" s="288">
        <f t="shared" si="46"/>
        <v>0</v>
      </c>
      <c r="R281" s="416">
        <f t="shared" si="54"/>
        <v>5</v>
      </c>
      <c r="S281" s="418">
        <f t="shared" si="55"/>
        <v>1790</v>
      </c>
      <c r="T281" s="419">
        <f t="shared" si="56"/>
        <v>6</v>
      </c>
      <c r="U281" s="420"/>
      <c r="V281" s="415"/>
      <c r="W281" s="415"/>
      <c r="X281" s="415"/>
      <c r="Y281" s="415">
        <v>1</v>
      </c>
      <c r="Z281" s="415"/>
      <c r="AA281" s="415"/>
      <c r="AB281" s="415"/>
      <c r="AC281" s="415"/>
      <c r="AD281" s="415"/>
      <c r="AE281" s="415"/>
      <c r="AF281" s="415">
        <v>5</v>
      </c>
      <c r="AG281" s="415"/>
      <c r="AI281" s="392"/>
    </row>
    <row r="282" spans="1:35" ht="14.25" x14ac:dyDescent="0.15">
      <c r="A282" s="392" t="str">
        <f t="shared" si="49"/>
        <v>26/06</v>
      </c>
      <c r="B282" s="414">
        <v>46196</v>
      </c>
      <c r="C282" s="415">
        <v>0</v>
      </c>
      <c r="D282" s="415">
        <v>0</v>
      </c>
      <c r="E282" s="415">
        <f t="shared" si="48"/>
        <v>1</v>
      </c>
      <c r="F282" s="415">
        <f t="shared" si="47"/>
        <v>0</v>
      </c>
      <c r="G282" s="415">
        <f t="shared" si="47"/>
        <v>0</v>
      </c>
      <c r="H282" s="415">
        <f t="shared" si="47"/>
        <v>0</v>
      </c>
      <c r="I282" s="415">
        <f t="shared" si="47"/>
        <v>0</v>
      </c>
      <c r="J282" s="415">
        <f t="shared" si="47"/>
        <v>0</v>
      </c>
      <c r="K282" s="415">
        <f t="shared" si="47"/>
        <v>0</v>
      </c>
      <c r="L282" s="416">
        <f t="shared" si="50"/>
        <v>1</v>
      </c>
      <c r="M282" s="417">
        <f t="shared" si="51"/>
        <v>21452</v>
      </c>
      <c r="N282" s="288">
        <f t="shared" si="52"/>
        <v>0</v>
      </c>
      <c r="O282" s="290">
        <f t="shared" si="53"/>
        <v>1</v>
      </c>
      <c r="P282" s="287">
        <f t="shared" si="46"/>
        <v>5</v>
      </c>
      <c r="Q282" s="288">
        <f t="shared" si="46"/>
        <v>0</v>
      </c>
      <c r="R282" s="416">
        <f t="shared" si="54"/>
        <v>5</v>
      </c>
      <c r="S282" s="418">
        <f t="shared" si="55"/>
        <v>1795</v>
      </c>
      <c r="T282" s="419">
        <f t="shared" si="56"/>
        <v>6</v>
      </c>
      <c r="U282" s="420"/>
      <c r="V282" s="415"/>
      <c r="W282" s="415"/>
      <c r="X282" s="415"/>
      <c r="Y282" s="415">
        <v>1</v>
      </c>
      <c r="Z282" s="415"/>
      <c r="AA282" s="415"/>
      <c r="AB282" s="415"/>
      <c r="AC282" s="415"/>
      <c r="AD282" s="415"/>
      <c r="AE282" s="415"/>
      <c r="AF282" s="415">
        <v>5</v>
      </c>
      <c r="AG282" s="415"/>
      <c r="AI282" s="392"/>
    </row>
    <row r="283" spans="1:35" ht="14.25" x14ac:dyDescent="0.15">
      <c r="A283" s="392" t="str">
        <f t="shared" si="49"/>
        <v>26/06</v>
      </c>
      <c r="B283" s="414">
        <v>46197</v>
      </c>
      <c r="C283" s="415">
        <v>0</v>
      </c>
      <c r="D283" s="415">
        <v>0</v>
      </c>
      <c r="E283" s="415">
        <f t="shared" si="48"/>
        <v>1</v>
      </c>
      <c r="F283" s="415">
        <f t="shared" si="47"/>
        <v>0</v>
      </c>
      <c r="G283" s="415">
        <f t="shared" si="47"/>
        <v>0</v>
      </c>
      <c r="H283" s="415">
        <f t="shared" si="47"/>
        <v>0</v>
      </c>
      <c r="I283" s="415">
        <f t="shared" si="47"/>
        <v>0</v>
      </c>
      <c r="J283" s="415">
        <f t="shared" si="47"/>
        <v>0</v>
      </c>
      <c r="K283" s="415">
        <f t="shared" si="47"/>
        <v>0</v>
      </c>
      <c r="L283" s="416">
        <f t="shared" si="50"/>
        <v>1</v>
      </c>
      <c r="M283" s="417">
        <f t="shared" si="51"/>
        <v>21453</v>
      </c>
      <c r="N283" s="288">
        <f t="shared" si="52"/>
        <v>0</v>
      </c>
      <c r="O283" s="290">
        <f t="shared" si="53"/>
        <v>1</v>
      </c>
      <c r="P283" s="287">
        <f t="shared" si="46"/>
        <v>6</v>
      </c>
      <c r="Q283" s="288">
        <f t="shared" si="46"/>
        <v>0</v>
      </c>
      <c r="R283" s="416">
        <f t="shared" si="54"/>
        <v>6</v>
      </c>
      <c r="S283" s="418">
        <f t="shared" si="55"/>
        <v>1801</v>
      </c>
      <c r="T283" s="419">
        <f t="shared" si="56"/>
        <v>7</v>
      </c>
      <c r="U283" s="420"/>
      <c r="V283" s="415"/>
      <c r="W283" s="415"/>
      <c r="X283" s="415"/>
      <c r="Y283" s="415">
        <v>1</v>
      </c>
      <c r="Z283" s="415"/>
      <c r="AA283" s="415"/>
      <c r="AB283" s="415"/>
      <c r="AC283" s="415"/>
      <c r="AD283" s="415"/>
      <c r="AE283" s="415"/>
      <c r="AF283" s="415">
        <v>6</v>
      </c>
      <c r="AG283" s="415"/>
      <c r="AI283" s="392"/>
    </row>
    <row r="284" spans="1:35" ht="14.25" x14ac:dyDescent="0.15">
      <c r="A284" s="392" t="str">
        <f t="shared" si="49"/>
        <v>26/06</v>
      </c>
      <c r="B284" s="414">
        <v>46198</v>
      </c>
      <c r="C284" s="415">
        <v>0</v>
      </c>
      <c r="D284" s="415">
        <v>0</v>
      </c>
      <c r="E284" s="415">
        <f t="shared" si="48"/>
        <v>1</v>
      </c>
      <c r="F284" s="415">
        <f t="shared" si="47"/>
        <v>0</v>
      </c>
      <c r="G284" s="415">
        <f t="shared" si="47"/>
        <v>0</v>
      </c>
      <c r="H284" s="415">
        <f t="shared" si="47"/>
        <v>0</v>
      </c>
      <c r="I284" s="415">
        <f t="shared" si="47"/>
        <v>0</v>
      </c>
      <c r="J284" s="415">
        <f t="shared" si="47"/>
        <v>0</v>
      </c>
      <c r="K284" s="415">
        <f t="shared" si="47"/>
        <v>0</v>
      </c>
      <c r="L284" s="416">
        <f t="shared" si="50"/>
        <v>1</v>
      </c>
      <c r="M284" s="417">
        <f t="shared" si="51"/>
        <v>21454</v>
      </c>
      <c r="N284" s="288">
        <f t="shared" si="52"/>
        <v>0</v>
      </c>
      <c r="O284" s="290">
        <f t="shared" si="53"/>
        <v>1</v>
      </c>
      <c r="P284" s="287">
        <f t="shared" si="46"/>
        <v>6</v>
      </c>
      <c r="Q284" s="288">
        <f t="shared" si="46"/>
        <v>0</v>
      </c>
      <c r="R284" s="416">
        <f t="shared" si="54"/>
        <v>6</v>
      </c>
      <c r="S284" s="418">
        <f t="shared" si="55"/>
        <v>1807</v>
      </c>
      <c r="T284" s="419">
        <f t="shared" si="56"/>
        <v>7</v>
      </c>
      <c r="U284" s="420"/>
      <c r="V284" s="415"/>
      <c r="W284" s="415"/>
      <c r="X284" s="415"/>
      <c r="Y284" s="415">
        <v>1</v>
      </c>
      <c r="Z284" s="415"/>
      <c r="AA284" s="415"/>
      <c r="AB284" s="415"/>
      <c r="AC284" s="415"/>
      <c r="AD284" s="415"/>
      <c r="AE284" s="415"/>
      <c r="AF284" s="415">
        <v>6</v>
      </c>
      <c r="AG284" s="415"/>
      <c r="AI284" s="392"/>
    </row>
    <row r="285" spans="1:35" ht="14.25" x14ac:dyDescent="0.15">
      <c r="A285" s="392" t="str">
        <f t="shared" si="49"/>
        <v>26/06</v>
      </c>
      <c r="B285" s="414">
        <v>46199</v>
      </c>
      <c r="C285" s="415">
        <v>0</v>
      </c>
      <c r="D285" s="415">
        <v>0</v>
      </c>
      <c r="E285" s="415">
        <f t="shared" si="48"/>
        <v>0</v>
      </c>
      <c r="F285" s="415">
        <f t="shared" si="47"/>
        <v>0</v>
      </c>
      <c r="G285" s="415">
        <f t="shared" si="47"/>
        <v>0</v>
      </c>
      <c r="H285" s="415">
        <f t="shared" si="47"/>
        <v>0</v>
      </c>
      <c r="I285" s="415">
        <f t="shared" si="47"/>
        <v>1</v>
      </c>
      <c r="J285" s="415">
        <f t="shared" si="47"/>
        <v>0</v>
      </c>
      <c r="K285" s="415">
        <f t="shared" si="47"/>
        <v>0</v>
      </c>
      <c r="L285" s="416">
        <f t="shared" si="50"/>
        <v>1</v>
      </c>
      <c r="M285" s="417">
        <f t="shared" si="51"/>
        <v>21455</v>
      </c>
      <c r="N285" s="288">
        <f t="shared" si="52"/>
        <v>1</v>
      </c>
      <c r="O285" s="290">
        <f t="shared" si="53"/>
        <v>0</v>
      </c>
      <c r="P285" s="287">
        <f t="shared" si="46"/>
        <v>6</v>
      </c>
      <c r="Q285" s="288">
        <f t="shared" si="46"/>
        <v>0</v>
      </c>
      <c r="R285" s="416">
        <f t="shared" si="54"/>
        <v>6</v>
      </c>
      <c r="S285" s="418">
        <f t="shared" si="55"/>
        <v>1813</v>
      </c>
      <c r="T285" s="419">
        <f t="shared" si="56"/>
        <v>7</v>
      </c>
      <c r="U285" s="420"/>
      <c r="V285" s="415"/>
      <c r="W285" s="415"/>
      <c r="X285" s="415"/>
      <c r="Y285" s="415"/>
      <c r="Z285" s="415"/>
      <c r="AA285" s="415"/>
      <c r="AB285" s="415"/>
      <c r="AC285" s="415">
        <v>1</v>
      </c>
      <c r="AD285" s="415"/>
      <c r="AE285" s="415"/>
      <c r="AF285" s="415">
        <v>6</v>
      </c>
      <c r="AG285" s="415"/>
      <c r="AI285" s="392"/>
    </row>
    <row r="286" spans="1:35" ht="14.25" x14ac:dyDescent="0.15">
      <c r="A286" s="392" t="str">
        <f t="shared" si="49"/>
        <v>26/06</v>
      </c>
      <c r="B286" s="414">
        <v>46202</v>
      </c>
      <c r="C286" s="415">
        <v>0</v>
      </c>
      <c r="D286" s="415">
        <v>0</v>
      </c>
      <c r="E286" s="415">
        <f t="shared" si="48"/>
        <v>0</v>
      </c>
      <c r="F286" s="415">
        <f t="shared" si="47"/>
        <v>0</v>
      </c>
      <c r="G286" s="415">
        <f t="shared" si="47"/>
        <v>0</v>
      </c>
      <c r="H286" s="415">
        <f t="shared" si="47"/>
        <v>0</v>
      </c>
      <c r="I286" s="415">
        <f t="shared" si="47"/>
        <v>0</v>
      </c>
      <c r="J286" s="415">
        <f t="shared" si="47"/>
        <v>0</v>
      </c>
      <c r="K286" s="415">
        <f t="shared" si="47"/>
        <v>0</v>
      </c>
      <c r="L286" s="416">
        <f t="shared" si="50"/>
        <v>0</v>
      </c>
      <c r="M286" s="417">
        <f t="shared" si="51"/>
        <v>21455</v>
      </c>
      <c r="N286" s="288">
        <f t="shared" si="52"/>
        <v>0</v>
      </c>
      <c r="O286" s="290">
        <f t="shared" si="53"/>
        <v>0</v>
      </c>
      <c r="P286" s="287">
        <f t="shared" si="46"/>
        <v>5</v>
      </c>
      <c r="Q286" s="288">
        <f t="shared" si="46"/>
        <v>0</v>
      </c>
      <c r="R286" s="416">
        <f t="shared" si="54"/>
        <v>5</v>
      </c>
      <c r="S286" s="418">
        <f t="shared" si="55"/>
        <v>1818</v>
      </c>
      <c r="T286" s="419">
        <f t="shared" si="56"/>
        <v>5</v>
      </c>
      <c r="U286" s="420"/>
      <c r="V286" s="415"/>
      <c r="W286" s="415"/>
      <c r="X286" s="415"/>
      <c r="Y286" s="415"/>
      <c r="Z286" s="415"/>
      <c r="AA286" s="415"/>
      <c r="AB286" s="415"/>
      <c r="AC286" s="415"/>
      <c r="AD286" s="415"/>
      <c r="AE286" s="415"/>
      <c r="AF286" s="415">
        <v>5</v>
      </c>
      <c r="AG286" s="415"/>
      <c r="AI286" s="392"/>
    </row>
    <row r="287" spans="1:35" ht="15" thickBot="1" x14ac:dyDescent="0.2">
      <c r="A287" s="392" t="str">
        <f t="shared" si="49"/>
        <v>26/06</v>
      </c>
      <c r="B287" s="423">
        <v>46203</v>
      </c>
      <c r="C287" s="424">
        <v>0</v>
      </c>
      <c r="D287" s="424">
        <v>0</v>
      </c>
      <c r="E287" s="424">
        <f t="shared" si="48"/>
        <v>0</v>
      </c>
      <c r="F287" s="424">
        <f t="shared" si="47"/>
        <v>0</v>
      </c>
      <c r="G287" s="424">
        <f t="shared" si="47"/>
        <v>0</v>
      </c>
      <c r="H287" s="424">
        <f t="shared" si="47"/>
        <v>0</v>
      </c>
      <c r="I287" s="424">
        <f t="shared" si="47"/>
        <v>0</v>
      </c>
      <c r="J287" s="424">
        <f t="shared" si="47"/>
        <v>0</v>
      </c>
      <c r="K287" s="424">
        <f t="shared" si="47"/>
        <v>0</v>
      </c>
      <c r="L287" s="425">
        <f t="shared" si="50"/>
        <v>0</v>
      </c>
      <c r="M287" s="426">
        <f t="shared" si="51"/>
        <v>21455</v>
      </c>
      <c r="N287" s="427">
        <f t="shared" si="52"/>
        <v>0</v>
      </c>
      <c r="O287" s="428">
        <f t="shared" si="53"/>
        <v>0</v>
      </c>
      <c r="P287" s="429">
        <f t="shared" si="46"/>
        <v>5</v>
      </c>
      <c r="Q287" s="427">
        <f t="shared" si="46"/>
        <v>0</v>
      </c>
      <c r="R287" s="425">
        <f t="shared" si="54"/>
        <v>5</v>
      </c>
      <c r="S287" s="430">
        <f t="shared" si="55"/>
        <v>1823</v>
      </c>
      <c r="T287" s="431">
        <f t="shared" si="56"/>
        <v>5</v>
      </c>
      <c r="U287" s="432"/>
      <c r="V287" s="424"/>
      <c r="W287" s="424"/>
      <c r="X287" s="424"/>
      <c r="Y287" s="424"/>
      <c r="Z287" s="424"/>
      <c r="AA287" s="424"/>
      <c r="AB287" s="424"/>
      <c r="AC287" s="424"/>
      <c r="AD287" s="424"/>
      <c r="AE287" s="424"/>
      <c r="AF287" s="424">
        <v>5</v>
      </c>
      <c r="AG287" s="424"/>
      <c r="AI287" s="392"/>
    </row>
    <row r="288" spans="1:35" ht="15" thickTop="1" x14ac:dyDescent="0.15">
      <c r="A288" s="392" t="str">
        <f t="shared" si="49"/>
        <v>26/07</v>
      </c>
      <c r="B288" s="414">
        <v>46204</v>
      </c>
      <c r="C288" s="415">
        <v>0</v>
      </c>
      <c r="D288" s="415">
        <v>0</v>
      </c>
      <c r="E288" s="415">
        <f t="shared" si="48"/>
        <v>0</v>
      </c>
      <c r="F288" s="415">
        <f t="shared" si="47"/>
        <v>0</v>
      </c>
      <c r="G288" s="415">
        <f t="shared" si="47"/>
        <v>0</v>
      </c>
      <c r="H288" s="415">
        <f t="shared" si="47"/>
        <v>0</v>
      </c>
      <c r="I288" s="415">
        <f t="shared" si="47"/>
        <v>0</v>
      </c>
      <c r="J288" s="415">
        <f t="shared" si="47"/>
        <v>0</v>
      </c>
      <c r="K288" s="415">
        <f t="shared" si="47"/>
        <v>0</v>
      </c>
      <c r="L288" s="416">
        <f t="shared" si="50"/>
        <v>0</v>
      </c>
      <c r="M288" s="417">
        <f t="shared" si="51"/>
        <v>21455</v>
      </c>
      <c r="N288" s="288">
        <f t="shared" si="52"/>
        <v>0</v>
      </c>
      <c r="O288" s="290">
        <f t="shared" si="53"/>
        <v>0</v>
      </c>
      <c r="P288" s="287">
        <f t="shared" si="46"/>
        <v>28</v>
      </c>
      <c r="Q288" s="288">
        <f t="shared" si="46"/>
        <v>0</v>
      </c>
      <c r="R288" s="416">
        <f t="shared" si="54"/>
        <v>28</v>
      </c>
      <c r="S288" s="418">
        <f t="shared" si="55"/>
        <v>1851</v>
      </c>
      <c r="T288" s="419">
        <f t="shared" si="56"/>
        <v>28</v>
      </c>
      <c r="U288" s="420"/>
      <c r="V288" s="415"/>
      <c r="W288" s="415"/>
      <c r="X288" s="415"/>
      <c r="Y288" s="415"/>
      <c r="Z288" s="415"/>
      <c r="AA288" s="415"/>
      <c r="AB288" s="415"/>
      <c r="AC288" s="415"/>
      <c r="AD288" s="415"/>
      <c r="AE288" s="415"/>
      <c r="AF288" s="415">
        <v>28</v>
      </c>
      <c r="AG288" s="415"/>
      <c r="AI288" s="392"/>
    </row>
    <row r="289" spans="1:35" ht="14.25" x14ac:dyDescent="0.15">
      <c r="A289" s="392" t="str">
        <f t="shared" si="49"/>
        <v>26/07</v>
      </c>
      <c r="B289" s="414">
        <v>46205</v>
      </c>
      <c r="C289" s="415">
        <v>0</v>
      </c>
      <c r="D289" s="415">
        <v>0</v>
      </c>
      <c r="E289" s="415">
        <f t="shared" si="48"/>
        <v>0</v>
      </c>
      <c r="F289" s="415">
        <f t="shared" si="47"/>
        <v>0</v>
      </c>
      <c r="G289" s="415">
        <f t="shared" si="47"/>
        <v>0</v>
      </c>
      <c r="H289" s="415">
        <f t="shared" si="47"/>
        <v>0</v>
      </c>
      <c r="I289" s="415">
        <f t="shared" si="47"/>
        <v>1</v>
      </c>
      <c r="J289" s="415">
        <f t="shared" si="47"/>
        <v>0</v>
      </c>
      <c r="K289" s="415">
        <f t="shared" si="47"/>
        <v>0</v>
      </c>
      <c r="L289" s="416">
        <f t="shared" si="50"/>
        <v>1</v>
      </c>
      <c r="M289" s="417">
        <f t="shared" si="51"/>
        <v>21456</v>
      </c>
      <c r="N289" s="288">
        <f t="shared" si="52"/>
        <v>1</v>
      </c>
      <c r="O289" s="290">
        <f t="shared" si="53"/>
        <v>0</v>
      </c>
      <c r="P289" s="287">
        <f t="shared" si="46"/>
        <v>0</v>
      </c>
      <c r="Q289" s="288">
        <f t="shared" si="46"/>
        <v>0</v>
      </c>
      <c r="R289" s="416">
        <f t="shared" si="54"/>
        <v>0</v>
      </c>
      <c r="S289" s="418">
        <f t="shared" si="55"/>
        <v>1851</v>
      </c>
      <c r="T289" s="419">
        <f t="shared" si="56"/>
        <v>1</v>
      </c>
      <c r="U289" s="420"/>
      <c r="V289" s="415"/>
      <c r="W289" s="415"/>
      <c r="X289" s="415"/>
      <c r="Y289" s="415"/>
      <c r="Z289" s="415"/>
      <c r="AA289" s="415"/>
      <c r="AB289" s="415"/>
      <c r="AC289" s="415">
        <v>1</v>
      </c>
      <c r="AD289" s="415"/>
      <c r="AE289" s="415"/>
      <c r="AF289" s="415"/>
      <c r="AG289" s="415"/>
      <c r="AI289" s="392"/>
    </row>
    <row r="290" spans="1:35" ht="14.25" x14ac:dyDescent="0.15">
      <c r="A290" s="392" t="str">
        <f t="shared" si="49"/>
        <v>26/07</v>
      </c>
      <c r="B290" s="414">
        <v>46206</v>
      </c>
      <c r="C290" s="415">
        <v>0</v>
      </c>
      <c r="D290" s="415">
        <v>0</v>
      </c>
      <c r="E290" s="415">
        <f t="shared" si="48"/>
        <v>0</v>
      </c>
      <c r="F290" s="415">
        <f t="shared" si="47"/>
        <v>0</v>
      </c>
      <c r="G290" s="415">
        <f t="shared" si="47"/>
        <v>0</v>
      </c>
      <c r="H290" s="415">
        <f t="shared" si="47"/>
        <v>0</v>
      </c>
      <c r="I290" s="415">
        <f t="shared" si="47"/>
        <v>1</v>
      </c>
      <c r="J290" s="415">
        <f t="shared" si="47"/>
        <v>0</v>
      </c>
      <c r="K290" s="415">
        <f t="shared" si="47"/>
        <v>0</v>
      </c>
      <c r="L290" s="416">
        <f t="shared" si="50"/>
        <v>1</v>
      </c>
      <c r="M290" s="417">
        <f t="shared" si="51"/>
        <v>21457</v>
      </c>
      <c r="N290" s="288">
        <f t="shared" si="52"/>
        <v>1</v>
      </c>
      <c r="O290" s="290">
        <f t="shared" si="53"/>
        <v>0</v>
      </c>
      <c r="P290" s="287">
        <f t="shared" si="46"/>
        <v>0</v>
      </c>
      <c r="Q290" s="288">
        <f t="shared" si="46"/>
        <v>0</v>
      </c>
      <c r="R290" s="416">
        <f t="shared" si="54"/>
        <v>0</v>
      </c>
      <c r="S290" s="418">
        <f t="shared" si="55"/>
        <v>1851</v>
      </c>
      <c r="T290" s="419">
        <f t="shared" si="56"/>
        <v>1</v>
      </c>
      <c r="U290" s="420"/>
      <c r="V290" s="415"/>
      <c r="W290" s="415"/>
      <c r="X290" s="415"/>
      <c r="Y290" s="415"/>
      <c r="Z290" s="415"/>
      <c r="AA290" s="415"/>
      <c r="AB290" s="415"/>
      <c r="AC290" s="415">
        <v>1</v>
      </c>
      <c r="AD290" s="415"/>
      <c r="AE290" s="415"/>
      <c r="AF290" s="415"/>
      <c r="AG290" s="415"/>
      <c r="AI290" s="392"/>
    </row>
    <row r="291" spans="1:35" ht="14.25" x14ac:dyDescent="0.15">
      <c r="A291" s="392" t="str">
        <f t="shared" si="49"/>
        <v>26/07</v>
      </c>
      <c r="B291" s="414">
        <v>46209</v>
      </c>
      <c r="C291" s="415">
        <v>0</v>
      </c>
      <c r="D291" s="415">
        <v>0</v>
      </c>
      <c r="E291" s="415">
        <f t="shared" si="48"/>
        <v>0</v>
      </c>
      <c r="F291" s="415">
        <f t="shared" si="47"/>
        <v>0</v>
      </c>
      <c r="G291" s="415">
        <f t="shared" si="47"/>
        <v>0</v>
      </c>
      <c r="H291" s="415">
        <f t="shared" si="47"/>
        <v>0</v>
      </c>
      <c r="I291" s="415">
        <f t="shared" si="47"/>
        <v>1</v>
      </c>
      <c r="J291" s="415">
        <f t="shared" si="47"/>
        <v>0</v>
      </c>
      <c r="K291" s="415">
        <f t="shared" si="47"/>
        <v>0</v>
      </c>
      <c r="L291" s="416">
        <f t="shared" si="50"/>
        <v>1</v>
      </c>
      <c r="M291" s="417">
        <f t="shared" si="51"/>
        <v>21458</v>
      </c>
      <c r="N291" s="288">
        <f t="shared" si="52"/>
        <v>1</v>
      </c>
      <c r="O291" s="290">
        <f t="shared" si="53"/>
        <v>0</v>
      </c>
      <c r="P291" s="287">
        <f t="shared" si="46"/>
        <v>0</v>
      </c>
      <c r="Q291" s="288">
        <f t="shared" si="46"/>
        <v>0</v>
      </c>
      <c r="R291" s="416">
        <f t="shared" si="54"/>
        <v>0</v>
      </c>
      <c r="S291" s="418">
        <f t="shared" si="55"/>
        <v>1851</v>
      </c>
      <c r="T291" s="419">
        <f t="shared" si="56"/>
        <v>1</v>
      </c>
      <c r="U291" s="420"/>
      <c r="V291" s="415"/>
      <c r="W291" s="415"/>
      <c r="X291" s="415"/>
      <c r="Y291" s="415"/>
      <c r="Z291" s="415"/>
      <c r="AA291" s="415"/>
      <c r="AB291" s="415"/>
      <c r="AC291" s="415">
        <v>1</v>
      </c>
      <c r="AD291" s="415"/>
      <c r="AE291" s="415"/>
      <c r="AF291" s="415"/>
      <c r="AG291" s="415"/>
      <c r="AI291" s="392"/>
    </row>
    <row r="292" spans="1:35" ht="14.25" x14ac:dyDescent="0.15">
      <c r="A292" s="392" t="str">
        <f t="shared" si="49"/>
        <v>26/07</v>
      </c>
      <c r="B292" s="414">
        <v>46210</v>
      </c>
      <c r="C292" s="415">
        <v>0</v>
      </c>
      <c r="D292" s="415">
        <v>0</v>
      </c>
      <c r="E292" s="415">
        <f t="shared" si="48"/>
        <v>1</v>
      </c>
      <c r="F292" s="415">
        <f t="shared" si="47"/>
        <v>0</v>
      </c>
      <c r="G292" s="415">
        <f t="shared" si="47"/>
        <v>0</v>
      </c>
      <c r="H292" s="415">
        <f t="shared" si="47"/>
        <v>0</v>
      </c>
      <c r="I292" s="415">
        <f t="shared" si="47"/>
        <v>0</v>
      </c>
      <c r="J292" s="415">
        <f t="shared" si="47"/>
        <v>0</v>
      </c>
      <c r="K292" s="415">
        <f t="shared" si="47"/>
        <v>0</v>
      </c>
      <c r="L292" s="416">
        <f t="shared" si="50"/>
        <v>1</v>
      </c>
      <c r="M292" s="417">
        <f t="shared" si="51"/>
        <v>21459</v>
      </c>
      <c r="N292" s="288">
        <f t="shared" si="52"/>
        <v>0</v>
      </c>
      <c r="O292" s="290">
        <f t="shared" si="53"/>
        <v>1</v>
      </c>
      <c r="P292" s="287">
        <f t="shared" si="46"/>
        <v>27</v>
      </c>
      <c r="Q292" s="288">
        <f t="shared" si="46"/>
        <v>0</v>
      </c>
      <c r="R292" s="416">
        <f t="shared" si="54"/>
        <v>27</v>
      </c>
      <c r="S292" s="418">
        <f t="shared" si="55"/>
        <v>1878</v>
      </c>
      <c r="T292" s="419">
        <f t="shared" si="56"/>
        <v>28</v>
      </c>
      <c r="U292" s="420"/>
      <c r="V292" s="415">
        <v>1</v>
      </c>
      <c r="W292" s="415"/>
      <c r="X292" s="415"/>
      <c r="Y292" s="415"/>
      <c r="Z292" s="415"/>
      <c r="AA292" s="415"/>
      <c r="AB292" s="415"/>
      <c r="AC292" s="415"/>
      <c r="AD292" s="415"/>
      <c r="AE292" s="415"/>
      <c r="AF292" s="415">
        <v>27</v>
      </c>
      <c r="AG292" s="415"/>
      <c r="AI292" s="392"/>
    </row>
    <row r="293" spans="1:35" ht="14.25" x14ac:dyDescent="0.15">
      <c r="A293" s="392" t="str">
        <f t="shared" si="49"/>
        <v>26/07</v>
      </c>
      <c r="B293" s="414">
        <v>46211</v>
      </c>
      <c r="C293" s="415">
        <v>0</v>
      </c>
      <c r="D293" s="415">
        <v>0</v>
      </c>
      <c r="E293" s="415">
        <f t="shared" si="48"/>
        <v>1</v>
      </c>
      <c r="F293" s="415">
        <f t="shared" si="47"/>
        <v>0</v>
      </c>
      <c r="G293" s="415">
        <f t="shared" si="47"/>
        <v>0</v>
      </c>
      <c r="H293" s="415">
        <f t="shared" si="47"/>
        <v>0</v>
      </c>
      <c r="I293" s="415">
        <f t="shared" si="47"/>
        <v>0</v>
      </c>
      <c r="J293" s="415">
        <f t="shared" si="47"/>
        <v>0</v>
      </c>
      <c r="K293" s="415">
        <f t="shared" si="47"/>
        <v>0</v>
      </c>
      <c r="L293" s="416">
        <f t="shared" si="50"/>
        <v>1</v>
      </c>
      <c r="M293" s="417">
        <f t="shared" si="51"/>
        <v>21460</v>
      </c>
      <c r="N293" s="288">
        <f t="shared" si="52"/>
        <v>0</v>
      </c>
      <c r="O293" s="290">
        <f t="shared" si="53"/>
        <v>1</v>
      </c>
      <c r="P293" s="287">
        <f t="shared" ref="P293:Q335" si="57">SUMIFS($U293:$AG293,$U$210:$AG$210,P$208)</f>
        <v>0</v>
      </c>
      <c r="Q293" s="288">
        <f t="shared" si="57"/>
        <v>0</v>
      </c>
      <c r="R293" s="416">
        <f t="shared" si="54"/>
        <v>0</v>
      </c>
      <c r="S293" s="418">
        <f t="shared" si="55"/>
        <v>1878</v>
      </c>
      <c r="T293" s="419">
        <f t="shared" si="56"/>
        <v>1</v>
      </c>
      <c r="U293" s="420"/>
      <c r="V293" s="415">
        <v>1</v>
      </c>
      <c r="W293" s="415"/>
      <c r="X293" s="415"/>
      <c r="Y293" s="415"/>
      <c r="Z293" s="415"/>
      <c r="AA293" s="415"/>
      <c r="AB293" s="415"/>
      <c r="AC293" s="415"/>
      <c r="AD293" s="415"/>
      <c r="AE293" s="415"/>
      <c r="AF293" s="415"/>
      <c r="AG293" s="415"/>
      <c r="AI293" s="392"/>
    </row>
    <row r="294" spans="1:35" ht="14.25" x14ac:dyDescent="0.15">
      <c r="A294" s="392" t="str">
        <f t="shared" si="49"/>
        <v>26/07</v>
      </c>
      <c r="B294" s="414">
        <v>46216</v>
      </c>
      <c r="C294" s="415">
        <v>0</v>
      </c>
      <c r="D294" s="415">
        <v>0</v>
      </c>
      <c r="E294" s="415">
        <f t="shared" si="48"/>
        <v>0</v>
      </c>
      <c r="F294" s="415">
        <f t="shared" si="47"/>
        <v>0</v>
      </c>
      <c r="G294" s="415">
        <f t="shared" si="47"/>
        <v>0</v>
      </c>
      <c r="H294" s="415">
        <f t="shared" si="47"/>
        <v>0</v>
      </c>
      <c r="I294" s="415">
        <f t="shared" si="47"/>
        <v>0</v>
      </c>
      <c r="J294" s="415">
        <f t="shared" si="47"/>
        <v>0</v>
      </c>
      <c r="K294" s="415">
        <f t="shared" si="47"/>
        <v>0</v>
      </c>
      <c r="L294" s="416">
        <f t="shared" si="50"/>
        <v>0</v>
      </c>
      <c r="M294" s="417">
        <f t="shared" si="51"/>
        <v>21460</v>
      </c>
      <c r="N294" s="288">
        <f t="shared" si="52"/>
        <v>0</v>
      </c>
      <c r="O294" s="290">
        <f t="shared" si="53"/>
        <v>0</v>
      </c>
      <c r="P294" s="287">
        <f t="shared" si="57"/>
        <v>27</v>
      </c>
      <c r="Q294" s="288">
        <f t="shared" si="57"/>
        <v>0</v>
      </c>
      <c r="R294" s="416">
        <f t="shared" si="54"/>
        <v>27</v>
      </c>
      <c r="S294" s="418">
        <f t="shared" si="55"/>
        <v>1905</v>
      </c>
      <c r="T294" s="419">
        <f t="shared" si="56"/>
        <v>27</v>
      </c>
      <c r="U294" s="420"/>
      <c r="V294" s="415"/>
      <c r="W294" s="415"/>
      <c r="X294" s="415"/>
      <c r="Y294" s="415"/>
      <c r="Z294" s="415"/>
      <c r="AA294" s="415"/>
      <c r="AB294" s="415"/>
      <c r="AC294" s="415"/>
      <c r="AD294" s="415"/>
      <c r="AE294" s="415"/>
      <c r="AF294" s="415">
        <v>27</v>
      </c>
      <c r="AG294" s="415"/>
      <c r="AI294" s="392"/>
    </row>
    <row r="295" spans="1:35" ht="14.25" x14ac:dyDescent="0.15">
      <c r="A295" s="392" t="str">
        <f t="shared" si="49"/>
        <v>26/07</v>
      </c>
      <c r="B295" s="414">
        <v>46219</v>
      </c>
      <c r="C295" s="415">
        <v>0</v>
      </c>
      <c r="D295" s="415">
        <v>0</v>
      </c>
      <c r="E295" s="415">
        <f t="shared" si="48"/>
        <v>0</v>
      </c>
      <c r="F295" s="415">
        <f t="shared" si="47"/>
        <v>0</v>
      </c>
      <c r="G295" s="415">
        <f t="shared" si="47"/>
        <v>0</v>
      </c>
      <c r="H295" s="415">
        <f t="shared" si="47"/>
        <v>0</v>
      </c>
      <c r="I295" s="415">
        <f t="shared" si="47"/>
        <v>3</v>
      </c>
      <c r="J295" s="415">
        <f t="shared" si="47"/>
        <v>0</v>
      </c>
      <c r="K295" s="415">
        <f t="shared" si="47"/>
        <v>0</v>
      </c>
      <c r="L295" s="416">
        <f t="shared" si="50"/>
        <v>3</v>
      </c>
      <c r="M295" s="417">
        <f t="shared" si="51"/>
        <v>21463</v>
      </c>
      <c r="N295" s="288">
        <f t="shared" si="52"/>
        <v>3</v>
      </c>
      <c r="O295" s="290">
        <f t="shared" si="53"/>
        <v>0</v>
      </c>
      <c r="P295" s="287">
        <f t="shared" si="57"/>
        <v>0</v>
      </c>
      <c r="Q295" s="288">
        <f t="shared" si="57"/>
        <v>0</v>
      </c>
      <c r="R295" s="416">
        <f t="shared" si="54"/>
        <v>0</v>
      </c>
      <c r="S295" s="418">
        <f t="shared" si="55"/>
        <v>1905</v>
      </c>
      <c r="T295" s="419">
        <f t="shared" si="56"/>
        <v>3</v>
      </c>
      <c r="U295" s="420"/>
      <c r="V295" s="415"/>
      <c r="W295" s="415"/>
      <c r="X295" s="415"/>
      <c r="Y295" s="415"/>
      <c r="Z295" s="415"/>
      <c r="AA295" s="415">
        <v>3</v>
      </c>
      <c r="AB295" s="415"/>
      <c r="AC295" s="415"/>
      <c r="AD295" s="415"/>
      <c r="AE295" s="415"/>
      <c r="AF295" s="415"/>
      <c r="AG295" s="415"/>
      <c r="AI295" s="392"/>
    </row>
    <row r="296" spans="1:35" ht="14.25" x14ac:dyDescent="0.15">
      <c r="A296" s="392" t="str">
        <f t="shared" si="49"/>
        <v>26/07</v>
      </c>
      <c r="B296" s="414">
        <v>46223</v>
      </c>
      <c r="C296" s="415">
        <v>0</v>
      </c>
      <c r="D296" s="415">
        <v>0</v>
      </c>
      <c r="E296" s="415">
        <f t="shared" si="48"/>
        <v>0</v>
      </c>
      <c r="F296" s="415">
        <f t="shared" si="47"/>
        <v>0</v>
      </c>
      <c r="G296" s="415">
        <f t="shared" si="47"/>
        <v>0</v>
      </c>
      <c r="H296" s="415">
        <f t="shared" si="47"/>
        <v>0</v>
      </c>
      <c r="I296" s="415">
        <f t="shared" si="47"/>
        <v>1</v>
      </c>
      <c r="J296" s="415">
        <f t="shared" si="47"/>
        <v>0</v>
      </c>
      <c r="K296" s="415">
        <f t="shared" si="47"/>
        <v>0</v>
      </c>
      <c r="L296" s="416">
        <f t="shared" si="50"/>
        <v>1</v>
      </c>
      <c r="M296" s="417">
        <f t="shared" si="51"/>
        <v>21464</v>
      </c>
      <c r="N296" s="288">
        <f t="shared" si="52"/>
        <v>1</v>
      </c>
      <c r="O296" s="290">
        <f t="shared" si="53"/>
        <v>0</v>
      </c>
      <c r="P296" s="287">
        <f t="shared" si="57"/>
        <v>0</v>
      </c>
      <c r="Q296" s="288">
        <f t="shared" si="57"/>
        <v>0</v>
      </c>
      <c r="R296" s="416">
        <f t="shared" si="54"/>
        <v>0</v>
      </c>
      <c r="S296" s="418">
        <f t="shared" si="55"/>
        <v>1905</v>
      </c>
      <c r="T296" s="419">
        <f t="shared" si="56"/>
        <v>1</v>
      </c>
      <c r="U296" s="420"/>
      <c r="V296" s="415"/>
      <c r="W296" s="415"/>
      <c r="X296" s="415"/>
      <c r="Y296" s="415"/>
      <c r="Z296" s="415"/>
      <c r="AA296" s="415"/>
      <c r="AB296" s="415"/>
      <c r="AC296" s="415">
        <v>1</v>
      </c>
      <c r="AD296" s="415"/>
      <c r="AE296" s="415"/>
      <c r="AF296" s="415"/>
      <c r="AG296" s="415"/>
      <c r="AI296" s="392"/>
    </row>
    <row r="297" spans="1:35" ht="15" thickBot="1" x14ac:dyDescent="0.2">
      <c r="A297" s="392" t="str">
        <f t="shared" si="49"/>
        <v>26/07</v>
      </c>
      <c r="B297" s="423">
        <v>46231</v>
      </c>
      <c r="C297" s="424">
        <v>0</v>
      </c>
      <c r="D297" s="424">
        <v>0</v>
      </c>
      <c r="E297" s="424">
        <f t="shared" si="48"/>
        <v>0</v>
      </c>
      <c r="F297" s="424">
        <f t="shared" si="47"/>
        <v>0</v>
      </c>
      <c r="G297" s="424">
        <f t="shared" si="47"/>
        <v>0</v>
      </c>
      <c r="H297" s="424">
        <f t="shared" si="47"/>
        <v>0</v>
      </c>
      <c r="I297" s="424">
        <f t="shared" si="47"/>
        <v>0</v>
      </c>
      <c r="J297" s="424">
        <f t="shared" si="47"/>
        <v>0</v>
      </c>
      <c r="K297" s="424">
        <f t="shared" si="47"/>
        <v>0</v>
      </c>
      <c r="L297" s="425">
        <f t="shared" si="50"/>
        <v>0</v>
      </c>
      <c r="M297" s="426">
        <f t="shared" si="51"/>
        <v>21464</v>
      </c>
      <c r="N297" s="427">
        <f t="shared" si="52"/>
        <v>0</v>
      </c>
      <c r="O297" s="428">
        <f t="shared" si="53"/>
        <v>0</v>
      </c>
      <c r="P297" s="429">
        <f t="shared" si="57"/>
        <v>37</v>
      </c>
      <c r="Q297" s="427">
        <f t="shared" si="57"/>
        <v>0</v>
      </c>
      <c r="R297" s="425">
        <f t="shared" si="54"/>
        <v>37</v>
      </c>
      <c r="S297" s="430">
        <f t="shared" si="55"/>
        <v>1942</v>
      </c>
      <c r="T297" s="431">
        <f t="shared" si="56"/>
        <v>37</v>
      </c>
      <c r="U297" s="432"/>
      <c r="V297" s="424"/>
      <c r="W297" s="424"/>
      <c r="X297" s="424"/>
      <c r="Y297" s="424"/>
      <c r="Z297" s="424"/>
      <c r="AA297" s="424"/>
      <c r="AB297" s="424"/>
      <c r="AC297" s="424"/>
      <c r="AD297" s="424"/>
      <c r="AE297" s="424"/>
      <c r="AF297" s="424">
        <v>37</v>
      </c>
      <c r="AG297" s="424"/>
      <c r="AI297" s="392"/>
    </row>
    <row r="298" spans="1:35" ht="15" thickTop="1" x14ac:dyDescent="0.15">
      <c r="A298" s="392" t="str">
        <f t="shared" si="49"/>
        <v>26/08</v>
      </c>
      <c r="B298" s="414">
        <v>46237</v>
      </c>
      <c r="C298" s="415">
        <v>0</v>
      </c>
      <c r="D298" s="415">
        <v>0</v>
      </c>
      <c r="E298" s="415">
        <f t="shared" si="48"/>
        <v>0</v>
      </c>
      <c r="F298" s="415">
        <f t="shared" si="47"/>
        <v>0</v>
      </c>
      <c r="G298" s="415">
        <f t="shared" si="47"/>
        <v>0</v>
      </c>
      <c r="H298" s="415">
        <f t="shared" si="47"/>
        <v>0</v>
      </c>
      <c r="I298" s="415">
        <f t="shared" si="47"/>
        <v>1</v>
      </c>
      <c r="J298" s="415">
        <f t="shared" si="47"/>
        <v>0</v>
      </c>
      <c r="K298" s="415">
        <f t="shared" si="47"/>
        <v>8</v>
      </c>
      <c r="L298" s="416">
        <f t="shared" si="50"/>
        <v>9</v>
      </c>
      <c r="M298" s="417">
        <f t="shared" si="51"/>
        <v>21473</v>
      </c>
      <c r="N298" s="288">
        <f t="shared" si="52"/>
        <v>9</v>
      </c>
      <c r="O298" s="290">
        <f t="shared" si="53"/>
        <v>0</v>
      </c>
      <c r="P298" s="287">
        <f t="shared" si="57"/>
        <v>30</v>
      </c>
      <c r="Q298" s="288">
        <f t="shared" si="57"/>
        <v>0</v>
      </c>
      <c r="R298" s="416">
        <f t="shared" si="54"/>
        <v>30</v>
      </c>
      <c r="S298" s="418">
        <f t="shared" si="55"/>
        <v>1972</v>
      </c>
      <c r="T298" s="419">
        <f t="shared" si="56"/>
        <v>39</v>
      </c>
      <c r="U298" s="420"/>
      <c r="V298" s="415"/>
      <c r="W298" s="415"/>
      <c r="X298" s="415"/>
      <c r="Y298" s="415"/>
      <c r="Z298" s="415"/>
      <c r="AA298" s="415"/>
      <c r="AB298" s="415"/>
      <c r="AC298" s="415">
        <v>1</v>
      </c>
      <c r="AD298" s="415"/>
      <c r="AE298" s="415">
        <v>8</v>
      </c>
      <c r="AF298" s="415">
        <v>30</v>
      </c>
      <c r="AG298" s="415"/>
      <c r="AI298" s="392"/>
    </row>
    <row r="299" spans="1:35" ht="14.25" x14ac:dyDescent="0.15">
      <c r="A299" s="392" t="str">
        <f t="shared" si="49"/>
        <v>26/08</v>
      </c>
      <c r="B299" s="414">
        <v>46238</v>
      </c>
      <c r="C299" s="415">
        <v>0</v>
      </c>
      <c r="D299" s="415">
        <v>0</v>
      </c>
      <c r="E299" s="415">
        <f t="shared" si="48"/>
        <v>2</v>
      </c>
      <c r="F299" s="415">
        <f t="shared" si="47"/>
        <v>0</v>
      </c>
      <c r="G299" s="415">
        <f t="shared" si="47"/>
        <v>0</v>
      </c>
      <c r="H299" s="415">
        <f t="shared" si="47"/>
        <v>0</v>
      </c>
      <c r="I299" s="415">
        <f t="shared" si="47"/>
        <v>9</v>
      </c>
      <c r="J299" s="415">
        <f t="shared" si="47"/>
        <v>0</v>
      </c>
      <c r="K299" s="415">
        <f t="shared" si="47"/>
        <v>0</v>
      </c>
      <c r="L299" s="416">
        <f t="shared" si="50"/>
        <v>11</v>
      </c>
      <c r="M299" s="417">
        <f t="shared" si="51"/>
        <v>21484</v>
      </c>
      <c r="N299" s="288">
        <f t="shared" si="52"/>
        <v>9</v>
      </c>
      <c r="O299" s="290">
        <f t="shared" si="53"/>
        <v>2</v>
      </c>
      <c r="P299" s="287">
        <f t="shared" si="57"/>
        <v>37</v>
      </c>
      <c r="Q299" s="288">
        <f t="shared" si="57"/>
        <v>0</v>
      </c>
      <c r="R299" s="416">
        <f t="shared" si="54"/>
        <v>37</v>
      </c>
      <c r="S299" s="418">
        <f t="shared" si="55"/>
        <v>2009</v>
      </c>
      <c r="T299" s="419">
        <f t="shared" si="56"/>
        <v>48</v>
      </c>
      <c r="U299" s="420"/>
      <c r="V299" s="415"/>
      <c r="W299" s="415"/>
      <c r="X299" s="415">
        <v>2</v>
      </c>
      <c r="Y299" s="415"/>
      <c r="Z299" s="415"/>
      <c r="AA299" s="415">
        <v>4</v>
      </c>
      <c r="AB299" s="415"/>
      <c r="AC299" s="415">
        <v>5</v>
      </c>
      <c r="AD299" s="415"/>
      <c r="AE299" s="415"/>
      <c r="AF299" s="415">
        <v>37</v>
      </c>
      <c r="AG299" s="415"/>
      <c r="AI299" s="392"/>
    </row>
    <row r="300" spans="1:35" ht="14.25" x14ac:dyDescent="0.15">
      <c r="A300" s="392" t="str">
        <f t="shared" si="49"/>
        <v>26/08</v>
      </c>
      <c r="B300" s="414">
        <v>46240</v>
      </c>
      <c r="C300" s="415">
        <v>0</v>
      </c>
      <c r="D300" s="415">
        <v>0</v>
      </c>
      <c r="E300" s="415">
        <f t="shared" si="48"/>
        <v>0</v>
      </c>
      <c r="F300" s="415">
        <f t="shared" si="47"/>
        <v>0</v>
      </c>
      <c r="G300" s="415">
        <f t="shared" si="47"/>
        <v>0</v>
      </c>
      <c r="H300" s="415">
        <f t="shared" si="47"/>
        <v>1</v>
      </c>
      <c r="I300" s="415">
        <f t="shared" si="47"/>
        <v>0</v>
      </c>
      <c r="J300" s="415">
        <f t="shared" si="47"/>
        <v>0</v>
      </c>
      <c r="K300" s="415">
        <f t="shared" si="47"/>
        <v>0</v>
      </c>
      <c r="L300" s="416">
        <f t="shared" si="50"/>
        <v>1</v>
      </c>
      <c r="M300" s="417">
        <f t="shared" si="51"/>
        <v>21485</v>
      </c>
      <c r="N300" s="288">
        <f t="shared" si="52"/>
        <v>1</v>
      </c>
      <c r="O300" s="290">
        <f t="shared" si="53"/>
        <v>0</v>
      </c>
      <c r="P300" s="287">
        <f t="shared" si="57"/>
        <v>0</v>
      </c>
      <c r="Q300" s="288">
        <f t="shared" si="57"/>
        <v>0</v>
      </c>
      <c r="R300" s="416">
        <f t="shared" si="54"/>
        <v>0</v>
      </c>
      <c r="S300" s="418">
        <f t="shared" si="55"/>
        <v>2009</v>
      </c>
      <c r="T300" s="419">
        <f t="shared" si="56"/>
        <v>1</v>
      </c>
      <c r="U300" s="420"/>
      <c r="V300" s="415"/>
      <c r="W300" s="415"/>
      <c r="X300" s="415"/>
      <c r="Y300" s="415"/>
      <c r="Z300" s="415"/>
      <c r="AA300" s="415"/>
      <c r="AB300" s="415">
        <v>1</v>
      </c>
      <c r="AC300" s="415"/>
      <c r="AD300" s="415"/>
      <c r="AE300" s="415"/>
      <c r="AF300" s="415"/>
      <c r="AG300" s="415"/>
      <c r="AI300" s="392"/>
    </row>
    <row r="301" spans="1:35" ht="14.25" x14ac:dyDescent="0.15">
      <c r="A301" s="392" t="str">
        <f t="shared" si="49"/>
        <v>26/08</v>
      </c>
      <c r="B301" s="414">
        <v>46252</v>
      </c>
      <c r="C301" s="415">
        <v>0</v>
      </c>
      <c r="D301" s="415">
        <v>0</v>
      </c>
      <c r="E301" s="415">
        <f t="shared" si="48"/>
        <v>0</v>
      </c>
      <c r="F301" s="415">
        <f t="shared" si="47"/>
        <v>0</v>
      </c>
      <c r="G301" s="415">
        <f t="shared" si="47"/>
        <v>0</v>
      </c>
      <c r="H301" s="415">
        <f t="shared" si="47"/>
        <v>0</v>
      </c>
      <c r="I301" s="415">
        <f t="shared" si="47"/>
        <v>0</v>
      </c>
      <c r="J301" s="415">
        <f t="shared" si="47"/>
        <v>0</v>
      </c>
      <c r="K301" s="415">
        <f t="shared" si="47"/>
        <v>0</v>
      </c>
      <c r="L301" s="416">
        <f t="shared" si="50"/>
        <v>0</v>
      </c>
      <c r="M301" s="417">
        <f t="shared" si="51"/>
        <v>21485</v>
      </c>
      <c r="N301" s="288">
        <f t="shared" si="52"/>
        <v>0</v>
      </c>
      <c r="O301" s="290">
        <f t="shared" si="53"/>
        <v>0</v>
      </c>
      <c r="P301" s="287">
        <f t="shared" si="57"/>
        <v>36</v>
      </c>
      <c r="Q301" s="288">
        <f t="shared" si="57"/>
        <v>0</v>
      </c>
      <c r="R301" s="416">
        <f t="shared" si="54"/>
        <v>36</v>
      </c>
      <c r="S301" s="418">
        <f t="shared" si="55"/>
        <v>2045</v>
      </c>
      <c r="T301" s="419">
        <f t="shared" si="56"/>
        <v>36</v>
      </c>
      <c r="U301" s="420"/>
      <c r="V301" s="415"/>
      <c r="W301" s="415"/>
      <c r="X301" s="415"/>
      <c r="Y301" s="415"/>
      <c r="Z301" s="415"/>
      <c r="AA301" s="415"/>
      <c r="AB301" s="415"/>
      <c r="AC301" s="415"/>
      <c r="AD301" s="415"/>
      <c r="AE301" s="415"/>
      <c r="AF301" s="415">
        <v>36</v>
      </c>
      <c r="AG301" s="415"/>
      <c r="AI301" s="392"/>
    </row>
    <row r="302" spans="1:35" ht="15" thickBot="1" x14ac:dyDescent="0.2">
      <c r="A302" s="392" t="str">
        <f t="shared" si="49"/>
        <v>26/08</v>
      </c>
      <c r="B302" s="423">
        <v>46259</v>
      </c>
      <c r="C302" s="424">
        <v>0</v>
      </c>
      <c r="D302" s="424">
        <v>0</v>
      </c>
      <c r="E302" s="424">
        <f t="shared" si="48"/>
        <v>0</v>
      </c>
      <c r="F302" s="424">
        <f t="shared" si="47"/>
        <v>0</v>
      </c>
      <c r="G302" s="424">
        <f t="shared" si="47"/>
        <v>0</v>
      </c>
      <c r="H302" s="424">
        <f t="shared" si="47"/>
        <v>0</v>
      </c>
      <c r="I302" s="424">
        <f t="shared" si="47"/>
        <v>0</v>
      </c>
      <c r="J302" s="424">
        <f t="shared" si="47"/>
        <v>0</v>
      </c>
      <c r="K302" s="424">
        <f t="shared" si="47"/>
        <v>0</v>
      </c>
      <c r="L302" s="425">
        <f t="shared" si="50"/>
        <v>0</v>
      </c>
      <c r="M302" s="426">
        <f t="shared" si="51"/>
        <v>21485</v>
      </c>
      <c r="N302" s="427">
        <f t="shared" si="52"/>
        <v>0</v>
      </c>
      <c r="O302" s="428">
        <f t="shared" si="53"/>
        <v>0</v>
      </c>
      <c r="P302" s="429">
        <f t="shared" si="57"/>
        <v>37</v>
      </c>
      <c r="Q302" s="427">
        <f t="shared" si="57"/>
        <v>0</v>
      </c>
      <c r="R302" s="425">
        <f t="shared" si="54"/>
        <v>37</v>
      </c>
      <c r="S302" s="430">
        <f t="shared" si="55"/>
        <v>2082</v>
      </c>
      <c r="T302" s="431">
        <f t="shared" si="56"/>
        <v>37</v>
      </c>
      <c r="U302" s="432"/>
      <c r="V302" s="424"/>
      <c r="W302" s="424"/>
      <c r="X302" s="424"/>
      <c r="Y302" s="424"/>
      <c r="Z302" s="424"/>
      <c r="AA302" s="424"/>
      <c r="AB302" s="424"/>
      <c r="AC302" s="424"/>
      <c r="AD302" s="424"/>
      <c r="AE302" s="424"/>
      <c r="AF302" s="424">
        <v>37</v>
      </c>
      <c r="AG302" s="424"/>
      <c r="AI302" s="392"/>
    </row>
    <row r="303" spans="1:35" ht="15" thickTop="1" x14ac:dyDescent="0.15">
      <c r="A303" s="392" t="str">
        <f t="shared" si="49"/>
        <v>26/09</v>
      </c>
      <c r="B303" s="414">
        <v>46266</v>
      </c>
      <c r="C303" s="415">
        <v>0</v>
      </c>
      <c r="D303" s="415">
        <v>0</v>
      </c>
      <c r="E303" s="415">
        <f t="shared" si="48"/>
        <v>6</v>
      </c>
      <c r="F303" s="415">
        <f t="shared" si="47"/>
        <v>0</v>
      </c>
      <c r="G303" s="415">
        <f t="shared" si="47"/>
        <v>0</v>
      </c>
      <c r="H303" s="415">
        <f t="shared" si="47"/>
        <v>6</v>
      </c>
      <c r="I303" s="415">
        <f t="shared" si="47"/>
        <v>3</v>
      </c>
      <c r="J303" s="415">
        <f t="shared" si="47"/>
        <v>0</v>
      </c>
      <c r="K303" s="415">
        <f t="shared" si="47"/>
        <v>0</v>
      </c>
      <c r="L303" s="416">
        <f t="shared" si="50"/>
        <v>15</v>
      </c>
      <c r="M303" s="417">
        <f t="shared" si="51"/>
        <v>21500</v>
      </c>
      <c r="N303" s="288">
        <f t="shared" si="52"/>
        <v>9</v>
      </c>
      <c r="O303" s="290">
        <f t="shared" si="53"/>
        <v>6</v>
      </c>
      <c r="P303" s="287">
        <f t="shared" si="57"/>
        <v>37</v>
      </c>
      <c r="Q303" s="288">
        <f t="shared" si="57"/>
        <v>0</v>
      </c>
      <c r="R303" s="416">
        <f t="shared" si="54"/>
        <v>37</v>
      </c>
      <c r="S303" s="418">
        <f t="shared" si="55"/>
        <v>2119</v>
      </c>
      <c r="T303" s="419">
        <f t="shared" si="56"/>
        <v>52</v>
      </c>
      <c r="U303" s="420"/>
      <c r="V303" s="415"/>
      <c r="W303" s="415">
        <v>6</v>
      </c>
      <c r="X303" s="415"/>
      <c r="Y303" s="415"/>
      <c r="Z303" s="415"/>
      <c r="AA303" s="415"/>
      <c r="AB303" s="415"/>
      <c r="AC303" s="415">
        <v>3</v>
      </c>
      <c r="AD303" s="415">
        <v>6</v>
      </c>
      <c r="AE303" s="415"/>
      <c r="AF303" s="415">
        <v>37</v>
      </c>
      <c r="AG303" s="415"/>
      <c r="AI303" s="392"/>
    </row>
    <row r="304" spans="1:35" ht="14.25" x14ac:dyDescent="0.15">
      <c r="A304" s="392" t="str">
        <f t="shared" si="49"/>
        <v>26/09</v>
      </c>
      <c r="B304" s="414">
        <v>46267</v>
      </c>
      <c r="C304" s="415">
        <v>0</v>
      </c>
      <c r="D304" s="415">
        <v>0</v>
      </c>
      <c r="E304" s="415">
        <f t="shared" si="48"/>
        <v>8</v>
      </c>
      <c r="F304" s="415">
        <f t="shared" si="47"/>
        <v>0</v>
      </c>
      <c r="G304" s="415">
        <f t="shared" si="47"/>
        <v>0</v>
      </c>
      <c r="H304" s="415">
        <f t="shared" si="47"/>
        <v>2</v>
      </c>
      <c r="I304" s="415">
        <f t="shared" si="47"/>
        <v>1</v>
      </c>
      <c r="J304" s="415">
        <f t="shared" si="47"/>
        <v>0</v>
      </c>
      <c r="K304" s="415">
        <f t="shared" si="47"/>
        <v>0</v>
      </c>
      <c r="L304" s="416">
        <f t="shared" si="50"/>
        <v>11</v>
      </c>
      <c r="M304" s="417">
        <f t="shared" si="51"/>
        <v>21511</v>
      </c>
      <c r="N304" s="288">
        <f t="shared" si="52"/>
        <v>3</v>
      </c>
      <c r="O304" s="290">
        <f t="shared" si="53"/>
        <v>8</v>
      </c>
      <c r="P304" s="287">
        <f t="shared" si="57"/>
        <v>30</v>
      </c>
      <c r="Q304" s="288">
        <f t="shared" si="57"/>
        <v>41</v>
      </c>
      <c r="R304" s="416">
        <f t="shared" si="54"/>
        <v>71</v>
      </c>
      <c r="S304" s="418">
        <f t="shared" si="55"/>
        <v>2190</v>
      </c>
      <c r="T304" s="419">
        <f t="shared" si="56"/>
        <v>82</v>
      </c>
      <c r="U304" s="420">
        <v>2</v>
      </c>
      <c r="V304" s="415">
        <v>8</v>
      </c>
      <c r="W304" s="415"/>
      <c r="X304" s="415"/>
      <c r="Y304" s="415"/>
      <c r="Z304" s="415"/>
      <c r="AA304" s="415"/>
      <c r="AB304" s="415"/>
      <c r="AC304" s="415">
        <v>1</v>
      </c>
      <c r="AD304" s="415"/>
      <c r="AE304" s="415"/>
      <c r="AF304" s="415">
        <v>30</v>
      </c>
      <c r="AG304" s="415">
        <v>41</v>
      </c>
      <c r="AI304" s="392"/>
    </row>
    <row r="305" spans="1:35" ht="14.25" x14ac:dyDescent="0.15">
      <c r="A305" s="392" t="str">
        <f t="shared" si="49"/>
        <v>26/09</v>
      </c>
      <c r="B305" s="414">
        <v>46273</v>
      </c>
      <c r="C305" s="415">
        <v>0</v>
      </c>
      <c r="D305" s="415">
        <v>0</v>
      </c>
      <c r="E305" s="415">
        <f t="shared" si="48"/>
        <v>0</v>
      </c>
      <c r="F305" s="415">
        <f t="shared" si="47"/>
        <v>0</v>
      </c>
      <c r="G305" s="415">
        <f t="shared" si="47"/>
        <v>0</v>
      </c>
      <c r="H305" s="415">
        <f t="shared" si="47"/>
        <v>0</v>
      </c>
      <c r="I305" s="415">
        <f t="shared" si="47"/>
        <v>0</v>
      </c>
      <c r="J305" s="415">
        <f t="shared" si="47"/>
        <v>0</v>
      </c>
      <c r="K305" s="415">
        <f t="shared" si="47"/>
        <v>0</v>
      </c>
      <c r="L305" s="416">
        <f t="shared" si="50"/>
        <v>0</v>
      </c>
      <c r="M305" s="417">
        <f t="shared" si="51"/>
        <v>21511</v>
      </c>
      <c r="N305" s="288">
        <f t="shared" si="52"/>
        <v>0</v>
      </c>
      <c r="O305" s="290">
        <f t="shared" si="53"/>
        <v>0</v>
      </c>
      <c r="P305" s="287">
        <f t="shared" si="57"/>
        <v>36</v>
      </c>
      <c r="Q305" s="288">
        <f t="shared" si="57"/>
        <v>0</v>
      </c>
      <c r="R305" s="416">
        <f t="shared" si="54"/>
        <v>36</v>
      </c>
      <c r="S305" s="418">
        <f t="shared" si="55"/>
        <v>2226</v>
      </c>
      <c r="T305" s="419">
        <f t="shared" si="56"/>
        <v>36</v>
      </c>
      <c r="U305" s="420"/>
      <c r="V305" s="415"/>
      <c r="W305" s="415"/>
      <c r="X305" s="415"/>
      <c r="Y305" s="415"/>
      <c r="Z305" s="415"/>
      <c r="AA305" s="415"/>
      <c r="AB305" s="415"/>
      <c r="AC305" s="415"/>
      <c r="AD305" s="415"/>
      <c r="AE305" s="415"/>
      <c r="AF305" s="415">
        <v>36</v>
      </c>
      <c r="AG305" s="415"/>
      <c r="AI305" s="392"/>
    </row>
    <row r="306" spans="1:35" ht="15" thickBot="1" x14ac:dyDescent="0.2">
      <c r="A306" s="392" t="str">
        <f t="shared" si="49"/>
        <v>26/09</v>
      </c>
      <c r="B306" s="423">
        <v>46290</v>
      </c>
      <c r="C306" s="424">
        <v>0</v>
      </c>
      <c r="D306" s="424">
        <v>0</v>
      </c>
      <c r="E306" s="424">
        <f t="shared" si="48"/>
        <v>0</v>
      </c>
      <c r="F306" s="424">
        <f t="shared" si="47"/>
        <v>0</v>
      </c>
      <c r="G306" s="424">
        <f t="shared" si="47"/>
        <v>0</v>
      </c>
      <c r="H306" s="424">
        <f t="shared" si="47"/>
        <v>0</v>
      </c>
      <c r="I306" s="424">
        <f t="shared" si="47"/>
        <v>0</v>
      </c>
      <c r="J306" s="424">
        <f t="shared" si="47"/>
        <v>0</v>
      </c>
      <c r="K306" s="424">
        <f t="shared" si="47"/>
        <v>0</v>
      </c>
      <c r="L306" s="425">
        <f t="shared" si="50"/>
        <v>0</v>
      </c>
      <c r="M306" s="426">
        <f t="shared" si="51"/>
        <v>21511</v>
      </c>
      <c r="N306" s="427">
        <f t="shared" si="52"/>
        <v>0</v>
      </c>
      <c r="O306" s="428">
        <f t="shared" si="53"/>
        <v>0</v>
      </c>
      <c r="P306" s="429">
        <f t="shared" si="57"/>
        <v>28</v>
      </c>
      <c r="Q306" s="427">
        <f t="shared" si="57"/>
        <v>0</v>
      </c>
      <c r="R306" s="425">
        <f t="shared" si="54"/>
        <v>28</v>
      </c>
      <c r="S306" s="430">
        <f t="shared" si="55"/>
        <v>2254</v>
      </c>
      <c r="T306" s="431">
        <f t="shared" si="56"/>
        <v>28</v>
      </c>
      <c r="U306" s="432"/>
      <c r="V306" s="424"/>
      <c r="W306" s="424"/>
      <c r="X306" s="424"/>
      <c r="Y306" s="424"/>
      <c r="Z306" s="424"/>
      <c r="AA306" s="424"/>
      <c r="AB306" s="424"/>
      <c r="AC306" s="424"/>
      <c r="AD306" s="424"/>
      <c r="AE306" s="424"/>
      <c r="AF306" s="424">
        <v>28</v>
      </c>
      <c r="AG306" s="424"/>
      <c r="AI306" s="392"/>
    </row>
    <row r="307" spans="1:35" ht="15" thickTop="1" x14ac:dyDescent="0.15">
      <c r="A307" s="392" t="str">
        <f t="shared" si="49"/>
        <v>26/10</v>
      </c>
      <c r="B307" s="414">
        <v>46296</v>
      </c>
      <c r="C307" s="415">
        <v>0</v>
      </c>
      <c r="D307" s="415">
        <v>0</v>
      </c>
      <c r="E307" s="415">
        <f t="shared" si="48"/>
        <v>19</v>
      </c>
      <c r="F307" s="415">
        <f t="shared" si="47"/>
        <v>0</v>
      </c>
      <c r="G307" s="415">
        <f t="shared" si="47"/>
        <v>0</v>
      </c>
      <c r="H307" s="415">
        <f t="shared" si="47"/>
        <v>0</v>
      </c>
      <c r="I307" s="415">
        <f t="shared" si="47"/>
        <v>0</v>
      </c>
      <c r="J307" s="415">
        <f t="shared" si="47"/>
        <v>0</v>
      </c>
      <c r="K307" s="415">
        <f t="shared" ref="F307:K335" si="58">SUMIFS($U307:$AG307,$U$210:$AG$210,K$208)</f>
        <v>0</v>
      </c>
      <c r="L307" s="416">
        <f t="shared" si="50"/>
        <v>19</v>
      </c>
      <c r="M307" s="417">
        <f t="shared" si="51"/>
        <v>21530</v>
      </c>
      <c r="N307" s="288">
        <f t="shared" si="52"/>
        <v>0</v>
      </c>
      <c r="O307" s="290">
        <f t="shared" si="53"/>
        <v>19</v>
      </c>
      <c r="P307" s="287">
        <f t="shared" si="57"/>
        <v>30</v>
      </c>
      <c r="Q307" s="288">
        <f t="shared" si="57"/>
        <v>0</v>
      </c>
      <c r="R307" s="416">
        <f t="shared" si="54"/>
        <v>30</v>
      </c>
      <c r="S307" s="418">
        <f t="shared" si="55"/>
        <v>2284</v>
      </c>
      <c r="T307" s="419">
        <f t="shared" si="56"/>
        <v>49</v>
      </c>
      <c r="U307" s="420"/>
      <c r="V307" s="415">
        <v>9</v>
      </c>
      <c r="W307" s="415"/>
      <c r="X307" s="415">
        <v>10</v>
      </c>
      <c r="Y307" s="415"/>
      <c r="Z307" s="415"/>
      <c r="AA307" s="415"/>
      <c r="AB307" s="415"/>
      <c r="AC307" s="415"/>
      <c r="AD307" s="415"/>
      <c r="AE307" s="415"/>
      <c r="AF307" s="415">
        <v>30</v>
      </c>
      <c r="AG307" s="415"/>
      <c r="AI307" s="392"/>
    </row>
    <row r="308" spans="1:35" ht="14.25" x14ac:dyDescent="0.15">
      <c r="A308" s="392" t="str">
        <f t="shared" si="49"/>
        <v>26/10</v>
      </c>
      <c r="B308" s="414">
        <v>46300</v>
      </c>
      <c r="C308" s="415">
        <v>0</v>
      </c>
      <c r="D308" s="415">
        <v>0</v>
      </c>
      <c r="E308" s="415">
        <f t="shared" si="48"/>
        <v>0</v>
      </c>
      <c r="F308" s="415">
        <f t="shared" si="58"/>
        <v>0</v>
      </c>
      <c r="G308" s="415">
        <f t="shared" si="58"/>
        <v>0</v>
      </c>
      <c r="H308" s="415">
        <f t="shared" si="58"/>
        <v>0</v>
      </c>
      <c r="I308" s="415">
        <f t="shared" si="58"/>
        <v>0</v>
      </c>
      <c r="J308" s="415">
        <f t="shared" si="58"/>
        <v>0</v>
      </c>
      <c r="K308" s="415">
        <f t="shared" si="58"/>
        <v>0</v>
      </c>
      <c r="L308" s="416">
        <f t="shared" si="50"/>
        <v>0</v>
      </c>
      <c r="M308" s="417">
        <f t="shared" si="51"/>
        <v>21530</v>
      </c>
      <c r="N308" s="288">
        <f t="shared" si="52"/>
        <v>0</v>
      </c>
      <c r="O308" s="290">
        <f t="shared" si="53"/>
        <v>0</v>
      </c>
      <c r="P308" s="287">
        <f t="shared" si="57"/>
        <v>28</v>
      </c>
      <c r="Q308" s="288">
        <f t="shared" si="57"/>
        <v>0</v>
      </c>
      <c r="R308" s="416">
        <f t="shared" si="54"/>
        <v>28</v>
      </c>
      <c r="S308" s="418">
        <f t="shared" si="55"/>
        <v>2312</v>
      </c>
      <c r="T308" s="419">
        <f t="shared" si="56"/>
        <v>28</v>
      </c>
      <c r="U308" s="420"/>
      <c r="V308" s="415"/>
      <c r="W308" s="415"/>
      <c r="X308" s="415"/>
      <c r="Y308" s="415"/>
      <c r="Z308" s="415"/>
      <c r="AA308" s="415"/>
      <c r="AB308" s="415"/>
      <c r="AC308" s="415"/>
      <c r="AD308" s="415"/>
      <c r="AE308" s="415"/>
      <c r="AF308" s="415">
        <v>28</v>
      </c>
      <c r="AG308" s="415"/>
      <c r="AI308" s="392"/>
    </row>
    <row r="309" spans="1:35" ht="14.25" x14ac:dyDescent="0.15">
      <c r="A309" s="392" t="str">
        <f t="shared" si="49"/>
        <v>26/10</v>
      </c>
      <c r="B309" s="414">
        <v>46308</v>
      </c>
      <c r="C309" s="415">
        <v>0</v>
      </c>
      <c r="D309" s="415">
        <v>0</v>
      </c>
      <c r="E309" s="415">
        <f t="shared" si="48"/>
        <v>0</v>
      </c>
      <c r="F309" s="415">
        <f t="shared" si="58"/>
        <v>0</v>
      </c>
      <c r="G309" s="415">
        <f t="shared" si="58"/>
        <v>0</v>
      </c>
      <c r="H309" s="415">
        <f t="shared" si="58"/>
        <v>0</v>
      </c>
      <c r="I309" s="415">
        <f t="shared" si="58"/>
        <v>0</v>
      </c>
      <c r="J309" s="415">
        <f t="shared" si="58"/>
        <v>0</v>
      </c>
      <c r="K309" s="415">
        <f t="shared" si="58"/>
        <v>0</v>
      </c>
      <c r="L309" s="416">
        <f t="shared" si="50"/>
        <v>0</v>
      </c>
      <c r="M309" s="417">
        <f t="shared" si="51"/>
        <v>21530</v>
      </c>
      <c r="N309" s="288">
        <f t="shared" si="52"/>
        <v>0</v>
      </c>
      <c r="O309" s="290">
        <f t="shared" si="53"/>
        <v>0</v>
      </c>
      <c r="P309" s="287">
        <f t="shared" si="57"/>
        <v>27</v>
      </c>
      <c r="Q309" s="288">
        <f t="shared" si="57"/>
        <v>0</v>
      </c>
      <c r="R309" s="416">
        <f t="shared" si="54"/>
        <v>27</v>
      </c>
      <c r="S309" s="418">
        <f t="shared" si="55"/>
        <v>2339</v>
      </c>
      <c r="T309" s="419">
        <f t="shared" si="56"/>
        <v>27</v>
      </c>
      <c r="U309" s="420"/>
      <c r="V309" s="415"/>
      <c r="W309" s="415"/>
      <c r="X309" s="415"/>
      <c r="Y309" s="415"/>
      <c r="Z309" s="415"/>
      <c r="AA309" s="415"/>
      <c r="AB309" s="415"/>
      <c r="AC309" s="415"/>
      <c r="AD309" s="415"/>
      <c r="AE309" s="415"/>
      <c r="AF309" s="415">
        <v>27</v>
      </c>
      <c r="AG309" s="415"/>
      <c r="AI309" s="392"/>
    </row>
    <row r="310" spans="1:35" ht="14.25" x14ac:dyDescent="0.15">
      <c r="A310" s="392" t="str">
        <f t="shared" si="49"/>
        <v>26/10</v>
      </c>
      <c r="B310" s="414">
        <v>46314</v>
      </c>
      <c r="C310" s="415">
        <v>0</v>
      </c>
      <c r="D310" s="415">
        <v>0</v>
      </c>
      <c r="E310" s="415">
        <f t="shared" si="48"/>
        <v>0</v>
      </c>
      <c r="F310" s="415">
        <f t="shared" si="58"/>
        <v>0</v>
      </c>
      <c r="G310" s="415">
        <f t="shared" si="58"/>
        <v>0</v>
      </c>
      <c r="H310" s="415">
        <f t="shared" si="58"/>
        <v>0</v>
      </c>
      <c r="I310" s="415">
        <f t="shared" si="58"/>
        <v>0</v>
      </c>
      <c r="J310" s="415">
        <f t="shared" si="58"/>
        <v>0</v>
      </c>
      <c r="K310" s="415">
        <f t="shared" si="58"/>
        <v>0</v>
      </c>
      <c r="L310" s="416">
        <f t="shared" si="50"/>
        <v>0</v>
      </c>
      <c r="M310" s="417">
        <f t="shared" si="51"/>
        <v>21530</v>
      </c>
      <c r="N310" s="288">
        <f t="shared" si="52"/>
        <v>0</v>
      </c>
      <c r="O310" s="290">
        <f t="shared" si="53"/>
        <v>0</v>
      </c>
      <c r="P310" s="287">
        <f t="shared" si="57"/>
        <v>27</v>
      </c>
      <c r="Q310" s="288">
        <f t="shared" si="57"/>
        <v>0</v>
      </c>
      <c r="R310" s="416">
        <f t="shared" si="54"/>
        <v>27</v>
      </c>
      <c r="S310" s="418">
        <f t="shared" si="55"/>
        <v>2366</v>
      </c>
      <c r="T310" s="419">
        <f t="shared" si="56"/>
        <v>27</v>
      </c>
      <c r="U310" s="420"/>
      <c r="V310" s="415"/>
      <c r="W310" s="415"/>
      <c r="X310" s="415"/>
      <c r="Y310" s="415"/>
      <c r="Z310" s="415"/>
      <c r="AA310" s="415"/>
      <c r="AB310" s="415"/>
      <c r="AC310" s="415"/>
      <c r="AD310" s="415"/>
      <c r="AE310" s="415"/>
      <c r="AF310" s="415">
        <v>27</v>
      </c>
      <c r="AG310" s="415"/>
      <c r="AI310" s="392"/>
    </row>
    <row r="311" spans="1:35" ht="15" thickBot="1" x14ac:dyDescent="0.2">
      <c r="A311" s="392" t="str">
        <f t="shared" si="49"/>
        <v>26/10</v>
      </c>
      <c r="B311" s="423">
        <v>46321</v>
      </c>
      <c r="C311" s="424">
        <v>0</v>
      </c>
      <c r="D311" s="424">
        <v>0</v>
      </c>
      <c r="E311" s="424">
        <f t="shared" si="48"/>
        <v>0</v>
      </c>
      <c r="F311" s="424">
        <f t="shared" si="58"/>
        <v>0</v>
      </c>
      <c r="G311" s="424">
        <f t="shared" si="58"/>
        <v>0</v>
      </c>
      <c r="H311" s="424">
        <f t="shared" si="58"/>
        <v>0</v>
      </c>
      <c r="I311" s="424">
        <f t="shared" si="58"/>
        <v>0</v>
      </c>
      <c r="J311" s="424">
        <f t="shared" si="58"/>
        <v>0</v>
      </c>
      <c r="K311" s="424">
        <f t="shared" si="58"/>
        <v>0</v>
      </c>
      <c r="L311" s="425">
        <f t="shared" si="50"/>
        <v>0</v>
      </c>
      <c r="M311" s="426">
        <f t="shared" si="51"/>
        <v>21530</v>
      </c>
      <c r="N311" s="427">
        <f t="shared" si="52"/>
        <v>0</v>
      </c>
      <c r="O311" s="428">
        <f t="shared" si="53"/>
        <v>0</v>
      </c>
      <c r="P311" s="429">
        <f t="shared" si="57"/>
        <v>23</v>
      </c>
      <c r="Q311" s="427">
        <f t="shared" si="57"/>
        <v>0</v>
      </c>
      <c r="R311" s="425">
        <f t="shared" si="54"/>
        <v>23</v>
      </c>
      <c r="S311" s="430">
        <f t="shared" si="55"/>
        <v>2389</v>
      </c>
      <c r="T311" s="431">
        <f t="shared" si="56"/>
        <v>23</v>
      </c>
      <c r="U311" s="432"/>
      <c r="V311" s="424"/>
      <c r="W311" s="424"/>
      <c r="X311" s="424"/>
      <c r="Y311" s="424"/>
      <c r="Z311" s="424"/>
      <c r="AA311" s="424"/>
      <c r="AB311" s="424"/>
      <c r="AC311" s="424"/>
      <c r="AD311" s="424"/>
      <c r="AE311" s="424"/>
      <c r="AF311" s="424">
        <v>23</v>
      </c>
      <c r="AG311" s="424"/>
      <c r="AI311" s="392"/>
    </row>
    <row r="312" spans="1:35" ht="15" thickTop="1" x14ac:dyDescent="0.15">
      <c r="A312" s="392" t="str">
        <f t="shared" si="49"/>
        <v>26/11</v>
      </c>
      <c r="B312" s="414">
        <v>46328</v>
      </c>
      <c r="C312" s="415">
        <v>0</v>
      </c>
      <c r="D312" s="415">
        <v>0</v>
      </c>
      <c r="E312" s="415">
        <f t="shared" si="48"/>
        <v>7</v>
      </c>
      <c r="F312" s="415">
        <f t="shared" si="58"/>
        <v>0</v>
      </c>
      <c r="G312" s="415">
        <f t="shared" si="58"/>
        <v>0</v>
      </c>
      <c r="H312" s="415">
        <f t="shared" si="58"/>
        <v>0</v>
      </c>
      <c r="I312" s="415">
        <f t="shared" si="58"/>
        <v>0</v>
      </c>
      <c r="J312" s="415">
        <f t="shared" si="58"/>
        <v>0</v>
      </c>
      <c r="K312" s="415">
        <f t="shared" si="58"/>
        <v>0</v>
      </c>
      <c r="L312" s="416">
        <f t="shared" si="50"/>
        <v>7</v>
      </c>
      <c r="M312" s="417">
        <f t="shared" si="51"/>
        <v>21537</v>
      </c>
      <c r="N312" s="288">
        <f t="shared" si="52"/>
        <v>0</v>
      </c>
      <c r="O312" s="290">
        <f t="shared" si="53"/>
        <v>7</v>
      </c>
      <c r="P312" s="287">
        <f t="shared" si="57"/>
        <v>31</v>
      </c>
      <c r="Q312" s="288">
        <f t="shared" si="57"/>
        <v>25</v>
      </c>
      <c r="R312" s="416">
        <f t="shared" si="54"/>
        <v>56</v>
      </c>
      <c r="S312" s="418">
        <f t="shared" si="55"/>
        <v>2445</v>
      </c>
      <c r="T312" s="419">
        <f t="shared" si="56"/>
        <v>63</v>
      </c>
      <c r="U312" s="420"/>
      <c r="V312" s="415"/>
      <c r="W312" s="415"/>
      <c r="X312" s="415"/>
      <c r="Y312" s="415">
        <v>1</v>
      </c>
      <c r="Z312" s="415"/>
      <c r="AA312" s="415"/>
      <c r="AB312" s="415"/>
      <c r="AC312" s="415"/>
      <c r="AD312" s="415">
        <v>6</v>
      </c>
      <c r="AE312" s="415"/>
      <c r="AF312" s="415">
        <v>31</v>
      </c>
      <c r="AG312" s="415">
        <v>25</v>
      </c>
      <c r="AI312" s="392"/>
    </row>
    <row r="313" spans="1:35" ht="14.25" x14ac:dyDescent="0.15">
      <c r="A313" s="392" t="str">
        <f t="shared" si="49"/>
        <v>26/11</v>
      </c>
      <c r="B313" s="414">
        <v>46329</v>
      </c>
      <c r="C313" s="415">
        <v>0</v>
      </c>
      <c r="D313" s="415">
        <v>0</v>
      </c>
      <c r="E313" s="415">
        <f t="shared" si="48"/>
        <v>0</v>
      </c>
      <c r="F313" s="415">
        <f t="shared" si="58"/>
        <v>0</v>
      </c>
      <c r="G313" s="415">
        <f t="shared" si="58"/>
        <v>0</v>
      </c>
      <c r="H313" s="415">
        <f t="shared" si="58"/>
        <v>4</v>
      </c>
      <c r="I313" s="415">
        <f t="shared" si="58"/>
        <v>0</v>
      </c>
      <c r="J313" s="415">
        <f t="shared" si="58"/>
        <v>0</v>
      </c>
      <c r="K313" s="415">
        <f t="shared" si="58"/>
        <v>0</v>
      </c>
      <c r="L313" s="416">
        <f t="shared" si="50"/>
        <v>4</v>
      </c>
      <c r="M313" s="417">
        <f t="shared" si="51"/>
        <v>21541</v>
      </c>
      <c r="N313" s="288">
        <f t="shared" si="52"/>
        <v>4</v>
      </c>
      <c r="O313" s="290">
        <f t="shared" si="53"/>
        <v>0</v>
      </c>
      <c r="P313" s="287">
        <f t="shared" si="57"/>
        <v>0</v>
      </c>
      <c r="Q313" s="288">
        <f t="shared" si="57"/>
        <v>0</v>
      </c>
      <c r="R313" s="416">
        <f t="shared" si="54"/>
        <v>0</v>
      </c>
      <c r="S313" s="418">
        <f t="shared" si="55"/>
        <v>2445</v>
      </c>
      <c r="T313" s="419">
        <f t="shared" si="56"/>
        <v>4</v>
      </c>
      <c r="U313" s="420">
        <v>4</v>
      </c>
      <c r="V313" s="415"/>
      <c r="W313" s="415"/>
      <c r="X313" s="415"/>
      <c r="Y313" s="415"/>
      <c r="Z313" s="415"/>
      <c r="AA313" s="415"/>
      <c r="AB313" s="415"/>
      <c r="AC313" s="415"/>
      <c r="AD313" s="415"/>
      <c r="AE313" s="415"/>
      <c r="AF313" s="415"/>
      <c r="AG313" s="415"/>
      <c r="AI313" s="392"/>
    </row>
    <row r="314" spans="1:35" ht="14.25" x14ac:dyDescent="0.15">
      <c r="A314" s="392" t="str">
        <f t="shared" si="49"/>
        <v>26/11</v>
      </c>
      <c r="B314" s="414">
        <v>46330</v>
      </c>
      <c r="C314" s="415">
        <v>0</v>
      </c>
      <c r="D314" s="415">
        <v>0</v>
      </c>
      <c r="E314" s="415">
        <f t="shared" si="48"/>
        <v>20</v>
      </c>
      <c r="F314" s="415">
        <f t="shared" si="58"/>
        <v>0</v>
      </c>
      <c r="G314" s="415">
        <f t="shared" si="58"/>
        <v>0</v>
      </c>
      <c r="H314" s="415">
        <f t="shared" si="58"/>
        <v>0</v>
      </c>
      <c r="I314" s="415">
        <f t="shared" si="58"/>
        <v>0</v>
      </c>
      <c r="J314" s="415">
        <f t="shared" si="58"/>
        <v>0</v>
      </c>
      <c r="K314" s="415">
        <f t="shared" si="58"/>
        <v>0</v>
      </c>
      <c r="L314" s="416">
        <f t="shared" si="50"/>
        <v>20</v>
      </c>
      <c r="M314" s="417">
        <f t="shared" si="51"/>
        <v>21561</v>
      </c>
      <c r="N314" s="288">
        <f t="shared" si="52"/>
        <v>0</v>
      </c>
      <c r="O314" s="290">
        <f t="shared" si="53"/>
        <v>20</v>
      </c>
      <c r="P314" s="287">
        <f t="shared" si="57"/>
        <v>0</v>
      </c>
      <c r="Q314" s="288">
        <f t="shared" si="57"/>
        <v>0</v>
      </c>
      <c r="R314" s="416">
        <f t="shared" si="54"/>
        <v>0</v>
      </c>
      <c r="S314" s="418">
        <f t="shared" si="55"/>
        <v>2445</v>
      </c>
      <c r="T314" s="419">
        <f t="shared" si="56"/>
        <v>20</v>
      </c>
      <c r="U314" s="420"/>
      <c r="V314" s="415">
        <v>10</v>
      </c>
      <c r="W314" s="415"/>
      <c r="X314" s="415">
        <v>10</v>
      </c>
      <c r="Y314" s="415"/>
      <c r="Z314" s="415"/>
      <c r="AA314" s="415"/>
      <c r="AB314" s="415"/>
      <c r="AC314" s="415"/>
      <c r="AD314" s="415"/>
      <c r="AE314" s="415"/>
      <c r="AF314" s="415"/>
      <c r="AG314" s="415"/>
      <c r="AI314" s="392"/>
    </row>
    <row r="315" spans="1:35" ht="14.25" x14ac:dyDescent="0.15">
      <c r="A315" s="392" t="str">
        <f t="shared" si="49"/>
        <v>26/11</v>
      </c>
      <c r="B315" s="414">
        <v>46336</v>
      </c>
      <c r="C315" s="415">
        <v>0</v>
      </c>
      <c r="D315" s="415">
        <v>0</v>
      </c>
      <c r="E315" s="415">
        <f t="shared" si="48"/>
        <v>0</v>
      </c>
      <c r="F315" s="415">
        <f t="shared" si="58"/>
        <v>0</v>
      </c>
      <c r="G315" s="415">
        <f t="shared" si="58"/>
        <v>0</v>
      </c>
      <c r="H315" s="415">
        <f t="shared" si="58"/>
        <v>0</v>
      </c>
      <c r="I315" s="415">
        <f t="shared" si="58"/>
        <v>0</v>
      </c>
      <c r="J315" s="415">
        <f t="shared" si="58"/>
        <v>0</v>
      </c>
      <c r="K315" s="415">
        <f t="shared" si="58"/>
        <v>0</v>
      </c>
      <c r="L315" s="416">
        <f t="shared" si="50"/>
        <v>0</v>
      </c>
      <c r="M315" s="417">
        <f t="shared" si="51"/>
        <v>21561</v>
      </c>
      <c r="N315" s="288">
        <f t="shared" si="52"/>
        <v>0</v>
      </c>
      <c r="O315" s="290">
        <f t="shared" si="53"/>
        <v>0</v>
      </c>
      <c r="P315" s="287">
        <f t="shared" si="57"/>
        <v>22</v>
      </c>
      <c r="Q315" s="288">
        <f t="shared" si="57"/>
        <v>0</v>
      </c>
      <c r="R315" s="416">
        <f t="shared" si="54"/>
        <v>22</v>
      </c>
      <c r="S315" s="418">
        <f t="shared" si="55"/>
        <v>2467</v>
      </c>
      <c r="T315" s="419">
        <f t="shared" si="56"/>
        <v>22</v>
      </c>
      <c r="U315" s="420"/>
      <c r="V315" s="415"/>
      <c r="W315" s="415"/>
      <c r="X315" s="415"/>
      <c r="Y315" s="415"/>
      <c r="Z315" s="415"/>
      <c r="AA315" s="415"/>
      <c r="AB315" s="415"/>
      <c r="AC315" s="415"/>
      <c r="AD315" s="415"/>
      <c r="AE315" s="415"/>
      <c r="AF315" s="415">
        <v>22</v>
      </c>
      <c r="AG315" s="415"/>
      <c r="AI315" s="392"/>
    </row>
    <row r="316" spans="1:35" ht="14.25" x14ac:dyDescent="0.15">
      <c r="A316" s="392" t="str">
        <f t="shared" si="49"/>
        <v>26/11</v>
      </c>
      <c r="B316" s="414">
        <v>46342</v>
      </c>
      <c r="C316" s="415">
        <v>0</v>
      </c>
      <c r="D316" s="415">
        <v>0</v>
      </c>
      <c r="E316" s="415">
        <f t="shared" si="48"/>
        <v>0</v>
      </c>
      <c r="F316" s="415">
        <f t="shared" si="58"/>
        <v>0</v>
      </c>
      <c r="G316" s="415">
        <f t="shared" si="58"/>
        <v>0</v>
      </c>
      <c r="H316" s="415">
        <f t="shared" si="58"/>
        <v>0</v>
      </c>
      <c r="I316" s="415">
        <f t="shared" si="58"/>
        <v>0</v>
      </c>
      <c r="J316" s="415">
        <f t="shared" si="58"/>
        <v>0</v>
      </c>
      <c r="K316" s="415">
        <f t="shared" si="58"/>
        <v>0</v>
      </c>
      <c r="L316" s="416">
        <f t="shared" si="50"/>
        <v>0</v>
      </c>
      <c r="M316" s="417">
        <f t="shared" si="51"/>
        <v>21561</v>
      </c>
      <c r="N316" s="288">
        <f t="shared" si="52"/>
        <v>0</v>
      </c>
      <c r="O316" s="290">
        <f t="shared" si="53"/>
        <v>0</v>
      </c>
      <c r="P316" s="287">
        <f t="shared" si="57"/>
        <v>22</v>
      </c>
      <c r="Q316" s="288">
        <f t="shared" si="57"/>
        <v>0</v>
      </c>
      <c r="R316" s="416">
        <f t="shared" si="54"/>
        <v>22</v>
      </c>
      <c r="S316" s="418">
        <f t="shared" si="55"/>
        <v>2489</v>
      </c>
      <c r="T316" s="419">
        <f t="shared" si="56"/>
        <v>22</v>
      </c>
      <c r="U316" s="420"/>
      <c r="V316" s="415"/>
      <c r="W316" s="415"/>
      <c r="X316" s="415"/>
      <c r="Y316" s="415"/>
      <c r="Z316" s="415"/>
      <c r="AA316" s="415"/>
      <c r="AB316" s="415"/>
      <c r="AC316" s="415"/>
      <c r="AD316" s="415"/>
      <c r="AE316" s="415"/>
      <c r="AF316" s="415">
        <v>22</v>
      </c>
      <c r="AG316" s="415"/>
      <c r="AI316" s="392"/>
    </row>
    <row r="317" spans="1:35" ht="15" thickBot="1" x14ac:dyDescent="0.2">
      <c r="A317" s="392" t="str">
        <f t="shared" si="49"/>
        <v>26/11</v>
      </c>
      <c r="B317" s="423">
        <v>46350</v>
      </c>
      <c r="C317" s="424">
        <v>0</v>
      </c>
      <c r="D317" s="424">
        <v>0</v>
      </c>
      <c r="E317" s="424">
        <f t="shared" si="48"/>
        <v>0</v>
      </c>
      <c r="F317" s="424">
        <f t="shared" si="58"/>
        <v>0</v>
      </c>
      <c r="G317" s="424">
        <f t="shared" si="58"/>
        <v>0</v>
      </c>
      <c r="H317" s="424">
        <f t="shared" si="58"/>
        <v>0</v>
      </c>
      <c r="I317" s="424">
        <f t="shared" si="58"/>
        <v>0</v>
      </c>
      <c r="J317" s="424">
        <f t="shared" si="58"/>
        <v>0</v>
      </c>
      <c r="K317" s="424">
        <f t="shared" si="58"/>
        <v>0</v>
      </c>
      <c r="L317" s="425">
        <f t="shared" si="50"/>
        <v>0</v>
      </c>
      <c r="M317" s="426">
        <f t="shared" si="51"/>
        <v>21561</v>
      </c>
      <c r="N317" s="427">
        <f t="shared" si="52"/>
        <v>0</v>
      </c>
      <c r="O317" s="428">
        <f t="shared" si="53"/>
        <v>0</v>
      </c>
      <c r="P317" s="429">
        <f t="shared" si="57"/>
        <v>23</v>
      </c>
      <c r="Q317" s="427">
        <f t="shared" si="57"/>
        <v>0</v>
      </c>
      <c r="R317" s="425">
        <f t="shared" si="54"/>
        <v>23</v>
      </c>
      <c r="S317" s="430">
        <f t="shared" si="55"/>
        <v>2512</v>
      </c>
      <c r="T317" s="431">
        <f t="shared" si="56"/>
        <v>23</v>
      </c>
      <c r="U317" s="432"/>
      <c r="V317" s="424"/>
      <c r="W317" s="424"/>
      <c r="X317" s="424"/>
      <c r="Y317" s="424"/>
      <c r="Z317" s="424"/>
      <c r="AA317" s="424"/>
      <c r="AB317" s="424"/>
      <c r="AC317" s="424"/>
      <c r="AD317" s="424"/>
      <c r="AE317" s="424"/>
      <c r="AF317" s="424">
        <v>23</v>
      </c>
      <c r="AG317" s="424"/>
      <c r="AI317" s="392"/>
    </row>
    <row r="318" spans="1:35" ht="15" thickTop="1" x14ac:dyDescent="0.15">
      <c r="A318" s="392" t="str">
        <f t="shared" si="49"/>
        <v>26/12</v>
      </c>
      <c r="B318" s="414">
        <v>46357</v>
      </c>
      <c r="C318" s="415">
        <v>0</v>
      </c>
      <c r="D318" s="415">
        <v>0</v>
      </c>
      <c r="E318" s="415">
        <f t="shared" si="48"/>
        <v>20</v>
      </c>
      <c r="F318" s="415">
        <f t="shared" si="58"/>
        <v>0</v>
      </c>
      <c r="G318" s="415">
        <f t="shared" si="58"/>
        <v>0</v>
      </c>
      <c r="H318" s="415">
        <f t="shared" si="58"/>
        <v>6</v>
      </c>
      <c r="I318" s="415">
        <f t="shared" si="58"/>
        <v>1</v>
      </c>
      <c r="J318" s="415">
        <f t="shared" si="58"/>
        <v>0</v>
      </c>
      <c r="K318" s="415">
        <f t="shared" si="58"/>
        <v>0</v>
      </c>
      <c r="L318" s="416">
        <f t="shared" si="50"/>
        <v>27</v>
      </c>
      <c r="M318" s="417">
        <f t="shared" si="51"/>
        <v>21588</v>
      </c>
      <c r="N318" s="288">
        <f t="shared" si="52"/>
        <v>7</v>
      </c>
      <c r="O318" s="290">
        <f t="shared" si="53"/>
        <v>20</v>
      </c>
      <c r="P318" s="287">
        <f t="shared" si="57"/>
        <v>31</v>
      </c>
      <c r="Q318" s="288">
        <f t="shared" si="57"/>
        <v>0</v>
      </c>
      <c r="R318" s="416">
        <f t="shared" si="54"/>
        <v>31</v>
      </c>
      <c r="S318" s="418">
        <f t="shared" si="55"/>
        <v>2543</v>
      </c>
      <c r="T318" s="419">
        <f t="shared" si="56"/>
        <v>58</v>
      </c>
      <c r="U318" s="420">
        <v>3</v>
      </c>
      <c r="V318" s="415"/>
      <c r="W318" s="415"/>
      <c r="X318" s="415">
        <v>20</v>
      </c>
      <c r="Y318" s="415"/>
      <c r="Z318" s="415">
        <v>3</v>
      </c>
      <c r="AA318" s="415"/>
      <c r="AB318" s="415"/>
      <c r="AC318" s="415">
        <v>1</v>
      </c>
      <c r="AD318" s="415"/>
      <c r="AE318" s="415"/>
      <c r="AF318" s="415">
        <v>31</v>
      </c>
      <c r="AG318" s="415"/>
      <c r="AI318" s="392"/>
    </row>
    <row r="319" spans="1:35" ht="14.25" x14ac:dyDescent="0.15">
      <c r="A319" s="392" t="str">
        <f t="shared" si="49"/>
        <v>26/12</v>
      </c>
      <c r="B319" s="414">
        <v>46364</v>
      </c>
      <c r="C319" s="415">
        <v>0</v>
      </c>
      <c r="D319" s="415">
        <v>0</v>
      </c>
      <c r="E319" s="415">
        <f t="shared" si="48"/>
        <v>0</v>
      </c>
      <c r="F319" s="415">
        <f t="shared" si="58"/>
        <v>0</v>
      </c>
      <c r="G319" s="415">
        <f t="shared" si="58"/>
        <v>0</v>
      </c>
      <c r="H319" s="415">
        <f t="shared" si="58"/>
        <v>0</v>
      </c>
      <c r="I319" s="415">
        <f t="shared" si="58"/>
        <v>0</v>
      </c>
      <c r="J319" s="415">
        <f t="shared" si="58"/>
        <v>0</v>
      </c>
      <c r="K319" s="415">
        <f t="shared" si="58"/>
        <v>0</v>
      </c>
      <c r="L319" s="416">
        <f t="shared" si="50"/>
        <v>0</v>
      </c>
      <c r="M319" s="417">
        <f t="shared" si="51"/>
        <v>21588</v>
      </c>
      <c r="N319" s="288">
        <f t="shared" si="52"/>
        <v>0</v>
      </c>
      <c r="O319" s="290">
        <f t="shared" si="53"/>
        <v>0</v>
      </c>
      <c r="P319" s="287">
        <f t="shared" si="57"/>
        <v>22</v>
      </c>
      <c r="Q319" s="288">
        <f t="shared" si="57"/>
        <v>0</v>
      </c>
      <c r="R319" s="416">
        <f t="shared" si="54"/>
        <v>22</v>
      </c>
      <c r="S319" s="418">
        <f t="shared" si="55"/>
        <v>2565</v>
      </c>
      <c r="T319" s="419">
        <f t="shared" si="56"/>
        <v>22</v>
      </c>
      <c r="U319" s="420"/>
      <c r="V319" s="415"/>
      <c r="W319" s="415"/>
      <c r="X319" s="415"/>
      <c r="Y319" s="415"/>
      <c r="Z319" s="415"/>
      <c r="AA319" s="415"/>
      <c r="AB319" s="415"/>
      <c r="AC319" s="415"/>
      <c r="AD319" s="415"/>
      <c r="AE319" s="415"/>
      <c r="AF319" s="415">
        <v>22</v>
      </c>
      <c r="AG319" s="415"/>
      <c r="AI319" s="392"/>
    </row>
    <row r="320" spans="1:35" ht="14.25" x14ac:dyDescent="0.15">
      <c r="A320" s="392" t="str">
        <f t="shared" si="49"/>
        <v>26/12</v>
      </c>
      <c r="B320" s="414">
        <v>46371</v>
      </c>
      <c r="C320" s="415">
        <v>0</v>
      </c>
      <c r="D320" s="415">
        <v>0</v>
      </c>
      <c r="E320" s="415">
        <f t="shared" si="48"/>
        <v>0</v>
      </c>
      <c r="F320" s="415">
        <f t="shared" si="58"/>
        <v>0</v>
      </c>
      <c r="G320" s="415">
        <f t="shared" si="58"/>
        <v>0</v>
      </c>
      <c r="H320" s="415">
        <f t="shared" si="58"/>
        <v>0</v>
      </c>
      <c r="I320" s="415">
        <f t="shared" si="58"/>
        <v>0</v>
      </c>
      <c r="J320" s="415">
        <f t="shared" si="58"/>
        <v>0</v>
      </c>
      <c r="K320" s="415">
        <f t="shared" si="58"/>
        <v>0</v>
      </c>
      <c r="L320" s="416">
        <f t="shared" si="50"/>
        <v>0</v>
      </c>
      <c r="M320" s="417">
        <f t="shared" si="51"/>
        <v>21588</v>
      </c>
      <c r="N320" s="288">
        <f t="shared" si="52"/>
        <v>0</v>
      </c>
      <c r="O320" s="290">
        <f t="shared" si="53"/>
        <v>0</v>
      </c>
      <c r="P320" s="287">
        <f t="shared" si="57"/>
        <v>22</v>
      </c>
      <c r="Q320" s="288">
        <f t="shared" si="57"/>
        <v>0</v>
      </c>
      <c r="R320" s="416">
        <f t="shared" si="54"/>
        <v>22</v>
      </c>
      <c r="S320" s="418">
        <f t="shared" si="55"/>
        <v>2587</v>
      </c>
      <c r="T320" s="419">
        <f t="shared" si="56"/>
        <v>22</v>
      </c>
      <c r="U320" s="420"/>
      <c r="V320" s="415"/>
      <c r="W320" s="415"/>
      <c r="X320" s="415"/>
      <c r="Y320" s="415"/>
      <c r="Z320" s="415"/>
      <c r="AA320" s="415"/>
      <c r="AB320" s="415"/>
      <c r="AC320" s="415"/>
      <c r="AD320" s="415"/>
      <c r="AE320" s="415"/>
      <c r="AF320" s="415">
        <v>22</v>
      </c>
      <c r="AG320" s="415"/>
      <c r="AI320" s="392"/>
    </row>
    <row r="321" spans="1:35" ht="15" thickBot="1" x14ac:dyDescent="0.2">
      <c r="A321" s="392" t="str">
        <f t="shared" si="49"/>
        <v>26/12</v>
      </c>
      <c r="B321" s="423">
        <v>46380</v>
      </c>
      <c r="C321" s="424">
        <v>0</v>
      </c>
      <c r="D321" s="424">
        <v>0</v>
      </c>
      <c r="E321" s="424">
        <f t="shared" si="48"/>
        <v>0</v>
      </c>
      <c r="F321" s="424">
        <f t="shared" si="58"/>
        <v>0</v>
      </c>
      <c r="G321" s="424">
        <f t="shared" si="58"/>
        <v>0</v>
      </c>
      <c r="H321" s="424">
        <f t="shared" si="58"/>
        <v>0</v>
      </c>
      <c r="I321" s="424">
        <f t="shared" si="58"/>
        <v>0</v>
      </c>
      <c r="J321" s="424">
        <f t="shared" si="58"/>
        <v>0</v>
      </c>
      <c r="K321" s="424">
        <f t="shared" si="58"/>
        <v>0</v>
      </c>
      <c r="L321" s="425">
        <f t="shared" si="50"/>
        <v>0</v>
      </c>
      <c r="M321" s="426">
        <f t="shared" si="51"/>
        <v>21588</v>
      </c>
      <c r="N321" s="427">
        <f t="shared" si="52"/>
        <v>0</v>
      </c>
      <c r="O321" s="428">
        <f t="shared" si="53"/>
        <v>0</v>
      </c>
      <c r="P321" s="429">
        <f t="shared" si="57"/>
        <v>20</v>
      </c>
      <c r="Q321" s="427">
        <f t="shared" si="57"/>
        <v>0</v>
      </c>
      <c r="R321" s="425">
        <f t="shared" si="54"/>
        <v>20</v>
      </c>
      <c r="S321" s="430">
        <f t="shared" si="55"/>
        <v>2607</v>
      </c>
      <c r="T321" s="431">
        <f t="shared" si="56"/>
        <v>20</v>
      </c>
      <c r="U321" s="432"/>
      <c r="V321" s="424"/>
      <c r="W321" s="424"/>
      <c r="X321" s="424"/>
      <c r="Y321" s="424"/>
      <c r="Z321" s="424"/>
      <c r="AA321" s="424"/>
      <c r="AB321" s="424"/>
      <c r="AC321" s="424"/>
      <c r="AD321" s="424"/>
      <c r="AE321" s="424"/>
      <c r="AF321" s="424">
        <v>20</v>
      </c>
      <c r="AG321" s="424"/>
      <c r="AI321" s="392"/>
    </row>
    <row r="322" spans="1:35" ht="15" thickTop="1" x14ac:dyDescent="0.15">
      <c r="A322" s="392" t="str">
        <f t="shared" si="49"/>
        <v>27/01</v>
      </c>
      <c r="B322" s="414">
        <v>46388</v>
      </c>
      <c r="C322" s="415">
        <v>0</v>
      </c>
      <c r="D322" s="415">
        <v>0</v>
      </c>
      <c r="E322" s="415">
        <f t="shared" si="48"/>
        <v>0</v>
      </c>
      <c r="F322" s="415">
        <f t="shared" si="58"/>
        <v>0</v>
      </c>
      <c r="G322" s="415">
        <f t="shared" si="58"/>
        <v>0</v>
      </c>
      <c r="H322" s="415">
        <f t="shared" si="58"/>
        <v>11</v>
      </c>
      <c r="I322" s="415">
        <f t="shared" si="58"/>
        <v>0</v>
      </c>
      <c r="J322" s="415">
        <f t="shared" si="58"/>
        <v>0</v>
      </c>
      <c r="K322" s="415">
        <f t="shared" si="58"/>
        <v>0</v>
      </c>
      <c r="L322" s="416">
        <f t="shared" si="50"/>
        <v>11</v>
      </c>
      <c r="M322" s="417">
        <f t="shared" si="51"/>
        <v>21599</v>
      </c>
      <c r="N322" s="288">
        <f t="shared" si="52"/>
        <v>11</v>
      </c>
      <c r="O322" s="290">
        <f t="shared" si="53"/>
        <v>0</v>
      </c>
      <c r="P322" s="287">
        <f t="shared" si="57"/>
        <v>0</v>
      </c>
      <c r="Q322" s="288">
        <f t="shared" si="57"/>
        <v>0</v>
      </c>
      <c r="R322" s="416">
        <f t="shared" si="54"/>
        <v>0</v>
      </c>
      <c r="S322" s="418">
        <f t="shared" si="55"/>
        <v>2607</v>
      </c>
      <c r="T322" s="419">
        <f t="shared" si="56"/>
        <v>11</v>
      </c>
      <c r="U322" s="420"/>
      <c r="V322" s="415"/>
      <c r="W322" s="415"/>
      <c r="X322" s="415"/>
      <c r="Y322" s="415"/>
      <c r="Z322" s="415">
        <v>11</v>
      </c>
      <c r="AA322" s="415"/>
      <c r="AB322" s="415"/>
      <c r="AC322" s="415"/>
      <c r="AD322" s="415"/>
      <c r="AE322" s="415"/>
      <c r="AF322" s="415"/>
      <c r="AG322" s="415"/>
      <c r="AI322" s="392"/>
    </row>
    <row r="323" spans="1:35" ht="14.25" x14ac:dyDescent="0.15">
      <c r="A323" s="392" t="str">
        <f t="shared" si="49"/>
        <v>27/01</v>
      </c>
      <c r="B323" s="414">
        <v>46391</v>
      </c>
      <c r="C323" s="415">
        <v>0</v>
      </c>
      <c r="D323" s="415">
        <v>0</v>
      </c>
      <c r="E323" s="415">
        <f t="shared" si="48"/>
        <v>36</v>
      </c>
      <c r="F323" s="415">
        <f t="shared" si="58"/>
        <v>0</v>
      </c>
      <c r="G323" s="415">
        <f t="shared" si="58"/>
        <v>0</v>
      </c>
      <c r="H323" s="415">
        <f t="shared" si="58"/>
        <v>35</v>
      </c>
      <c r="I323" s="415">
        <f t="shared" si="58"/>
        <v>0</v>
      </c>
      <c r="J323" s="415">
        <f t="shared" si="58"/>
        <v>0</v>
      </c>
      <c r="K323" s="415">
        <f t="shared" si="58"/>
        <v>0</v>
      </c>
      <c r="L323" s="416">
        <f t="shared" si="50"/>
        <v>71</v>
      </c>
      <c r="M323" s="417">
        <f t="shared" si="51"/>
        <v>21670</v>
      </c>
      <c r="N323" s="288">
        <f t="shared" si="52"/>
        <v>35</v>
      </c>
      <c r="O323" s="290">
        <f t="shared" si="53"/>
        <v>36</v>
      </c>
      <c r="P323" s="287">
        <f t="shared" si="57"/>
        <v>20</v>
      </c>
      <c r="Q323" s="288">
        <f t="shared" si="57"/>
        <v>0</v>
      </c>
      <c r="R323" s="416">
        <f t="shared" si="54"/>
        <v>20</v>
      </c>
      <c r="S323" s="418">
        <f t="shared" si="55"/>
        <v>2627</v>
      </c>
      <c r="T323" s="419">
        <f t="shared" si="56"/>
        <v>91</v>
      </c>
      <c r="U323" s="420">
        <v>35</v>
      </c>
      <c r="V323" s="415">
        <v>2</v>
      </c>
      <c r="W323" s="415"/>
      <c r="X323" s="415">
        <v>20</v>
      </c>
      <c r="Y323" s="415"/>
      <c r="Z323" s="415"/>
      <c r="AA323" s="415"/>
      <c r="AB323" s="415"/>
      <c r="AC323" s="415"/>
      <c r="AD323" s="415">
        <v>14</v>
      </c>
      <c r="AE323" s="415"/>
      <c r="AF323" s="415">
        <v>20</v>
      </c>
      <c r="AG323" s="415"/>
      <c r="AI323" s="392"/>
    </row>
    <row r="324" spans="1:35" ht="14.25" x14ac:dyDescent="0.15">
      <c r="A324" s="392" t="str">
        <f t="shared" si="49"/>
        <v>27/01</v>
      </c>
      <c r="B324" s="414">
        <v>46392</v>
      </c>
      <c r="C324" s="415">
        <v>0</v>
      </c>
      <c r="D324" s="415">
        <v>0</v>
      </c>
      <c r="E324" s="415">
        <f t="shared" si="48"/>
        <v>0</v>
      </c>
      <c r="F324" s="415">
        <f t="shared" si="58"/>
        <v>0</v>
      </c>
      <c r="G324" s="415">
        <f t="shared" si="58"/>
        <v>0</v>
      </c>
      <c r="H324" s="415">
        <f t="shared" si="58"/>
        <v>0</v>
      </c>
      <c r="I324" s="415">
        <f t="shared" si="58"/>
        <v>1</v>
      </c>
      <c r="J324" s="415">
        <f t="shared" si="58"/>
        <v>0</v>
      </c>
      <c r="K324" s="415">
        <f t="shared" si="58"/>
        <v>0</v>
      </c>
      <c r="L324" s="416">
        <f t="shared" si="50"/>
        <v>1</v>
      </c>
      <c r="M324" s="417">
        <f t="shared" si="51"/>
        <v>21671</v>
      </c>
      <c r="N324" s="288">
        <f t="shared" si="52"/>
        <v>1</v>
      </c>
      <c r="O324" s="290">
        <f t="shared" si="53"/>
        <v>0</v>
      </c>
      <c r="P324" s="287">
        <f t="shared" si="57"/>
        <v>0</v>
      </c>
      <c r="Q324" s="288">
        <f t="shared" si="57"/>
        <v>0</v>
      </c>
      <c r="R324" s="416">
        <f t="shared" si="54"/>
        <v>0</v>
      </c>
      <c r="S324" s="418">
        <f t="shared" si="55"/>
        <v>2627</v>
      </c>
      <c r="T324" s="419">
        <f t="shared" si="56"/>
        <v>1</v>
      </c>
      <c r="U324" s="420"/>
      <c r="V324" s="415"/>
      <c r="W324" s="415"/>
      <c r="X324" s="415"/>
      <c r="Y324" s="415"/>
      <c r="Z324" s="415"/>
      <c r="AA324" s="415"/>
      <c r="AB324" s="415"/>
      <c r="AC324" s="415">
        <v>1</v>
      </c>
      <c r="AD324" s="415"/>
      <c r="AE324" s="415"/>
      <c r="AF324" s="415"/>
      <c r="AG324" s="415"/>
      <c r="AI324" s="392"/>
    </row>
    <row r="325" spans="1:35" ht="14.25" x14ac:dyDescent="0.15">
      <c r="A325" s="392" t="str">
        <f t="shared" si="49"/>
        <v>27/01</v>
      </c>
      <c r="B325" s="414">
        <v>46399</v>
      </c>
      <c r="C325" s="415">
        <v>0</v>
      </c>
      <c r="D325" s="415">
        <v>0</v>
      </c>
      <c r="E325" s="415">
        <f t="shared" si="48"/>
        <v>0</v>
      </c>
      <c r="F325" s="415">
        <f t="shared" si="58"/>
        <v>0</v>
      </c>
      <c r="G325" s="415">
        <f t="shared" si="58"/>
        <v>0</v>
      </c>
      <c r="H325" s="415">
        <f t="shared" si="58"/>
        <v>0</v>
      </c>
      <c r="I325" s="415">
        <f t="shared" si="58"/>
        <v>0</v>
      </c>
      <c r="J325" s="415">
        <f t="shared" si="58"/>
        <v>0</v>
      </c>
      <c r="K325" s="415">
        <f t="shared" si="58"/>
        <v>0</v>
      </c>
      <c r="L325" s="416">
        <f t="shared" si="50"/>
        <v>0</v>
      </c>
      <c r="M325" s="417">
        <f t="shared" si="51"/>
        <v>21671</v>
      </c>
      <c r="N325" s="288">
        <f t="shared" si="52"/>
        <v>0</v>
      </c>
      <c r="O325" s="290">
        <f t="shared" si="53"/>
        <v>0</v>
      </c>
      <c r="P325" s="287">
        <f t="shared" si="57"/>
        <v>22</v>
      </c>
      <c r="Q325" s="288">
        <f t="shared" si="57"/>
        <v>0</v>
      </c>
      <c r="R325" s="416">
        <f t="shared" si="54"/>
        <v>22</v>
      </c>
      <c r="S325" s="418">
        <f t="shared" si="55"/>
        <v>2649</v>
      </c>
      <c r="T325" s="419">
        <f t="shared" si="56"/>
        <v>22</v>
      </c>
      <c r="U325" s="420"/>
      <c r="V325" s="415"/>
      <c r="W325" s="415"/>
      <c r="X325" s="415"/>
      <c r="Y325" s="415"/>
      <c r="Z325" s="415"/>
      <c r="AA325" s="415"/>
      <c r="AB325" s="415"/>
      <c r="AC325" s="415"/>
      <c r="AD325" s="415"/>
      <c r="AE325" s="415"/>
      <c r="AF325" s="415">
        <v>22</v>
      </c>
      <c r="AG325" s="415"/>
      <c r="AI325" s="392"/>
    </row>
    <row r="326" spans="1:35" ht="14.25" x14ac:dyDescent="0.15">
      <c r="A326" s="392" t="str">
        <f t="shared" si="49"/>
        <v>27/01</v>
      </c>
      <c r="B326" s="414">
        <v>46405</v>
      </c>
      <c r="C326" s="415">
        <v>0</v>
      </c>
      <c r="D326" s="415">
        <v>0</v>
      </c>
      <c r="E326" s="415">
        <f t="shared" si="48"/>
        <v>0</v>
      </c>
      <c r="F326" s="415">
        <f t="shared" si="58"/>
        <v>0</v>
      </c>
      <c r="G326" s="415">
        <f t="shared" si="58"/>
        <v>0</v>
      </c>
      <c r="H326" s="415">
        <f t="shared" si="58"/>
        <v>0</v>
      </c>
      <c r="I326" s="415">
        <f t="shared" si="58"/>
        <v>0</v>
      </c>
      <c r="J326" s="415">
        <f t="shared" si="58"/>
        <v>0</v>
      </c>
      <c r="K326" s="415">
        <f t="shared" si="58"/>
        <v>0</v>
      </c>
      <c r="L326" s="416">
        <f t="shared" si="50"/>
        <v>0</v>
      </c>
      <c r="M326" s="417">
        <f t="shared" si="51"/>
        <v>21671</v>
      </c>
      <c r="N326" s="288">
        <f t="shared" si="52"/>
        <v>0</v>
      </c>
      <c r="O326" s="290">
        <f t="shared" si="53"/>
        <v>0</v>
      </c>
      <c r="P326" s="287">
        <f t="shared" si="57"/>
        <v>20</v>
      </c>
      <c r="Q326" s="288">
        <f t="shared" si="57"/>
        <v>0</v>
      </c>
      <c r="R326" s="416">
        <f t="shared" si="54"/>
        <v>20</v>
      </c>
      <c r="S326" s="418">
        <f t="shared" si="55"/>
        <v>2669</v>
      </c>
      <c r="T326" s="419">
        <f t="shared" si="56"/>
        <v>20</v>
      </c>
      <c r="U326" s="420"/>
      <c r="V326" s="415"/>
      <c r="W326" s="415"/>
      <c r="X326" s="415"/>
      <c r="Y326" s="415"/>
      <c r="Z326" s="415"/>
      <c r="AA326" s="415"/>
      <c r="AB326" s="415"/>
      <c r="AC326" s="415"/>
      <c r="AD326" s="415"/>
      <c r="AE326" s="415"/>
      <c r="AF326" s="415">
        <v>20</v>
      </c>
      <c r="AG326" s="415"/>
      <c r="AI326" s="392"/>
    </row>
    <row r="327" spans="1:35" ht="15" thickBot="1" x14ac:dyDescent="0.2">
      <c r="A327" s="392" t="str">
        <f t="shared" si="49"/>
        <v>27/01</v>
      </c>
      <c r="B327" s="423">
        <v>46413</v>
      </c>
      <c r="C327" s="424">
        <v>0</v>
      </c>
      <c r="D327" s="424">
        <v>0</v>
      </c>
      <c r="E327" s="424">
        <f t="shared" si="48"/>
        <v>0</v>
      </c>
      <c r="F327" s="424">
        <f t="shared" si="58"/>
        <v>0</v>
      </c>
      <c r="G327" s="424">
        <f t="shared" si="58"/>
        <v>0</v>
      </c>
      <c r="H327" s="424">
        <f t="shared" si="58"/>
        <v>0</v>
      </c>
      <c r="I327" s="424">
        <f t="shared" si="58"/>
        <v>0</v>
      </c>
      <c r="J327" s="424">
        <f t="shared" si="58"/>
        <v>0</v>
      </c>
      <c r="K327" s="424">
        <f t="shared" si="58"/>
        <v>0</v>
      </c>
      <c r="L327" s="425">
        <f t="shared" si="50"/>
        <v>0</v>
      </c>
      <c r="M327" s="426">
        <f t="shared" si="51"/>
        <v>21671</v>
      </c>
      <c r="N327" s="427">
        <f t="shared" si="52"/>
        <v>0</v>
      </c>
      <c r="O327" s="428">
        <f t="shared" si="53"/>
        <v>0</v>
      </c>
      <c r="P327" s="429">
        <f t="shared" si="57"/>
        <v>12</v>
      </c>
      <c r="Q327" s="427">
        <f t="shared" si="57"/>
        <v>0</v>
      </c>
      <c r="R327" s="425">
        <f t="shared" si="54"/>
        <v>12</v>
      </c>
      <c r="S327" s="430">
        <f t="shared" si="55"/>
        <v>2681</v>
      </c>
      <c r="T327" s="431">
        <f t="shared" si="56"/>
        <v>12</v>
      </c>
      <c r="U327" s="432"/>
      <c r="V327" s="424"/>
      <c r="W327" s="424"/>
      <c r="X327" s="424"/>
      <c r="Y327" s="424"/>
      <c r="Z327" s="424"/>
      <c r="AA327" s="424"/>
      <c r="AB327" s="424"/>
      <c r="AC327" s="424"/>
      <c r="AD327" s="424"/>
      <c r="AE327" s="424"/>
      <c r="AF327" s="424">
        <v>12</v>
      </c>
      <c r="AG327" s="424"/>
      <c r="AI327" s="392"/>
    </row>
    <row r="328" spans="1:35" ht="15" thickTop="1" x14ac:dyDescent="0.15">
      <c r="A328" s="392" t="str">
        <f t="shared" si="49"/>
        <v>27/02</v>
      </c>
      <c r="B328" s="414">
        <v>46419</v>
      </c>
      <c r="C328" s="415">
        <v>0</v>
      </c>
      <c r="D328" s="415">
        <v>0</v>
      </c>
      <c r="E328" s="415">
        <f t="shared" si="48"/>
        <v>37</v>
      </c>
      <c r="F328" s="415">
        <f t="shared" si="58"/>
        <v>0</v>
      </c>
      <c r="G328" s="415">
        <f t="shared" si="58"/>
        <v>0</v>
      </c>
      <c r="H328" s="415">
        <f t="shared" si="58"/>
        <v>0</v>
      </c>
      <c r="I328" s="415">
        <f t="shared" si="58"/>
        <v>0</v>
      </c>
      <c r="J328" s="415">
        <f t="shared" si="58"/>
        <v>0</v>
      </c>
      <c r="K328" s="415">
        <f t="shared" si="58"/>
        <v>0</v>
      </c>
      <c r="L328" s="416">
        <f t="shared" si="50"/>
        <v>37</v>
      </c>
      <c r="M328" s="417">
        <f t="shared" si="51"/>
        <v>21708</v>
      </c>
      <c r="N328" s="288">
        <f t="shared" si="52"/>
        <v>0</v>
      </c>
      <c r="O328" s="290">
        <f t="shared" si="53"/>
        <v>37</v>
      </c>
      <c r="P328" s="287">
        <f t="shared" si="57"/>
        <v>44</v>
      </c>
      <c r="Q328" s="288">
        <f t="shared" si="57"/>
        <v>25</v>
      </c>
      <c r="R328" s="416">
        <f t="shared" si="54"/>
        <v>69</v>
      </c>
      <c r="S328" s="418">
        <f t="shared" si="55"/>
        <v>2750</v>
      </c>
      <c r="T328" s="419">
        <f t="shared" si="56"/>
        <v>106</v>
      </c>
      <c r="U328" s="420"/>
      <c r="V328" s="415">
        <v>15</v>
      </c>
      <c r="W328" s="415"/>
      <c r="X328" s="415">
        <v>20</v>
      </c>
      <c r="Y328" s="415"/>
      <c r="Z328" s="415"/>
      <c r="AA328" s="415"/>
      <c r="AB328" s="415"/>
      <c r="AC328" s="415"/>
      <c r="AD328" s="415">
        <v>2</v>
      </c>
      <c r="AE328" s="415"/>
      <c r="AF328" s="415">
        <v>44</v>
      </c>
      <c r="AG328" s="415">
        <v>25</v>
      </c>
      <c r="AI328" s="392"/>
    </row>
    <row r="329" spans="1:35" ht="14.25" x14ac:dyDescent="0.15">
      <c r="A329" s="392" t="str">
        <f t="shared" si="49"/>
        <v>27/02</v>
      </c>
      <c r="B329" s="414">
        <v>46426</v>
      </c>
      <c r="C329" s="415">
        <v>0</v>
      </c>
      <c r="D329" s="415">
        <v>0</v>
      </c>
      <c r="E329" s="415">
        <f t="shared" si="48"/>
        <v>0</v>
      </c>
      <c r="F329" s="415">
        <f t="shared" si="58"/>
        <v>0</v>
      </c>
      <c r="G329" s="415">
        <f t="shared" si="58"/>
        <v>0</v>
      </c>
      <c r="H329" s="415">
        <f t="shared" si="58"/>
        <v>0</v>
      </c>
      <c r="I329" s="415">
        <f t="shared" si="58"/>
        <v>0</v>
      </c>
      <c r="J329" s="415">
        <f t="shared" si="58"/>
        <v>0</v>
      </c>
      <c r="K329" s="415">
        <f t="shared" si="58"/>
        <v>0</v>
      </c>
      <c r="L329" s="416">
        <f t="shared" si="50"/>
        <v>0</v>
      </c>
      <c r="M329" s="417">
        <f t="shared" si="51"/>
        <v>21708</v>
      </c>
      <c r="N329" s="288">
        <f t="shared" si="52"/>
        <v>0</v>
      </c>
      <c r="O329" s="290">
        <f t="shared" si="53"/>
        <v>0</v>
      </c>
      <c r="P329" s="287">
        <f t="shared" si="57"/>
        <v>11</v>
      </c>
      <c r="Q329" s="288">
        <f t="shared" si="57"/>
        <v>0</v>
      </c>
      <c r="R329" s="416">
        <f t="shared" si="54"/>
        <v>11</v>
      </c>
      <c r="S329" s="418">
        <f t="shared" si="55"/>
        <v>2761</v>
      </c>
      <c r="T329" s="419">
        <f t="shared" si="56"/>
        <v>11</v>
      </c>
      <c r="U329" s="420"/>
      <c r="V329" s="415"/>
      <c r="W329" s="415"/>
      <c r="X329" s="415"/>
      <c r="Y329" s="415"/>
      <c r="Z329" s="415"/>
      <c r="AA329" s="415"/>
      <c r="AB329" s="415"/>
      <c r="AC329" s="415"/>
      <c r="AD329" s="415"/>
      <c r="AE329" s="415"/>
      <c r="AF329" s="415">
        <v>11</v>
      </c>
      <c r="AG329" s="415"/>
      <c r="AI329" s="392"/>
    </row>
    <row r="330" spans="1:35" ht="14.25" x14ac:dyDescent="0.15">
      <c r="A330" s="392" t="str">
        <f t="shared" si="49"/>
        <v>27/02</v>
      </c>
      <c r="B330" s="414">
        <v>46430</v>
      </c>
      <c r="C330" s="415">
        <v>0</v>
      </c>
      <c r="D330" s="415">
        <v>0</v>
      </c>
      <c r="E330" s="415">
        <f t="shared" ref="E330:E335" si="59">SUMIFS($U330:$AG330,$U$210:$AG$210,E$208)</f>
        <v>0</v>
      </c>
      <c r="F330" s="415">
        <f t="shared" si="58"/>
        <v>0</v>
      </c>
      <c r="G330" s="415">
        <f t="shared" si="58"/>
        <v>0</v>
      </c>
      <c r="H330" s="415">
        <f t="shared" si="58"/>
        <v>0</v>
      </c>
      <c r="I330" s="415">
        <f t="shared" si="58"/>
        <v>0</v>
      </c>
      <c r="J330" s="415">
        <f t="shared" si="58"/>
        <v>0</v>
      </c>
      <c r="K330" s="415">
        <f t="shared" si="58"/>
        <v>0</v>
      </c>
      <c r="L330" s="416">
        <f t="shared" si="50"/>
        <v>0</v>
      </c>
      <c r="M330" s="417">
        <f t="shared" si="51"/>
        <v>21708</v>
      </c>
      <c r="N330" s="288">
        <f t="shared" si="52"/>
        <v>0</v>
      </c>
      <c r="O330" s="290">
        <f t="shared" si="53"/>
        <v>0</v>
      </c>
      <c r="P330" s="287">
        <f t="shared" si="57"/>
        <v>7</v>
      </c>
      <c r="Q330" s="288">
        <f t="shared" si="57"/>
        <v>0</v>
      </c>
      <c r="R330" s="416">
        <f t="shared" si="54"/>
        <v>7</v>
      </c>
      <c r="S330" s="418">
        <f t="shared" si="55"/>
        <v>2768</v>
      </c>
      <c r="T330" s="419">
        <f t="shared" si="56"/>
        <v>7</v>
      </c>
      <c r="U330" s="420"/>
      <c r="V330" s="415"/>
      <c r="W330" s="415"/>
      <c r="X330" s="415"/>
      <c r="Y330" s="415"/>
      <c r="Z330" s="415"/>
      <c r="AA330" s="415"/>
      <c r="AB330" s="415"/>
      <c r="AC330" s="415"/>
      <c r="AD330" s="415"/>
      <c r="AE330" s="415"/>
      <c r="AF330" s="415">
        <v>7</v>
      </c>
      <c r="AG330" s="415"/>
      <c r="AI330" s="392"/>
    </row>
    <row r="331" spans="1:35" ht="15" thickBot="1" x14ac:dyDescent="0.2">
      <c r="A331" s="392" t="str">
        <f t="shared" si="49"/>
        <v>27/02</v>
      </c>
      <c r="B331" s="423">
        <v>46440</v>
      </c>
      <c r="C331" s="424">
        <v>0</v>
      </c>
      <c r="D331" s="424">
        <v>0</v>
      </c>
      <c r="E331" s="424">
        <f t="shared" si="59"/>
        <v>0</v>
      </c>
      <c r="F331" s="424">
        <f t="shared" si="58"/>
        <v>0</v>
      </c>
      <c r="G331" s="424">
        <f t="shared" si="58"/>
        <v>0</v>
      </c>
      <c r="H331" s="424">
        <f t="shared" si="58"/>
        <v>0</v>
      </c>
      <c r="I331" s="424">
        <f t="shared" si="58"/>
        <v>0</v>
      </c>
      <c r="J331" s="424">
        <f t="shared" si="58"/>
        <v>0</v>
      </c>
      <c r="K331" s="424">
        <f t="shared" si="58"/>
        <v>0</v>
      </c>
      <c r="L331" s="425">
        <f t="shared" si="50"/>
        <v>0</v>
      </c>
      <c r="M331" s="426">
        <f t="shared" si="51"/>
        <v>21708</v>
      </c>
      <c r="N331" s="427">
        <f t="shared" si="52"/>
        <v>0</v>
      </c>
      <c r="O331" s="428">
        <f t="shared" si="53"/>
        <v>0</v>
      </c>
      <c r="P331" s="429">
        <f t="shared" si="57"/>
        <v>5</v>
      </c>
      <c r="Q331" s="427">
        <f t="shared" si="57"/>
        <v>0</v>
      </c>
      <c r="R331" s="425">
        <f t="shared" si="54"/>
        <v>5</v>
      </c>
      <c r="S331" s="430">
        <f t="shared" si="55"/>
        <v>2773</v>
      </c>
      <c r="T331" s="431">
        <f t="shared" si="56"/>
        <v>5</v>
      </c>
      <c r="U331" s="432"/>
      <c r="V331" s="424"/>
      <c r="W331" s="424"/>
      <c r="X331" s="424"/>
      <c r="Y331" s="424"/>
      <c r="Z331" s="424"/>
      <c r="AA331" s="424"/>
      <c r="AB331" s="424"/>
      <c r="AC331" s="424"/>
      <c r="AD331" s="424"/>
      <c r="AE331" s="424"/>
      <c r="AF331" s="424">
        <v>5</v>
      </c>
      <c r="AG331" s="424"/>
      <c r="AI331" s="392"/>
    </row>
    <row r="332" spans="1:35" ht="15" thickTop="1" x14ac:dyDescent="0.15">
      <c r="A332" s="392" t="str">
        <f t="shared" si="49"/>
        <v>27/03</v>
      </c>
      <c r="B332" s="414">
        <v>46447</v>
      </c>
      <c r="C332" s="415">
        <v>0</v>
      </c>
      <c r="D332" s="415">
        <v>0</v>
      </c>
      <c r="E332" s="415">
        <f t="shared" si="59"/>
        <v>35</v>
      </c>
      <c r="F332" s="415">
        <f t="shared" si="58"/>
        <v>0</v>
      </c>
      <c r="G332" s="415">
        <f t="shared" si="58"/>
        <v>0</v>
      </c>
      <c r="H332" s="415">
        <f t="shared" si="58"/>
        <v>0</v>
      </c>
      <c r="I332" s="415">
        <f t="shared" si="58"/>
        <v>0</v>
      </c>
      <c r="J332" s="415">
        <f t="shared" si="58"/>
        <v>0</v>
      </c>
      <c r="K332" s="415">
        <f t="shared" si="58"/>
        <v>0</v>
      </c>
      <c r="L332" s="416">
        <f t="shared" si="50"/>
        <v>35</v>
      </c>
      <c r="M332" s="417">
        <f t="shared" si="51"/>
        <v>21743</v>
      </c>
      <c r="N332" s="288">
        <f t="shared" si="52"/>
        <v>0</v>
      </c>
      <c r="O332" s="290">
        <f t="shared" si="53"/>
        <v>35</v>
      </c>
      <c r="P332" s="287">
        <f t="shared" si="57"/>
        <v>0</v>
      </c>
      <c r="Q332" s="288">
        <f t="shared" si="57"/>
        <v>0</v>
      </c>
      <c r="R332" s="416">
        <f t="shared" si="54"/>
        <v>0</v>
      </c>
      <c r="S332" s="418">
        <f t="shared" si="55"/>
        <v>2773</v>
      </c>
      <c r="T332" s="419">
        <f t="shared" si="56"/>
        <v>35</v>
      </c>
      <c r="U332" s="420"/>
      <c r="V332" s="415">
        <v>8</v>
      </c>
      <c r="W332" s="415"/>
      <c r="X332" s="415">
        <v>25</v>
      </c>
      <c r="Y332" s="415"/>
      <c r="Z332" s="415"/>
      <c r="AA332" s="415"/>
      <c r="AB332" s="415"/>
      <c r="AC332" s="415"/>
      <c r="AD332" s="415">
        <v>2</v>
      </c>
      <c r="AE332" s="415"/>
      <c r="AF332" s="415"/>
      <c r="AG332" s="415"/>
      <c r="AI332" s="392"/>
    </row>
    <row r="333" spans="1:35" ht="15" thickBot="1" x14ac:dyDescent="0.2">
      <c r="A333" s="392" t="str">
        <f t="shared" si="49"/>
        <v>27/03</v>
      </c>
      <c r="B333" s="423">
        <v>46448</v>
      </c>
      <c r="C333" s="424">
        <v>0</v>
      </c>
      <c r="D333" s="424">
        <v>0</v>
      </c>
      <c r="E333" s="424">
        <f t="shared" si="59"/>
        <v>0</v>
      </c>
      <c r="F333" s="424">
        <f t="shared" si="58"/>
        <v>0</v>
      </c>
      <c r="G333" s="424">
        <f t="shared" si="58"/>
        <v>0</v>
      </c>
      <c r="H333" s="424">
        <f t="shared" si="58"/>
        <v>0</v>
      </c>
      <c r="I333" s="424">
        <f t="shared" si="58"/>
        <v>0</v>
      </c>
      <c r="J333" s="424">
        <f t="shared" si="58"/>
        <v>0</v>
      </c>
      <c r="K333" s="424">
        <f t="shared" si="58"/>
        <v>0</v>
      </c>
      <c r="L333" s="425">
        <f t="shared" si="50"/>
        <v>0</v>
      </c>
      <c r="M333" s="426">
        <f t="shared" si="51"/>
        <v>21743</v>
      </c>
      <c r="N333" s="427">
        <f t="shared" si="52"/>
        <v>0</v>
      </c>
      <c r="O333" s="428">
        <f t="shared" si="53"/>
        <v>0</v>
      </c>
      <c r="P333" s="429">
        <f t="shared" si="57"/>
        <v>5</v>
      </c>
      <c r="Q333" s="427">
        <f t="shared" si="57"/>
        <v>0</v>
      </c>
      <c r="R333" s="425">
        <f t="shared" si="54"/>
        <v>5</v>
      </c>
      <c r="S333" s="430">
        <f t="shared" si="55"/>
        <v>2778</v>
      </c>
      <c r="T333" s="431">
        <f t="shared" si="56"/>
        <v>5</v>
      </c>
      <c r="U333" s="432"/>
      <c r="V333" s="424"/>
      <c r="W333" s="424"/>
      <c r="X333" s="424"/>
      <c r="Y333" s="424"/>
      <c r="Z333" s="424"/>
      <c r="AA333" s="424"/>
      <c r="AB333" s="424"/>
      <c r="AC333" s="424"/>
      <c r="AD333" s="424"/>
      <c r="AE333" s="424"/>
      <c r="AF333" s="424">
        <v>5</v>
      </c>
      <c r="AG333" s="424"/>
      <c r="AI333" s="392"/>
    </row>
    <row r="334" spans="1:35" ht="15" thickTop="1" x14ac:dyDescent="0.15">
      <c r="A334" s="392" t="str">
        <f t="shared" si="49"/>
        <v>27/04</v>
      </c>
      <c r="B334" s="414">
        <v>46478</v>
      </c>
      <c r="C334" s="415">
        <v>0</v>
      </c>
      <c r="D334" s="415">
        <v>0</v>
      </c>
      <c r="E334" s="415">
        <f t="shared" si="59"/>
        <v>10</v>
      </c>
      <c r="F334" s="415">
        <f t="shared" si="58"/>
        <v>0</v>
      </c>
      <c r="G334" s="415">
        <f t="shared" si="58"/>
        <v>0</v>
      </c>
      <c r="H334" s="415">
        <f t="shared" si="58"/>
        <v>0</v>
      </c>
      <c r="I334" s="415">
        <f t="shared" si="58"/>
        <v>0</v>
      </c>
      <c r="J334" s="415">
        <f t="shared" si="58"/>
        <v>0</v>
      </c>
      <c r="K334" s="415">
        <f t="shared" si="58"/>
        <v>0</v>
      </c>
      <c r="L334" s="416">
        <f t="shared" si="50"/>
        <v>10</v>
      </c>
      <c r="M334" s="417">
        <f t="shared" si="51"/>
        <v>21753</v>
      </c>
      <c r="N334" s="288">
        <f t="shared" si="52"/>
        <v>0</v>
      </c>
      <c r="O334" s="290">
        <f t="shared" si="53"/>
        <v>10</v>
      </c>
      <c r="P334" s="287">
        <f t="shared" si="57"/>
        <v>0</v>
      </c>
      <c r="Q334" s="288">
        <f t="shared" si="57"/>
        <v>0</v>
      </c>
      <c r="R334" s="416">
        <f t="shared" si="54"/>
        <v>0</v>
      </c>
      <c r="S334" s="418">
        <f t="shared" si="55"/>
        <v>2778</v>
      </c>
      <c r="T334" s="419">
        <f t="shared" si="56"/>
        <v>10</v>
      </c>
      <c r="U334" s="420"/>
      <c r="V334" s="415">
        <v>8</v>
      </c>
      <c r="W334" s="415"/>
      <c r="X334" s="415"/>
      <c r="Y334" s="415"/>
      <c r="Z334" s="415"/>
      <c r="AA334" s="415"/>
      <c r="AB334" s="415"/>
      <c r="AC334" s="415"/>
      <c r="AD334" s="415">
        <v>2</v>
      </c>
      <c r="AE334" s="415"/>
      <c r="AF334" s="415"/>
      <c r="AG334" s="415"/>
      <c r="AI334" s="392"/>
    </row>
    <row r="335" spans="1:35" ht="15" thickBot="1" x14ac:dyDescent="0.2">
      <c r="A335" s="392" t="str">
        <f t="shared" si="49"/>
        <v>27/04</v>
      </c>
      <c r="B335" s="423">
        <v>46483</v>
      </c>
      <c r="C335" s="424">
        <v>0</v>
      </c>
      <c r="D335" s="424">
        <v>0</v>
      </c>
      <c r="E335" s="424">
        <f t="shared" si="59"/>
        <v>25</v>
      </c>
      <c r="F335" s="424">
        <f t="shared" si="58"/>
        <v>0</v>
      </c>
      <c r="G335" s="424">
        <f t="shared" si="58"/>
        <v>0</v>
      </c>
      <c r="H335" s="424">
        <f t="shared" si="58"/>
        <v>0</v>
      </c>
      <c r="I335" s="424">
        <f t="shared" si="58"/>
        <v>0</v>
      </c>
      <c r="J335" s="424">
        <f t="shared" si="58"/>
        <v>0</v>
      </c>
      <c r="K335" s="424">
        <f t="shared" si="58"/>
        <v>0</v>
      </c>
      <c r="L335" s="425">
        <f t="shared" si="50"/>
        <v>25</v>
      </c>
      <c r="M335" s="426">
        <f t="shared" si="51"/>
        <v>21778</v>
      </c>
      <c r="N335" s="427">
        <f t="shared" si="52"/>
        <v>0</v>
      </c>
      <c r="O335" s="428">
        <f t="shared" si="53"/>
        <v>25</v>
      </c>
      <c r="P335" s="429">
        <f t="shared" si="57"/>
        <v>0</v>
      </c>
      <c r="Q335" s="427">
        <f t="shared" si="57"/>
        <v>0</v>
      </c>
      <c r="R335" s="425">
        <f t="shared" si="54"/>
        <v>0</v>
      </c>
      <c r="S335" s="430">
        <f t="shared" si="55"/>
        <v>2778</v>
      </c>
      <c r="T335" s="431">
        <f t="shared" si="56"/>
        <v>25</v>
      </c>
      <c r="U335" s="432"/>
      <c r="V335" s="424"/>
      <c r="W335" s="424"/>
      <c r="X335" s="424">
        <v>25</v>
      </c>
      <c r="Y335" s="424"/>
      <c r="Z335" s="424"/>
      <c r="AA335" s="424"/>
      <c r="AB335" s="424"/>
      <c r="AC335" s="424"/>
      <c r="AD335" s="424"/>
      <c r="AE335" s="424"/>
      <c r="AF335" s="424"/>
      <c r="AG335" s="424"/>
      <c r="AI335" s="392"/>
    </row>
    <row r="336" spans="1:35" ht="15" thickTop="1" x14ac:dyDescent="0.15">
      <c r="A336" s="392"/>
      <c r="B336" s="414" t="s">
        <v>836</v>
      </c>
      <c r="C336" s="415">
        <f>SUM(C212:C335)</f>
        <v>0</v>
      </c>
      <c r="D336" s="415">
        <f t="shared" ref="D336:T336" si="60">SUM(D212:D335)</f>
        <v>0</v>
      </c>
      <c r="E336" s="415">
        <f t="shared" si="60"/>
        <v>273</v>
      </c>
      <c r="F336" s="415">
        <f t="shared" si="60"/>
        <v>0</v>
      </c>
      <c r="G336" s="415">
        <f t="shared" si="60"/>
        <v>0</v>
      </c>
      <c r="H336" s="415">
        <f t="shared" si="60"/>
        <v>72</v>
      </c>
      <c r="I336" s="415">
        <f t="shared" si="60"/>
        <v>41</v>
      </c>
      <c r="J336" s="415">
        <f t="shared" si="60"/>
        <v>0</v>
      </c>
      <c r="K336" s="415">
        <f t="shared" si="60"/>
        <v>17</v>
      </c>
      <c r="L336" s="416">
        <f t="shared" si="60"/>
        <v>403</v>
      </c>
      <c r="M336" s="421"/>
      <c r="N336" s="288">
        <f t="shared" si="60"/>
        <v>130</v>
      </c>
      <c r="O336" s="290">
        <f t="shared" si="60"/>
        <v>273</v>
      </c>
      <c r="P336" s="287">
        <f t="shared" si="60"/>
        <v>1160</v>
      </c>
      <c r="Q336" s="288">
        <f t="shared" si="60"/>
        <v>91</v>
      </c>
      <c r="R336" s="416">
        <f t="shared" si="60"/>
        <v>1251</v>
      </c>
      <c r="S336" s="422"/>
      <c r="T336" s="419">
        <f t="shared" si="60"/>
        <v>1654</v>
      </c>
      <c r="U336" s="420">
        <v>51</v>
      </c>
      <c r="V336" s="415">
        <v>86</v>
      </c>
      <c r="W336" s="415">
        <v>6</v>
      </c>
      <c r="X336" s="415">
        <v>132</v>
      </c>
      <c r="Y336" s="415">
        <v>18</v>
      </c>
      <c r="Z336" s="415">
        <v>14</v>
      </c>
      <c r="AA336" s="415">
        <v>7</v>
      </c>
      <c r="AB336" s="415">
        <v>1</v>
      </c>
      <c r="AC336" s="415">
        <v>34</v>
      </c>
      <c r="AD336" s="415">
        <v>37</v>
      </c>
      <c r="AE336" s="415">
        <v>17</v>
      </c>
      <c r="AF336" s="415">
        <v>1160</v>
      </c>
      <c r="AG336" s="415">
        <v>91</v>
      </c>
    </row>
  </sheetData>
  <phoneticPr fontId="7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19"/>
  <sheetViews>
    <sheetView tabSelected="1" topLeftCell="Z1" workbookViewId="0">
      <selection activeCell="AC29" sqref="AC29"/>
    </sheetView>
  </sheetViews>
  <sheetFormatPr defaultRowHeight="13.5" x14ac:dyDescent="0.15"/>
  <cols>
    <col min="1" max="1" width="10.25" bestFit="1" customWidth="1"/>
    <col min="2" max="2" width="15.625" bestFit="1" customWidth="1"/>
    <col min="3" max="5" width="15.5" bestFit="1" customWidth="1"/>
    <col min="6" max="7" width="15.875" bestFit="1" customWidth="1"/>
    <col min="8" max="10" width="15.5" bestFit="1" customWidth="1"/>
    <col min="11" max="12" width="15.625" bestFit="1" customWidth="1"/>
    <col min="13" max="13" width="15.5" bestFit="1" customWidth="1"/>
    <col min="14" max="15" width="15.875" bestFit="1" customWidth="1"/>
    <col min="16" max="16" width="16" bestFit="1" customWidth="1"/>
    <col min="17" max="18" width="15.875" bestFit="1" customWidth="1"/>
    <col min="19" max="20" width="16" bestFit="1" customWidth="1"/>
    <col min="21" max="22" width="15.875" bestFit="1" customWidth="1"/>
    <col min="23" max="24" width="16" bestFit="1" customWidth="1"/>
    <col min="25" max="25" width="15.875" bestFit="1" customWidth="1"/>
    <col min="26" max="27" width="17.75" bestFit="1" customWidth="1"/>
    <col min="28" max="28" width="18.125" bestFit="1" customWidth="1"/>
    <col min="29" max="29" width="18" bestFit="1" customWidth="1"/>
    <col min="30" max="30" width="17.625" bestFit="1" customWidth="1"/>
    <col min="31" max="34" width="17.875" bestFit="1" customWidth="1"/>
  </cols>
  <sheetData>
    <row r="3" spans="1:34" x14ac:dyDescent="0.15">
      <c r="A3" s="50" t="s">
        <v>835</v>
      </c>
      <c r="B3" s="49" t="s">
        <v>1388</v>
      </c>
      <c r="C3" s="51" t="s">
        <v>1389</v>
      </c>
      <c r="D3" s="51" t="s">
        <v>1390</v>
      </c>
      <c r="E3" s="51" t="s">
        <v>1391</v>
      </c>
      <c r="F3" s="51" t="s">
        <v>1392</v>
      </c>
      <c r="G3" s="51" t="s">
        <v>1393</v>
      </c>
      <c r="H3" s="51" t="s">
        <v>1394</v>
      </c>
      <c r="I3" s="51" t="s">
        <v>1395</v>
      </c>
      <c r="J3" s="51" t="s">
        <v>1396</v>
      </c>
      <c r="K3" s="51" t="s">
        <v>1397</v>
      </c>
      <c r="L3" s="51" t="s">
        <v>1398</v>
      </c>
      <c r="M3" s="51" t="s">
        <v>1399</v>
      </c>
      <c r="N3" s="51" t="s">
        <v>1400</v>
      </c>
      <c r="O3" s="51" t="s">
        <v>1401</v>
      </c>
      <c r="P3" s="51" t="s">
        <v>1402</v>
      </c>
      <c r="Q3" s="51" t="s">
        <v>1403</v>
      </c>
      <c r="R3" s="51" t="s">
        <v>1404</v>
      </c>
      <c r="S3" s="51" t="s">
        <v>1405</v>
      </c>
      <c r="T3" s="51" t="s">
        <v>1406</v>
      </c>
      <c r="U3" s="51" t="s">
        <v>1407</v>
      </c>
      <c r="V3" s="51" t="s">
        <v>1408</v>
      </c>
      <c r="W3" s="51" t="s">
        <v>1409</v>
      </c>
      <c r="X3" s="51" t="s">
        <v>1410</v>
      </c>
      <c r="Y3" s="51" t="s">
        <v>1411</v>
      </c>
      <c r="Z3" s="51" t="s">
        <v>1412</v>
      </c>
      <c r="AA3" s="51" t="s">
        <v>1413</v>
      </c>
      <c r="AB3" s="51" t="s">
        <v>1414</v>
      </c>
      <c r="AC3" s="51" t="s">
        <v>1415</v>
      </c>
      <c r="AD3" s="51" t="s">
        <v>1416</v>
      </c>
      <c r="AE3" s="51" t="s">
        <v>1417</v>
      </c>
      <c r="AF3" s="51" t="s">
        <v>1418</v>
      </c>
      <c r="AG3" s="51" t="s">
        <v>1420</v>
      </c>
      <c r="AH3" s="535" t="s">
        <v>1419</v>
      </c>
    </row>
    <row r="4" spans="1:34" x14ac:dyDescent="0.15">
      <c r="A4" s="591" t="s">
        <v>971</v>
      </c>
      <c r="B4" s="52">
        <v>0</v>
      </c>
      <c r="C4" s="53">
        <v>0</v>
      </c>
      <c r="D4" s="53">
        <v>0</v>
      </c>
      <c r="E4" s="53">
        <v>0</v>
      </c>
      <c r="F4" s="53">
        <v>0</v>
      </c>
      <c r="G4" s="53">
        <v>0</v>
      </c>
      <c r="H4" s="53">
        <v>0</v>
      </c>
      <c r="I4" s="53">
        <v>0</v>
      </c>
      <c r="J4" s="53">
        <v>0</v>
      </c>
      <c r="K4" s="53">
        <v>0</v>
      </c>
      <c r="L4" s="53">
        <v>0</v>
      </c>
      <c r="M4" s="53">
        <v>0</v>
      </c>
      <c r="N4" s="53">
        <v>0</v>
      </c>
      <c r="O4" s="53">
        <v>0</v>
      </c>
      <c r="P4" s="53">
        <v>0</v>
      </c>
      <c r="Q4" s="53">
        <v>2</v>
      </c>
      <c r="R4" s="53">
        <v>0</v>
      </c>
      <c r="S4" s="53">
        <v>0</v>
      </c>
      <c r="T4" s="53">
        <v>0</v>
      </c>
      <c r="U4" s="53">
        <v>0</v>
      </c>
      <c r="V4" s="53">
        <v>0</v>
      </c>
      <c r="W4" s="53">
        <v>0</v>
      </c>
      <c r="X4" s="53">
        <v>0</v>
      </c>
      <c r="Y4" s="53">
        <v>0</v>
      </c>
      <c r="Z4" s="53">
        <v>0</v>
      </c>
      <c r="AA4" s="53">
        <v>0</v>
      </c>
      <c r="AB4" s="53">
        <v>0</v>
      </c>
      <c r="AC4" s="53">
        <v>0</v>
      </c>
      <c r="AD4" s="53">
        <v>0</v>
      </c>
      <c r="AE4" s="53">
        <v>0</v>
      </c>
      <c r="AF4" s="53">
        <v>0</v>
      </c>
      <c r="AG4" s="53">
        <v>0</v>
      </c>
      <c r="AH4" s="536">
        <v>0</v>
      </c>
    </row>
    <row r="5" spans="1:34" x14ac:dyDescent="0.15">
      <c r="A5" s="533" t="s">
        <v>1377</v>
      </c>
      <c r="B5" s="54">
        <v>18</v>
      </c>
      <c r="C5" s="55">
        <v>16</v>
      </c>
      <c r="D5" s="55">
        <v>0</v>
      </c>
      <c r="E5" s="55">
        <v>0</v>
      </c>
      <c r="F5" s="55">
        <v>18</v>
      </c>
      <c r="G5" s="55">
        <v>0</v>
      </c>
      <c r="H5" s="55">
        <v>7</v>
      </c>
      <c r="I5" s="55">
        <v>5</v>
      </c>
      <c r="J5" s="55">
        <v>4</v>
      </c>
      <c r="K5" s="55">
        <v>0</v>
      </c>
      <c r="L5" s="55">
        <v>9</v>
      </c>
      <c r="M5" s="55">
        <v>7</v>
      </c>
      <c r="N5" s="55">
        <v>12</v>
      </c>
      <c r="O5" s="55">
        <v>0</v>
      </c>
      <c r="P5" s="55">
        <v>6</v>
      </c>
      <c r="Q5" s="55">
        <v>12</v>
      </c>
      <c r="R5" s="55">
        <v>0</v>
      </c>
      <c r="S5" s="55">
        <v>0</v>
      </c>
      <c r="T5" s="55">
        <v>6</v>
      </c>
      <c r="U5" s="55">
        <v>12</v>
      </c>
      <c r="V5" s="55">
        <v>0</v>
      </c>
      <c r="W5" s="55">
        <v>0</v>
      </c>
      <c r="X5" s="55">
        <v>6</v>
      </c>
      <c r="Y5" s="55">
        <v>16</v>
      </c>
      <c r="Z5" s="55">
        <v>14</v>
      </c>
      <c r="AA5" s="55">
        <v>14</v>
      </c>
      <c r="AB5" s="55">
        <v>14</v>
      </c>
      <c r="AC5" s="55">
        <v>14</v>
      </c>
      <c r="AD5" s="55">
        <v>14</v>
      </c>
      <c r="AE5" s="55">
        <v>14</v>
      </c>
      <c r="AF5" s="55">
        <v>14</v>
      </c>
      <c r="AG5" s="55">
        <v>14</v>
      </c>
      <c r="AH5" s="537">
        <v>14</v>
      </c>
    </row>
    <row r="6" spans="1:34" x14ac:dyDescent="0.15">
      <c r="A6" s="533" t="s">
        <v>1378</v>
      </c>
      <c r="B6" s="54">
        <v>12</v>
      </c>
      <c r="C6" s="55">
        <v>12</v>
      </c>
      <c r="D6" s="55">
        <v>0</v>
      </c>
      <c r="E6" s="55">
        <v>0</v>
      </c>
      <c r="F6" s="55">
        <v>12</v>
      </c>
      <c r="G6" s="55">
        <v>0</v>
      </c>
      <c r="H6" s="55">
        <v>0</v>
      </c>
      <c r="I6" s="55">
        <v>7</v>
      </c>
      <c r="J6" s="55">
        <v>5</v>
      </c>
      <c r="K6" s="55">
        <v>0</v>
      </c>
      <c r="L6" s="55">
        <v>12</v>
      </c>
      <c r="M6" s="55">
        <v>0</v>
      </c>
      <c r="N6" s="55">
        <v>7</v>
      </c>
      <c r="O6" s="55">
        <v>0</v>
      </c>
      <c r="P6" s="55">
        <v>6</v>
      </c>
      <c r="Q6" s="55">
        <v>7</v>
      </c>
      <c r="R6" s="55">
        <v>0</v>
      </c>
      <c r="S6" s="55">
        <v>0</v>
      </c>
      <c r="T6" s="55">
        <v>6</v>
      </c>
      <c r="U6" s="55">
        <v>7</v>
      </c>
      <c r="V6" s="55">
        <v>0</v>
      </c>
      <c r="W6" s="55">
        <v>0</v>
      </c>
      <c r="X6" s="55">
        <v>6</v>
      </c>
      <c r="Y6" s="55">
        <v>12</v>
      </c>
      <c r="Z6" s="55">
        <v>68</v>
      </c>
      <c r="AA6" s="55">
        <v>68</v>
      </c>
      <c r="AB6" s="55">
        <v>68</v>
      </c>
      <c r="AC6" s="55">
        <v>68</v>
      </c>
      <c r="AD6" s="55">
        <v>68</v>
      </c>
      <c r="AE6" s="55">
        <v>68</v>
      </c>
      <c r="AF6" s="55">
        <v>93</v>
      </c>
      <c r="AG6" s="55">
        <v>68</v>
      </c>
      <c r="AH6" s="537">
        <v>68</v>
      </c>
    </row>
    <row r="7" spans="1:34" x14ac:dyDescent="0.15">
      <c r="A7" s="533" t="s">
        <v>1379</v>
      </c>
      <c r="B7" s="54">
        <v>33</v>
      </c>
      <c r="C7" s="55">
        <v>33</v>
      </c>
      <c r="D7" s="55">
        <v>0</v>
      </c>
      <c r="E7" s="55">
        <v>0</v>
      </c>
      <c r="F7" s="55">
        <v>33</v>
      </c>
      <c r="G7" s="55">
        <v>0</v>
      </c>
      <c r="H7" s="55">
        <v>30</v>
      </c>
      <c r="I7" s="55">
        <v>3</v>
      </c>
      <c r="J7" s="55">
        <v>0</v>
      </c>
      <c r="K7" s="55">
        <v>9</v>
      </c>
      <c r="L7" s="55">
        <v>3</v>
      </c>
      <c r="M7" s="55">
        <v>21</v>
      </c>
      <c r="N7" s="55">
        <v>28</v>
      </c>
      <c r="O7" s="55">
        <v>0</v>
      </c>
      <c r="P7" s="55">
        <v>5</v>
      </c>
      <c r="Q7" s="55">
        <v>28</v>
      </c>
      <c r="R7" s="55">
        <v>0</v>
      </c>
      <c r="S7" s="55">
        <v>0</v>
      </c>
      <c r="T7" s="55">
        <v>5</v>
      </c>
      <c r="U7" s="55">
        <v>28</v>
      </c>
      <c r="V7" s="55">
        <v>0</v>
      </c>
      <c r="W7" s="55">
        <v>0</v>
      </c>
      <c r="X7" s="55">
        <v>5</v>
      </c>
      <c r="Y7" s="55">
        <v>33</v>
      </c>
      <c r="Z7" s="55">
        <v>94</v>
      </c>
      <c r="AA7" s="55">
        <v>94</v>
      </c>
      <c r="AB7" s="55">
        <v>94</v>
      </c>
      <c r="AC7" s="55">
        <v>94</v>
      </c>
      <c r="AD7" s="55">
        <v>94</v>
      </c>
      <c r="AE7" s="55">
        <v>94</v>
      </c>
      <c r="AF7" s="55">
        <v>104</v>
      </c>
      <c r="AG7" s="55">
        <v>94</v>
      </c>
      <c r="AH7" s="537">
        <v>94</v>
      </c>
    </row>
    <row r="8" spans="1:34" x14ac:dyDescent="0.15">
      <c r="A8" s="533" t="s">
        <v>1380</v>
      </c>
      <c r="B8" s="54">
        <v>19</v>
      </c>
      <c r="C8" s="55">
        <v>19</v>
      </c>
      <c r="D8" s="55">
        <v>0</v>
      </c>
      <c r="E8" s="55">
        <v>0</v>
      </c>
      <c r="F8" s="55">
        <v>19</v>
      </c>
      <c r="G8" s="55">
        <v>0</v>
      </c>
      <c r="H8" s="55">
        <v>16</v>
      </c>
      <c r="I8" s="55">
        <v>3</v>
      </c>
      <c r="J8" s="55">
        <v>0</v>
      </c>
      <c r="K8" s="55">
        <v>8</v>
      </c>
      <c r="L8" s="55">
        <v>3</v>
      </c>
      <c r="M8" s="55">
        <v>8</v>
      </c>
      <c r="N8" s="55">
        <v>19</v>
      </c>
      <c r="O8" s="55">
        <v>0</v>
      </c>
      <c r="P8" s="55">
        <v>0</v>
      </c>
      <c r="Q8" s="55">
        <v>19</v>
      </c>
      <c r="R8" s="55">
        <v>0</v>
      </c>
      <c r="S8" s="55">
        <v>0</v>
      </c>
      <c r="T8" s="55">
        <v>0</v>
      </c>
      <c r="U8" s="55">
        <v>19</v>
      </c>
      <c r="V8" s="55">
        <v>0</v>
      </c>
      <c r="W8" s="55">
        <v>0</v>
      </c>
      <c r="X8" s="55">
        <v>0</v>
      </c>
      <c r="Y8" s="55">
        <v>19</v>
      </c>
      <c r="Z8" s="55">
        <v>120</v>
      </c>
      <c r="AA8" s="55">
        <v>120</v>
      </c>
      <c r="AB8" s="55">
        <v>120</v>
      </c>
      <c r="AC8" s="55">
        <v>120</v>
      </c>
      <c r="AD8" s="55">
        <v>120</v>
      </c>
      <c r="AE8" s="55">
        <v>120</v>
      </c>
      <c r="AF8" s="55">
        <v>130</v>
      </c>
      <c r="AG8" s="55">
        <v>120</v>
      </c>
      <c r="AH8" s="537">
        <v>120</v>
      </c>
    </row>
    <row r="9" spans="1:34" x14ac:dyDescent="0.15">
      <c r="A9" s="533" t="s">
        <v>1381</v>
      </c>
      <c r="B9" s="54">
        <v>9</v>
      </c>
      <c r="C9" s="55">
        <v>9</v>
      </c>
      <c r="D9" s="55">
        <v>0</v>
      </c>
      <c r="E9" s="55">
        <v>0</v>
      </c>
      <c r="F9" s="55">
        <v>9</v>
      </c>
      <c r="G9" s="55">
        <v>0</v>
      </c>
      <c r="H9" s="55">
        <v>2</v>
      </c>
      <c r="I9" s="55">
        <v>7</v>
      </c>
      <c r="J9" s="55">
        <v>0</v>
      </c>
      <c r="K9" s="55">
        <v>0</v>
      </c>
      <c r="L9" s="55">
        <v>7</v>
      </c>
      <c r="M9" s="55">
        <v>2</v>
      </c>
      <c r="N9" s="55">
        <v>9</v>
      </c>
      <c r="O9" s="55">
        <v>0</v>
      </c>
      <c r="P9" s="55">
        <v>0</v>
      </c>
      <c r="Q9" s="55">
        <v>9</v>
      </c>
      <c r="R9" s="55">
        <v>0</v>
      </c>
      <c r="S9" s="55">
        <v>0</v>
      </c>
      <c r="T9" s="55">
        <v>0</v>
      </c>
      <c r="U9" s="55">
        <v>9</v>
      </c>
      <c r="V9" s="55">
        <v>0</v>
      </c>
      <c r="W9" s="55">
        <v>0</v>
      </c>
      <c r="X9" s="55">
        <v>0</v>
      </c>
      <c r="Y9" s="55">
        <v>9</v>
      </c>
      <c r="Z9" s="55">
        <v>119</v>
      </c>
      <c r="AA9" s="55">
        <v>119</v>
      </c>
      <c r="AB9" s="55">
        <v>119</v>
      </c>
      <c r="AC9" s="55">
        <v>119</v>
      </c>
      <c r="AD9" s="55">
        <v>119</v>
      </c>
      <c r="AE9" s="55">
        <v>119</v>
      </c>
      <c r="AF9" s="55">
        <v>129</v>
      </c>
      <c r="AG9" s="55">
        <v>119</v>
      </c>
      <c r="AH9" s="537">
        <v>119</v>
      </c>
    </row>
    <row r="10" spans="1:34" x14ac:dyDescent="0.15">
      <c r="A10" s="533" t="s">
        <v>1382</v>
      </c>
      <c r="B10" s="54">
        <v>21</v>
      </c>
      <c r="C10" s="55">
        <v>21</v>
      </c>
      <c r="D10" s="55">
        <v>0</v>
      </c>
      <c r="E10" s="55">
        <v>0</v>
      </c>
      <c r="F10" s="55">
        <v>21</v>
      </c>
      <c r="G10" s="55">
        <v>0</v>
      </c>
      <c r="H10" s="55">
        <v>3</v>
      </c>
      <c r="I10" s="55">
        <v>10</v>
      </c>
      <c r="J10" s="55">
        <v>8</v>
      </c>
      <c r="K10" s="55">
        <v>0</v>
      </c>
      <c r="L10" s="55">
        <v>21</v>
      </c>
      <c r="M10" s="55">
        <v>0</v>
      </c>
      <c r="N10" s="55">
        <v>13</v>
      </c>
      <c r="O10" s="55">
        <v>0</v>
      </c>
      <c r="P10" s="55">
        <v>8</v>
      </c>
      <c r="Q10" s="55">
        <v>13</v>
      </c>
      <c r="R10" s="55">
        <v>0</v>
      </c>
      <c r="S10" s="55">
        <v>0</v>
      </c>
      <c r="T10" s="55">
        <v>8</v>
      </c>
      <c r="U10" s="55">
        <v>13</v>
      </c>
      <c r="V10" s="55">
        <v>0</v>
      </c>
      <c r="W10" s="55">
        <v>0</v>
      </c>
      <c r="X10" s="55">
        <v>8</v>
      </c>
      <c r="Y10" s="55">
        <v>21</v>
      </c>
      <c r="Z10" s="55">
        <v>140</v>
      </c>
      <c r="AA10" s="55">
        <v>140</v>
      </c>
      <c r="AB10" s="55">
        <v>140</v>
      </c>
      <c r="AC10" s="55">
        <v>140</v>
      </c>
      <c r="AD10" s="55">
        <v>140</v>
      </c>
      <c r="AE10" s="55">
        <v>140</v>
      </c>
      <c r="AF10" s="55">
        <v>140</v>
      </c>
      <c r="AG10" s="55">
        <v>140</v>
      </c>
      <c r="AH10" s="537">
        <v>140</v>
      </c>
    </row>
    <row r="11" spans="1:34" x14ac:dyDescent="0.15">
      <c r="A11" s="533" t="s">
        <v>1383</v>
      </c>
      <c r="B11" s="54">
        <v>26</v>
      </c>
      <c r="C11" s="55">
        <v>26</v>
      </c>
      <c r="D11" s="55">
        <v>0</v>
      </c>
      <c r="E11" s="55">
        <v>0</v>
      </c>
      <c r="F11" s="55">
        <v>26</v>
      </c>
      <c r="G11" s="55">
        <v>0</v>
      </c>
      <c r="H11" s="55">
        <v>22</v>
      </c>
      <c r="I11" s="55">
        <v>4</v>
      </c>
      <c r="J11" s="55">
        <v>0</v>
      </c>
      <c r="K11" s="55">
        <v>0</v>
      </c>
      <c r="L11" s="55">
        <v>4</v>
      </c>
      <c r="M11" s="55">
        <v>22</v>
      </c>
      <c r="N11" s="55">
        <v>20</v>
      </c>
      <c r="O11" s="55">
        <v>0</v>
      </c>
      <c r="P11" s="55">
        <v>6</v>
      </c>
      <c r="Q11" s="55">
        <v>20</v>
      </c>
      <c r="R11" s="55">
        <v>0</v>
      </c>
      <c r="S11" s="55">
        <v>17</v>
      </c>
      <c r="T11" s="55">
        <v>6</v>
      </c>
      <c r="U11" s="55">
        <v>20</v>
      </c>
      <c r="V11" s="55">
        <v>0</v>
      </c>
      <c r="W11" s="55">
        <v>17</v>
      </c>
      <c r="X11" s="55">
        <v>6</v>
      </c>
      <c r="Y11" s="55">
        <v>26</v>
      </c>
      <c r="Z11" s="55">
        <v>172</v>
      </c>
      <c r="AA11" s="55">
        <v>172</v>
      </c>
      <c r="AB11" s="55">
        <v>172</v>
      </c>
      <c r="AC11" s="55">
        <v>172</v>
      </c>
      <c r="AD11" s="55">
        <v>172</v>
      </c>
      <c r="AE11" s="55">
        <v>172</v>
      </c>
      <c r="AF11" s="55">
        <v>172</v>
      </c>
      <c r="AG11" s="55">
        <v>172</v>
      </c>
      <c r="AH11" s="537">
        <v>131</v>
      </c>
    </row>
    <row r="12" spans="1:34" x14ac:dyDescent="0.15">
      <c r="A12" s="533" t="s">
        <v>939</v>
      </c>
      <c r="B12" s="54">
        <v>19</v>
      </c>
      <c r="C12" s="55">
        <v>19</v>
      </c>
      <c r="D12" s="55">
        <v>0</v>
      </c>
      <c r="E12" s="55">
        <v>0</v>
      </c>
      <c r="F12" s="55">
        <v>19</v>
      </c>
      <c r="G12" s="55">
        <v>0</v>
      </c>
      <c r="H12" s="55">
        <v>19</v>
      </c>
      <c r="I12" s="55">
        <v>0</v>
      </c>
      <c r="J12" s="55">
        <v>0</v>
      </c>
      <c r="K12" s="55">
        <v>0</v>
      </c>
      <c r="L12" s="55">
        <v>10</v>
      </c>
      <c r="M12" s="55">
        <v>9</v>
      </c>
      <c r="N12" s="55">
        <v>19</v>
      </c>
      <c r="O12" s="55">
        <v>0</v>
      </c>
      <c r="P12" s="55">
        <v>0</v>
      </c>
      <c r="Q12" s="55">
        <v>19</v>
      </c>
      <c r="R12" s="55">
        <v>0</v>
      </c>
      <c r="S12" s="55">
        <v>0</v>
      </c>
      <c r="T12" s="55">
        <v>0</v>
      </c>
      <c r="U12" s="55">
        <v>19</v>
      </c>
      <c r="V12" s="55">
        <v>0</v>
      </c>
      <c r="W12" s="55">
        <v>0</v>
      </c>
      <c r="X12" s="55">
        <v>0</v>
      </c>
      <c r="Y12" s="55">
        <v>19</v>
      </c>
      <c r="Z12" s="55">
        <v>135</v>
      </c>
      <c r="AA12" s="55">
        <v>135</v>
      </c>
      <c r="AB12" s="55">
        <v>135</v>
      </c>
      <c r="AC12" s="55">
        <v>135</v>
      </c>
      <c r="AD12" s="55">
        <v>135</v>
      </c>
      <c r="AE12" s="55">
        <v>135</v>
      </c>
      <c r="AF12" s="55">
        <v>135</v>
      </c>
      <c r="AG12" s="55">
        <v>135</v>
      </c>
      <c r="AH12" s="537">
        <v>135</v>
      </c>
    </row>
    <row r="13" spans="1:34" x14ac:dyDescent="0.15">
      <c r="A13" s="533" t="s">
        <v>941</v>
      </c>
      <c r="B13" s="54">
        <v>31</v>
      </c>
      <c r="C13" s="55">
        <v>31</v>
      </c>
      <c r="D13" s="55">
        <v>0</v>
      </c>
      <c r="E13" s="55">
        <v>0</v>
      </c>
      <c r="F13" s="55">
        <v>31</v>
      </c>
      <c r="G13" s="55">
        <v>0</v>
      </c>
      <c r="H13" s="55">
        <v>31</v>
      </c>
      <c r="I13" s="55">
        <v>0</v>
      </c>
      <c r="J13" s="55">
        <v>0</v>
      </c>
      <c r="K13" s="55">
        <v>1</v>
      </c>
      <c r="L13" s="55">
        <v>10</v>
      </c>
      <c r="M13" s="55">
        <v>20</v>
      </c>
      <c r="N13" s="55">
        <v>25</v>
      </c>
      <c r="O13" s="55">
        <v>0</v>
      </c>
      <c r="P13" s="55">
        <v>6</v>
      </c>
      <c r="Q13" s="55">
        <v>25</v>
      </c>
      <c r="R13" s="55">
        <v>0</v>
      </c>
      <c r="S13" s="55">
        <v>0</v>
      </c>
      <c r="T13" s="55">
        <v>6</v>
      </c>
      <c r="U13" s="55">
        <v>25</v>
      </c>
      <c r="V13" s="55">
        <v>0</v>
      </c>
      <c r="W13" s="55">
        <v>0</v>
      </c>
      <c r="X13" s="55">
        <v>6</v>
      </c>
      <c r="Y13" s="55">
        <v>31</v>
      </c>
      <c r="Z13" s="55">
        <v>123</v>
      </c>
      <c r="AA13" s="55">
        <v>123</v>
      </c>
      <c r="AB13" s="55">
        <v>123</v>
      </c>
      <c r="AC13" s="55">
        <v>123</v>
      </c>
      <c r="AD13" s="55">
        <v>123</v>
      </c>
      <c r="AE13" s="55">
        <v>123</v>
      </c>
      <c r="AF13" s="55">
        <v>123</v>
      </c>
      <c r="AG13" s="55">
        <v>123</v>
      </c>
      <c r="AH13" s="537">
        <v>98</v>
      </c>
    </row>
    <row r="14" spans="1:34" x14ac:dyDescent="0.15">
      <c r="A14" s="533" t="s">
        <v>942</v>
      </c>
      <c r="B14" s="54">
        <v>27</v>
      </c>
      <c r="C14" s="55">
        <v>27</v>
      </c>
      <c r="D14" s="55">
        <v>0</v>
      </c>
      <c r="E14" s="55">
        <v>0</v>
      </c>
      <c r="F14" s="55">
        <v>27</v>
      </c>
      <c r="G14" s="55">
        <v>0</v>
      </c>
      <c r="H14" s="55">
        <v>26</v>
      </c>
      <c r="I14" s="55">
        <v>1</v>
      </c>
      <c r="J14" s="55">
        <v>0</v>
      </c>
      <c r="K14" s="55">
        <v>0</v>
      </c>
      <c r="L14" s="55">
        <v>24</v>
      </c>
      <c r="M14" s="55">
        <v>3</v>
      </c>
      <c r="N14" s="55">
        <v>27</v>
      </c>
      <c r="O14" s="55">
        <v>0</v>
      </c>
      <c r="P14" s="55">
        <v>0</v>
      </c>
      <c r="Q14" s="55">
        <v>27</v>
      </c>
      <c r="R14" s="55">
        <v>0</v>
      </c>
      <c r="S14" s="55">
        <v>0</v>
      </c>
      <c r="T14" s="55">
        <v>0</v>
      </c>
      <c r="U14" s="55">
        <v>27</v>
      </c>
      <c r="V14" s="55">
        <v>0</v>
      </c>
      <c r="W14" s="55">
        <v>0</v>
      </c>
      <c r="X14" s="55">
        <v>0</v>
      </c>
      <c r="Y14" s="55">
        <v>27</v>
      </c>
      <c r="Z14" s="55">
        <v>95</v>
      </c>
      <c r="AA14" s="55">
        <v>95</v>
      </c>
      <c r="AB14" s="55">
        <v>95</v>
      </c>
      <c r="AC14" s="55">
        <v>95</v>
      </c>
      <c r="AD14" s="55">
        <v>95</v>
      </c>
      <c r="AE14" s="55">
        <v>95</v>
      </c>
      <c r="AF14" s="55">
        <v>95</v>
      </c>
      <c r="AG14" s="55">
        <v>95</v>
      </c>
      <c r="AH14" s="537">
        <v>95</v>
      </c>
    </row>
    <row r="15" spans="1:34" x14ac:dyDescent="0.15">
      <c r="A15" s="533" t="s">
        <v>1384</v>
      </c>
      <c r="B15" s="54">
        <v>83</v>
      </c>
      <c r="C15" s="55">
        <v>83</v>
      </c>
      <c r="D15" s="55">
        <v>0</v>
      </c>
      <c r="E15" s="55">
        <v>0</v>
      </c>
      <c r="F15" s="55">
        <v>83</v>
      </c>
      <c r="G15" s="55">
        <v>0</v>
      </c>
      <c r="H15" s="55">
        <v>82</v>
      </c>
      <c r="I15" s="55">
        <v>1</v>
      </c>
      <c r="J15" s="55">
        <v>0</v>
      </c>
      <c r="K15" s="55">
        <v>0</v>
      </c>
      <c r="L15" s="55">
        <v>32</v>
      </c>
      <c r="M15" s="55">
        <v>51</v>
      </c>
      <c r="N15" s="55">
        <v>69</v>
      </c>
      <c r="O15" s="55">
        <v>0</v>
      </c>
      <c r="P15" s="55">
        <v>14</v>
      </c>
      <c r="Q15" s="55">
        <v>69</v>
      </c>
      <c r="R15" s="55">
        <v>0</v>
      </c>
      <c r="S15" s="55">
        <v>0</v>
      </c>
      <c r="T15" s="55">
        <v>14</v>
      </c>
      <c r="U15" s="55">
        <v>69</v>
      </c>
      <c r="V15" s="55">
        <v>0</v>
      </c>
      <c r="W15" s="55">
        <v>0</v>
      </c>
      <c r="X15" s="55">
        <v>14</v>
      </c>
      <c r="Y15" s="55">
        <v>83</v>
      </c>
      <c r="Z15" s="55">
        <v>74</v>
      </c>
      <c r="AA15" s="55">
        <v>74</v>
      </c>
      <c r="AB15" s="55">
        <v>74</v>
      </c>
      <c r="AC15" s="55">
        <v>74</v>
      </c>
      <c r="AD15" s="55">
        <v>74</v>
      </c>
      <c r="AE15" s="55">
        <v>74</v>
      </c>
      <c r="AF15" s="55">
        <v>74</v>
      </c>
      <c r="AG15" s="55">
        <v>74</v>
      </c>
      <c r="AH15" s="537">
        <v>74</v>
      </c>
    </row>
    <row r="16" spans="1:34" x14ac:dyDescent="0.15">
      <c r="A16" s="533" t="s">
        <v>1385</v>
      </c>
      <c r="B16" s="54">
        <v>37</v>
      </c>
      <c r="C16" s="55">
        <v>37</v>
      </c>
      <c r="D16" s="55">
        <v>0</v>
      </c>
      <c r="E16" s="55">
        <v>0</v>
      </c>
      <c r="F16" s="55">
        <v>37</v>
      </c>
      <c r="G16" s="55">
        <v>0</v>
      </c>
      <c r="H16" s="55">
        <v>37</v>
      </c>
      <c r="I16" s="55">
        <v>0</v>
      </c>
      <c r="J16" s="55">
        <v>0</v>
      </c>
      <c r="K16" s="55">
        <v>0</v>
      </c>
      <c r="L16" s="55">
        <v>20</v>
      </c>
      <c r="M16" s="55">
        <v>17</v>
      </c>
      <c r="N16" s="55">
        <v>35</v>
      </c>
      <c r="O16" s="55">
        <v>0</v>
      </c>
      <c r="P16" s="55">
        <v>2</v>
      </c>
      <c r="Q16" s="55">
        <v>35</v>
      </c>
      <c r="R16" s="55">
        <v>0</v>
      </c>
      <c r="S16" s="55">
        <v>0</v>
      </c>
      <c r="T16" s="55">
        <v>2</v>
      </c>
      <c r="U16" s="55">
        <v>35</v>
      </c>
      <c r="V16" s="55">
        <v>0</v>
      </c>
      <c r="W16" s="55">
        <v>0</v>
      </c>
      <c r="X16" s="55">
        <v>2</v>
      </c>
      <c r="Y16" s="55">
        <v>37</v>
      </c>
      <c r="Z16" s="55">
        <v>92</v>
      </c>
      <c r="AA16" s="55">
        <v>92</v>
      </c>
      <c r="AB16" s="55">
        <v>92</v>
      </c>
      <c r="AC16" s="55">
        <v>92</v>
      </c>
      <c r="AD16" s="55">
        <v>92</v>
      </c>
      <c r="AE16" s="55">
        <v>92</v>
      </c>
      <c r="AF16" s="55">
        <v>92</v>
      </c>
      <c r="AG16" s="55">
        <v>92</v>
      </c>
      <c r="AH16" s="537">
        <v>67</v>
      </c>
    </row>
    <row r="17" spans="1:34" x14ac:dyDescent="0.15">
      <c r="A17" s="533" t="s">
        <v>1386</v>
      </c>
      <c r="B17" s="54">
        <v>35</v>
      </c>
      <c r="C17" s="55">
        <v>35</v>
      </c>
      <c r="D17" s="55">
        <v>0</v>
      </c>
      <c r="E17" s="55">
        <v>0</v>
      </c>
      <c r="F17" s="55">
        <v>35</v>
      </c>
      <c r="G17" s="55">
        <v>0</v>
      </c>
      <c r="H17" s="55">
        <v>35</v>
      </c>
      <c r="I17" s="55">
        <v>0</v>
      </c>
      <c r="J17" s="55">
        <v>0</v>
      </c>
      <c r="K17" s="55">
        <v>0</v>
      </c>
      <c r="L17" s="55">
        <v>25</v>
      </c>
      <c r="M17" s="55">
        <v>10</v>
      </c>
      <c r="N17" s="55">
        <v>33</v>
      </c>
      <c r="O17" s="55">
        <v>0</v>
      </c>
      <c r="P17" s="55">
        <v>2</v>
      </c>
      <c r="Q17" s="55">
        <v>33</v>
      </c>
      <c r="R17" s="55">
        <v>0</v>
      </c>
      <c r="S17" s="55">
        <v>0</v>
      </c>
      <c r="T17" s="55">
        <v>2</v>
      </c>
      <c r="U17" s="55">
        <v>33</v>
      </c>
      <c r="V17" s="55">
        <v>0</v>
      </c>
      <c r="W17" s="55">
        <v>0</v>
      </c>
      <c r="X17" s="55">
        <v>2</v>
      </c>
      <c r="Y17" s="55">
        <v>35</v>
      </c>
      <c r="Z17" s="55">
        <v>5</v>
      </c>
      <c r="AA17" s="55">
        <v>5</v>
      </c>
      <c r="AB17" s="55">
        <v>5</v>
      </c>
      <c r="AC17" s="55">
        <v>5</v>
      </c>
      <c r="AD17" s="55">
        <v>5</v>
      </c>
      <c r="AE17" s="55">
        <v>5</v>
      </c>
      <c r="AF17" s="55">
        <v>5</v>
      </c>
      <c r="AG17" s="55">
        <v>5</v>
      </c>
      <c r="AH17" s="537">
        <v>5</v>
      </c>
    </row>
    <row r="18" spans="1:34" x14ac:dyDescent="0.15">
      <c r="A18" s="533" t="s">
        <v>1387</v>
      </c>
      <c r="B18" s="54">
        <v>35</v>
      </c>
      <c r="C18" s="55">
        <v>35</v>
      </c>
      <c r="D18" s="55">
        <v>0</v>
      </c>
      <c r="E18" s="55">
        <v>0</v>
      </c>
      <c r="F18" s="55">
        <v>35</v>
      </c>
      <c r="G18" s="55">
        <v>0</v>
      </c>
      <c r="H18" s="55">
        <v>35</v>
      </c>
      <c r="I18" s="55">
        <v>0</v>
      </c>
      <c r="J18" s="55">
        <v>0</v>
      </c>
      <c r="K18" s="55">
        <v>0</v>
      </c>
      <c r="L18" s="55">
        <v>25</v>
      </c>
      <c r="M18" s="55">
        <v>10</v>
      </c>
      <c r="N18" s="55">
        <v>33</v>
      </c>
      <c r="O18" s="55">
        <v>0</v>
      </c>
      <c r="P18" s="55">
        <v>2</v>
      </c>
      <c r="Q18" s="55">
        <v>33</v>
      </c>
      <c r="R18" s="55">
        <v>0</v>
      </c>
      <c r="S18" s="55">
        <v>0</v>
      </c>
      <c r="T18" s="55">
        <v>2</v>
      </c>
      <c r="U18" s="55">
        <v>33</v>
      </c>
      <c r="V18" s="55">
        <v>0</v>
      </c>
      <c r="W18" s="55">
        <v>0</v>
      </c>
      <c r="X18" s="55">
        <v>2</v>
      </c>
      <c r="Y18" s="55">
        <v>35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  <c r="AG18" s="55">
        <v>0</v>
      </c>
      <c r="AH18" s="537">
        <v>0</v>
      </c>
    </row>
    <row r="19" spans="1:34" x14ac:dyDescent="0.15">
      <c r="A19" s="534" t="s">
        <v>836</v>
      </c>
      <c r="B19" s="56">
        <v>405</v>
      </c>
      <c r="C19" s="57">
        <v>403</v>
      </c>
      <c r="D19" s="57">
        <v>0</v>
      </c>
      <c r="E19" s="57">
        <v>0</v>
      </c>
      <c r="F19" s="57">
        <v>405</v>
      </c>
      <c r="G19" s="57">
        <v>0</v>
      </c>
      <c r="H19" s="57">
        <v>345</v>
      </c>
      <c r="I19" s="57">
        <v>41</v>
      </c>
      <c r="J19" s="57">
        <v>17</v>
      </c>
      <c r="K19" s="57">
        <v>18</v>
      </c>
      <c r="L19" s="57">
        <v>205</v>
      </c>
      <c r="M19" s="57">
        <v>180</v>
      </c>
      <c r="N19" s="57">
        <v>349</v>
      </c>
      <c r="O19" s="57">
        <v>0</v>
      </c>
      <c r="P19" s="57">
        <v>57</v>
      </c>
      <c r="Q19" s="57">
        <v>351</v>
      </c>
      <c r="R19" s="57">
        <v>0</v>
      </c>
      <c r="S19" s="57">
        <v>17</v>
      </c>
      <c r="T19" s="57">
        <v>57</v>
      </c>
      <c r="U19" s="57">
        <v>349</v>
      </c>
      <c r="V19" s="57">
        <v>0</v>
      </c>
      <c r="W19" s="57">
        <v>17</v>
      </c>
      <c r="X19" s="57">
        <v>57</v>
      </c>
      <c r="Y19" s="57">
        <v>403</v>
      </c>
      <c r="Z19" s="57">
        <v>1251</v>
      </c>
      <c r="AA19" s="57">
        <v>1251</v>
      </c>
      <c r="AB19" s="57">
        <v>1251</v>
      </c>
      <c r="AC19" s="57">
        <v>1251</v>
      </c>
      <c r="AD19" s="57">
        <v>1251</v>
      </c>
      <c r="AE19" s="57">
        <v>1251</v>
      </c>
      <c r="AF19" s="57">
        <v>1306</v>
      </c>
      <c r="AG19" s="57">
        <v>1251</v>
      </c>
      <c r="AH19" s="538">
        <v>1160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518"/>
  <sheetViews>
    <sheetView zoomScale="80" workbookViewId="0">
      <pane xSplit="5" ySplit="4" topLeftCell="CK496" activePane="bottomRight" state="frozen"/>
      <selection pane="topRight"/>
      <selection pane="bottomLeft"/>
      <selection pane="bottomRight" activeCell="A4" sqref="A4:CV518"/>
    </sheetView>
  </sheetViews>
  <sheetFormatPr defaultRowHeight="15.95" customHeight="1" x14ac:dyDescent="0.15"/>
  <cols>
    <col min="1" max="1" width="8.375" style="15" bestFit="1" customWidth="1"/>
    <col min="2" max="2" width="16.125" style="27" bestFit="1" customWidth="1"/>
    <col min="3" max="3" width="20" bestFit="1" customWidth="1"/>
    <col min="4" max="4" width="32.5" bestFit="1" customWidth="1"/>
    <col min="5" max="5" width="19.25" bestFit="1" customWidth="1"/>
    <col min="6" max="6" width="20.5" bestFit="1" customWidth="1"/>
    <col min="7" max="7" width="17.5" customWidth="1"/>
    <col min="8" max="8" width="14" bestFit="1" customWidth="1"/>
    <col min="9" max="9" width="10.25" style="6" bestFit="1" customWidth="1"/>
    <col min="10" max="10" width="10" style="6" bestFit="1" customWidth="1"/>
    <col min="11" max="11" width="29" bestFit="1" customWidth="1"/>
    <col min="12" max="12" width="10.25" style="15" bestFit="1" customWidth="1"/>
    <col min="13" max="13" width="14" style="7" bestFit="1" customWidth="1"/>
    <col min="14" max="15" width="12.125" style="7" bestFit="1" customWidth="1"/>
    <col min="16" max="16" width="12.75" style="7" bestFit="1" customWidth="1"/>
    <col min="17" max="17" width="12.125" style="7" bestFit="1" customWidth="1"/>
    <col min="18" max="18" width="11.875" style="6" bestFit="1" customWidth="1"/>
    <col min="19" max="19" width="12.75" style="6" bestFit="1" customWidth="1"/>
    <col min="20" max="20" width="13" style="6" bestFit="1" customWidth="1"/>
    <col min="21" max="21" width="12.5" style="6" bestFit="1" customWidth="1"/>
    <col min="22" max="22" width="13.125" style="6" bestFit="1" customWidth="1"/>
    <col min="23" max="23" width="10.75" bestFit="1" customWidth="1"/>
    <col min="24" max="24" width="12.75" bestFit="1" customWidth="1"/>
    <col min="25" max="26" width="13" style="6" bestFit="1" customWidth="1"/>
    <col min="27" max="33" width="10.5" bestFit="1" customWidth="1"/>
    <col min="34" max="34" width="10.25" bestFit="1" customWidth="1"/>
    <col min="35" max="35" width="12.5" style="23" bestFit="1" customWidth="1"/>
    <col min="36" max="38" width="12.375" style="23" bestFit="1" customWidth="1"/>
    <col min="39" max="40" width="12.5" style="23" bestFit="1" customWidth="1"/>
    <col min="41" max="46" width="12.375" style="23" bestFit="1" customWidth="1"/>
    <col min="47" max="59" width="12.5" style="23" bestFit="1" customWidth="1"/>
    <col min="60" max="60" width="12.375" style="23" bestFit="1" customWidth="1"/>
    <col min="61" max="61" width="12.5" style="23" bestFit="1" customWidth="1"/>
    <col min="62" max="63" width="12.375" style="23" bestFit="1" customWidth="1"/>
    <col min="64" max="67" width="12.5" style="23" bestFit="1" customWidth="1"/>
    <col min="68" max="68" width="13.75" style="23" bestFit="1" customWidth="1"/>
    <col min="69" max="71" width="13.625" style="23" bestFit="1" customWidth="1"/>
    <col min="72" max="73" width="13.75" style="23" bestFit="1" customWidth="1"/>
    <col min="74" max="79" width="13.625" style="23" bestFit="1" customWidth="1"/>
    <col min="80" max="91" width="13.75" style="23" bestFit="1" customWidth="1"/>
    <col min="92" max="93" width="15.625" style="23" bestFit="1" customWidth="1"/>
    <col min="94" max="94" width="15.875" style="23" bestFit="1" customWidth="1"/>
    <col min="95" max="95" width="15.75" style="23" bestFit="1" customWidth="1"/>
    <col min="96" max="96" width="15.5" style="23" bestFit="1" customWidth="1"/>
    <col min="97" max="100" width="15.625" style="23" bestFit="1" customWidth="1"/>
  </cols>
  <sheetData>
    <row r="1" spans="1:100" ht="15.95" customHeight="1" x14ac:dyDescent="0.15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>SUM(BP5:BP518)</f>
        <v>405</v>
      </c>
      <c r="BQ1" s="22">
        <f>SUM(BQ5:BQ518)</f>
        <v>403</v>
      </c>
      <c r="BR1" s="22">
        <f>SUM(BR5:BR518)</f>
        <v>0</v>
      </c>
      <c r="BS1" s="22">
        <f>SUM(BS5:BS518)</f>
        <v>0</v>
      </c>
      <c r="BT1" s="22">
        <f>SUM(BT5:BT518)</f>
        <v>405</v>
      </c>
      <c r="BU1" s="22">
        <f>SUM(BU5:BU518)</f>
        <v>0</v>
      </c>
      <c r="BV1" s="22">
        <f>SUM(BV5:BV518)</f>
        <v>345</v>
      </c>
      <c r="BW1" s="22">
        <f>SUM(BW5:BW518)</f>
        <v>41</v>
      </c>
      <c r="BX1" s="22">
        <f>SUM(BX5:BX518)</f>
        <v>17</v>
      </c>
      <c r="BY1" s="22">
        <f>SUM(BY5:BY518)</f>
        <v>18</v>
      </c>
      <c r="BZ1" s="22">
        <f>SUM(BZ5:BZ518)</f>
        <v>205</v>
      </c>
      <c r="CA1" s="22">
        <f>SUM(CA5:CA518)</f>
        <v>180</v>
      </c>
      <c r="CB1" s="22">
        <f>SUM(CB5:CB518)</f>
        <v>349</v>
      </c>
      <c r="CC1" s="22">
        <f>SUM(CC5:CC518)</f>
        <v>0</v>
      </c>
      <c r="CD1" s="22">
        <f>SUM(CD5:CD518)</f>
        <v>57</v>
      </c>
      <c r="CE1" s="22">
        <f>SUM(CE5:CE518)</f>
        <v>351</v>
      </c>
      <c r="CF1" s="22">
        <f>SUM(CF5:CF518)</f>
        <v>0</v>
      </c>
      <c r="CG1" s="22">
        <f>SUM(CG5:CG518)</f>
        <v>17</v>
      </c>
      <c r="CH1" s="22">
        <f>SUM(CH5:CH518)</f>
        <v>57</v>
      </c>
      <c r="CI1" s="22">
        <f>SUM(CI5:CI518)</f>
        <v>349</v>
      </c>
      <c r="CJ1" s="22">
        <f>SUM(CJ5:CJ518)</f>
        <v>0</v>
      </c>
      <c r="CK1" s="22">
        <f>SUM(CK5:CK518)</f>
        <v>17</v>
      </c>
      <c r="CL1" s="22">
        <f>SUM(CL5:CL518)</f>
        <v>57</v>
      </c>
      <c r="CM1" s="22">
        <f>SUM(CM5:CM518)</f>
        <v>403</v>
      </c>
      <c r="CN1" s="22">
        <f>SUM(CN5:CN518)</f>
        <v>1251</v>
      </c>
      <c r="CO1" s="22">
        <f>SUM(CO5:CO518)</f>
        <v>1251</v>
      </c>
      <c r="CP1" s="22">
        <f>SUM(CP5:CP518)</f>
        <v>1251</v>
      </c>
      <c r="CQ1" s="22">
        <f>SUM(CQ5:CQ518)</f>
        <v>1251</v>
      </c>
      <c r="CR1" s="22">
        <f>SUM(CR5:CR518)</f>
        <v>1251</v>
      </c>
      <c r="CS1" s="22">
        <f>SUM(CS5:CS518)</f>
        <v>1251</v>
      </c>
      <c r="CT1" s="22">
        <f>SUM(CT5:CT518)</f>
        <v>1306</v>
      </c>
      <c r="CU1" s="22">
        <f>SUM(CU5:CU518)</f>
        <v>1251</v>
      </c>
      <c r="CV1" s="22">
        <f>SUM(CV5:CV518)</f>
        <v>1160</v>
      </c>
    </row>
    <row r="2" spans="1:100" ht="15.95" customHeight="1" x14ac:dyDescent="0.15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 x14ac:dyDescent="0.15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 x14ac:dyDescent="0.15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 x14ac:dyDescent="0.15">
      <c r="A5" s="15">
        <v>48</v>
      </c>
      <c r="B5" s="27" t="s">
        <v>164</v>
      </c>
      <c r="C5" t="s">
        <v>153</v>
      </c>
      <c r="E5" t="s">
        <v>154</v>
      </c>
      <c r="F5" t="s">
        <v>155</v>
      </c>
      <c r="G5" t="s">
        <v>154</v>
      </c>
      <c r="H5" t="s">
        <v>156</v>
      </c>
      <c r="I5" s="6" t="s">
        <v>136</v>
      </c>
      <c r="J5" s="6">
        <v>1</v>
      </c>
      <c r="L5" s="15">
        <v>1</v>
      </c>
      <c r="M5" s="7">
        <v>46072</v>
      </c>
      <c r="N5" s="7">
        <v>46085</v>
      </c>
      <c r="O5" s="7">
        <v>46084</v>
      </c>
      <c r="P5" s="7">
        <v>46084</v>
      </c>
      <c r="R5" s="6" t="s">
        <v>165</v>
      </c>
      <c r="S5" s="6" t="s">
        <v>154</v>
      </c>
      <c r="U5" s="6" t="s">
        <v>150</v>
      </c>
      <c r="V5" s="6" t="str">
        <f>TEXT(N5,"YY/MM")</f>
        <v>26/03</v>
      </c>
      <c r="W5">
        <v>21376</v>
      </c>
      <c r="Y5" s="6" t="s">
        <v>157</v>
      </c>
      <c r="Z5" s="6" t="s">
        <v>158</v>
      </c>
      <c r="AA5">
        <v>3220</v>
      </c>
      <c r="AI5" s="23">
        <v>1</v>
      </c>
      <c r="AJ5" s="23">
        <v>1</v>
      </c>
      <c r="AK5" s="23">
        <v>0</v>
      </c>
      <c r="AL5" s="23">
        <v>0</v>
      </c>
      <c r="AM5" s="23">
        <v>1</v>
      </c>
      <c r="AN5" s="23">
        <v>0</v>
      </c>
      <c r="AO5" s="23">
        <v>1</v>
      </c>
      <c r="AP5" s="23">
        <v>0</v>
      </c>
      <c r="AQ5" s="23">
        <v>0</v>
      </c>
      <c r="AR5" s="23">
        <v>0</v>
      </c>
      <c r="AS5" s="23">
        <v>0</v>
      </c>
      <c r="AT5" s="23">
        <v>1</v>
      </c>
      <c r="AU5" s="23">
        <v>1</v>
      </c>
      <c r="AV5" s="23">
        <v>0</v>
      </c>
      <c r="AW5" s="23">
        <v>0</v>
      </c>
      <c r="AX5" s="23">
        <v>1</v>
      </c>
      <c r="AY5" s="23">
        <v>0</v>
      </c>
      <c r="AZ5" s="23">
        <v>0</v>
      </c>
      <c r="BA5" s="23">
        <v>0</v>
      </c>
      <c r="BB5" s="23">
        <v>1</v>
      </c>
      <c r="BC5" s="23">
        <v>0</v>
      </c>
      <c r="BD5" s="23">
        <v>0</v>
      </c>
      <c r="BE5" s="23">
        <v>0</v>
      </c>
      <c r="BF5" s="23">
        <v>1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>$L5*AI5</f>
        <v>1</v>
      </c>
      <c r="BQ5" s="23">
        <f>$L5*AJ5</f>
        <v>1</v>
      </c>
      <c r="BR5" s="23">
        <f>$L5*AK5</f>
        <v>0</v>
      </c>
      <c r="BS5" s="23">
        <f>$L5*AL5</f>
        <v>0</v>
      </c>
      <c r="BT5" s="23">
        <f>$L5*AM5</f>
        <v>1</v>
      </c>
      <c r="BU5" s="23">
        <f>$L5*AN5</f>
        <v>0</v>
      </c>
      <c r="BV5" s="23">
        <f>$L5*AO5</f>
        <v>1</v>
      </c>
      <c r="BW5" s="23">
        <f>$L5*AP5</f>
        <v>0</v>
      </c>
      <c r="BX5" s="23">
        <f>$L5*AQ5</f>
        <v>0</v>
      </c>
      <c r="BY5" s="23">
        <f>$L5*AR5</f>
        <v>0</v>
      </c>
      <c r="BZ5" s="23">
        <f>$L5*AS5</f>
        <v>0</v>
      </c>
      <c r="CA5" s="23">
        <f>$L5*AT5</f>
        <v>1</v>
      </c>
      <c r="CB5" s="23">
        <f>$L5*AU5</f>
        <v>1</v>
      </c>
      <c r="CC5" s="23">
        <f>$L5*AV5</f>
        <v>0</v>
      </c>
      <c r="CD5" s="23">
        <f>$L5*AW5</f>
        <v>0</v>
      </c>
      <c r="CE5" s="23">
        <f>$L5*AX5</f>
        <v>1</v>
      </c>
      <c r="CF5" s="23">
        <f>$L5*AY5</f>
        <v>0</v>
      </c>
      <c r="CG5" s="23">
        <f>$L5*AZ5</f>
        <v>0</v>
      </c>
      <c r="CH5" s="23">
        <f>$L5*BA5</f>
        <v>0</v>
      </c>
      <c r="CI5" s="23">
        <f>$L5*BB5</f>
        <v>1</v>
      </c>
      <c r="CJ5" s="23">
        <f>$L5*BC5</f>
        <v>0</v>
      </c>
      <c r="CK5" s="23">
        <f>$L5*BD5</f>
        <v>0</v>
      </c>
      <c r="CL5" s="23">
        <f>$L5*BE5</f>
        <v>0</v>
      </c>
      <c r="CM5" s="23">
        <f>$L5*BF5</f>
        <v>1</v>
      </c>
      <c r="CN5" s="23">
        <f>$L5*BG5</f>
        <v>0</v>
      </c>
      <c r="CO5" s="23">
        <f>$L5*BH5</f>
        <v>0</v>
      </c>
      <c r="CP5" s="23">
        <f>$L5*BI5</f>
        <v>0</v>
      </c>
      <c r="CQ5" s="23">
        <f>$L5*BJ5</f>
        <v>0</v>
      </c>
      <c r="CR5" s="23">
        <f>$L5*BK5</f>
        <v>0</v>
      </c>
      <c r="CS5" s="23">
        <f>$L5*BL5</f>
        <v>0</v>
      </c>
      <c r="CT5" s="23">
        <f>$L5*BM5</f>
        <v>0</v>
      </c>
      <c r="CU5" s="23">
        <f>$L5*BN5</f>
        <v>0</v>
      </c>
      <c r="CV5" s="23">
        <f>$L5*BO5</f>
        <v>0</v>
      </c>
    </row>
    <row r="6" spans="1:100" ht="13.5" x14ac:dyDescent="0.15">
      <c r="A6" s="15">
        <v>54</v>
      </c>
      <c r="B6" s="27" t="s">
        <v>166</v>
      </c>
      <c r="C6" t="s">
        <v>153</v>
      </c>
      <c r="E6" t="s">
        <v>154</v>
      </c>
      <c r="F6" t="s">
        <v>155</v>
      </c>
      <c r="G6" t="s">
        <v>154</v>
      </c>
      <c r="H6" t="s">
        <v>156</v>
      </c>
      <c r="I6" s="6" t="s">
        <v>136</v>
      </c>
      <c r="J6" s="6">
        <v>1</v>
      </c>
      <c r="L6" s="15">
        <v>1</v>
      </c>
      <c r="M6" s="7">
        <v>46073</v>
      </c>
      <c r="N6" s="7">
        <v>46086</v>
      </c>
      <c r="O6" s="7">
        <v>46085</v>
      </c>
      <c r="P6" s="7">
        <v>46085</v>
      </c>
      <c r="R6" s="6" t="s">
        <v>167</v>
      </c>
      <c r="S6" s="6" t="s">
        <v>154</v>
      </c>
      <c r="U6" s="6" t="s">
        <v>150</v>
      </c>
      <c r="V6" s="6" t="str">
        <f>TEXT(N6,"YY/MM")</f>
        <v>26/03</v>
      </c>
      <c r="W6">
        <v>21377</v>
      </c>
      <c r="Y6" s="6" t="s">
        <v>157</v>
      </c>
      <c r="Z6" s="6" t="s">
        <v>158</v>
      </c>
      <c r="AA6">
        <v>3221</v>
      </c>
      <c r="AI6" s="23">
        <v>1</v>
      </c>
      <c r="AJ6" s="23">
        <v>1</v>
      </c>
      <c r="AK6" s="23">
        <v>0</v>
      </c>
      <c r="AL6" s="23">
        <v>0</v>
      </c>
      <c r="AM6" s="23">
        <v>1</v>
      </c>
      <c r="AN6" s="23">
        <v>0</v>
      </c>
      <c r="AO6" s="23">
        <v>1</v>
      </c>
      <c r="AP6" s="23">
        <v>0</v>
      </c>
      <c r="AQ6" s="23">
        <v>0</v>
      </c>
      <c r="AR6" s="23">
        <v>0</v>
      </c>
      <c r="AS6" s="23">
        <v>0</v>
      </c>
      <c r="AT6" s="23">
        <v>1</v>
      </c>
      <c r="AU6" s="23">
        <v>1</v>
      </c>
      <c r="AV6" s="23">
        <v>0</v>
      </c>
      <c r="AW6" s="23">
        <v>0</v>
      </c>
      <c r="AX6" s="23">
        <v>1</v>
      </c>
      <c r="AY6" s="23">
        <v>0</v>
      </c>
      <c r="AZ6" s="23">
        <v>0</v>
      </c>
      <c r="BA6" s="23">
        <v>0</v>
      </c>
      <c r="BB6" s="23">
        <v>1</v>
      </c>
      <c r="BC6" s="23">
        <v>0</v>
      </c>
      <c r="BD6" s="23">
        <v>0</v>
      </c>
      <c r="BE6" s="23">
        <v>0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>$L6*AI6</f>
        <v>1</v>
      </c>
      <c r="BQ6" s="23">
        <f>$L6*AJ6</f>
        <v>1</v>
      </c>
      <c r="BR6" s="23">
        <f>$L6*AK6</f>
        <v>0</v>
      </c>
      <c r="BS6" s="23">
        <f>$L6*AL6</f>
        <v>0</v>
      </c>
      <c r="BT6" s="23">
        <f>$L6*AM6</f>
        <v>1</v>
      </c>
      <c r="BU6" s="23">
        <f>$L6*AN6</f>
        <v>0</v>
      </c>
      <c r="BV6" s="23">
        <f>$L6*AO6</f>
        <v>1</v>
      </c>
      <c r="BW6" s="23">
        <f>$L6*AP6</f>
        <v>0</v>
      </c>
      <c r="BX6" s="23">
        <f>$L6*AQ6</f>
        <v>0</v>
      </c>
      <c r="BY6" s="23">
        <f>$L6*AR6</f>
        <v>0</v>
      </c>
      <c r="BZ6" s="23">
        <f>$L6*AS6</f>
        <v>0</v>
      </c>
      <c r="CA6" s="23">
        <f>$L6*AT6</f>
        <v>1</v>
      </c>
      <c r="CB6" s="23">
        <f>$L6*AU6</f>
        <v>1</v>
      </c>
      <c r="CC6" s="23">
        <f>$L6*AV6</f>
        <v>0</v>
      </c>
      <c r="CD6" s="23">
        <f>$L6*AW6</f>
        <v>0</v>
      </c>
      <c r="CE6" s="23">
        <f>$L6*AX6</f>
        <v>1</v>
      </c>
      <c r="CF6" s="23">
        <f>$L6*AY6</f>
        <v>0</v>
      </c>
      <c r="CG6" s="23">
        <f>$L6*AZ6</f>
        <v>0</v>
      </c>
      <c r="CH6" s="23">
        <f>$L6*BA6</f>
        <v>0</v>
      </c>
      <c r="CI6" s="23">
        <f>$L6*BB6</f>
        <v>1</v>
      </c>
      <c r="CJ6" s="23">
        <f>$L6*BC6</f>
        <v>0</v>
      </c>
      <c r="CK6" s="23">
        <f>$L6*BD6</f>
        <v>0</v>
      </c>
      <c r="CL6" s="23">
        <f>$L6*BE6</f>
        <v>0</v>
      </c>
      <c r="CM6" s="23">
        <f>$L6*BF6</f>
        <v>1</v>
      </c>
      <c r="CN6" s="23">
        <f>$L6*BG6</f>
        <v>0</v>
      </c>
      <c r="CO6" s="23">
        <f>$L6*BH6</f>
        <v>0</v>
      </c>
      <c r="CP6" s="23">
        <f>$L6*BI6</f>
        <v>0</v>
      </c>
      <c r="CQ6" s="23">
        <f>$L6*BJ6</f>
        <v>0</v>
      </c>
      <c r="CR6" s="23">
        <f>$L6*BK6</f>
        <v>0</v>
      </c>
      <c r="CS6" s="23">
        <f>$L6*BL6</f>
        <v>0</v>
      </c>
      <c r="CT6" s="23">
        <f>$L6*BM6</f>
        <v>0</v>
      </c>
      <c r="CU6" s="23">
        <f>$L6*BN6</f>
        <v>0</v>
      </c>
      <c r="CV6" s="23">
        <f>$L6*BO6</f>
        <v>0</v>
      </c>
    </row>
    <row r="7" spans="1:100" ht="13.5" x14ac:dyDescent="0.15">
      <c r="A7" s="15">
        <v>59</v>
      </c>
      <c r="B7" s="27" t="s">
        <v>168</v>
      </c>
      <c r="C7" t="s">
        <v>153</v>
      </c>
      <c r="E7" t="s">
        <v>154</v>
      </c>
      <c r="F7" t="s">
        <v>155</v>
      </c>
      <c r="G7" t="s">
        <v>154</v>
      </c>
      <c r="H7" t="s">
        <v>156</v>
      </c>
      <c r="I7" s="6" t="s">
        <v>136</v>
      </c>
      <c r="J7" s="6">
        <v>1</v>
      </c>
      <c r="L7" s="15">
        <v>1</v>
      </c>
      <c r="M7" s="7">
        <v>46077</v>
      </c>
      <c r="N7" s="7">
        <v>46087</v>
      </c>
      <c r="O7" s="7">
        <v>46086</v>
      </c>
      <c r="P7" s="7">
        <v>46086</v>
      </c>
      <c r="R7" s="6" t="s">
        <v>169</v>
      </c>
      <c r="S7" s="6" t="s">
        <v>154</v>
      </c>
      <c r="U7" s="6" t="s">
        <v>150</v>
      </c>
      <c r="V7" s="6" t="str">
        <f>TEXT(N7,"YY/MM")</f>
        <v>26/03</v>
      </c>
      <c r="W7">
        <v>21378</v>
      </c>
      <c r="Y7" s="6" t="s">
        <v>157</v>
      </c>
      <c r="Z7" s="6" t="s">
        <v>158</v>
      </c>
      <c r="AA7">
        <v>3222</v>
      </c>
      <c r="AI7" s="23">
        <v>1</v>
      </c>
      <c r="AJ7" s="23">
        <v>1</v>
      </c>
      <c r="AK7" s="23">
        <v>0</v>
      </c>
      <c r="AL7" s="23">
        <v>0</v>
      </c>
      <c r="AM7" s="23">
        <v>1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1</v>
      </c>
      <c r="AU7" s="23">
        <v>1</v>
      </c>
      <c r="AV7" s="23">
        <v>0</v>
      </c>
      <c r="AW7" s="23">
        <v>0</v>
      </c>
      <c r="AX7" s="23">
        <v>1</v>
      </c>
      <c r="AY7" s="23">
        <v>0</v>
      </c>
      <c r="AZ7" s="23">
        <v>0</v>
      </c>
      <c r="BA7" s="23">
        <v>0</v>
      </c>
      <c r="BB7" s="23">
        <v>1</v>
      </c>
      <c r="BC7" s="23">
        <v>0</v>
      </c>
      <c r="BD7" s="23">
        <v>0</v>
      </c>
      <c r="BE7" s="23">
        <v>0</v>
      </c>
      <c r="BF7" s="23">
        <v>1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>$L7*AI7</f>
        <v>1</v>
      </c>
      <c r="BQ7" s="23">
        <f>$L7*AJ7</f>
        <v>1</v>
      </c>
      <c r="BR7" s="23">
        <f>$L7*AK7</f>
        <v>0</v>
      </c>
      <c r="BS7" s="23">
        <f>$L7*AL7</f>
        <v>0</v>
      </c>
      <c r="BT7" s="23">
        <f>$L7*AM7</f>
        <v>1</v>
      </c>
      <c r="BU7" s="23">
        <f>$L7*AN7</f>
        <v>0</v>
      </c>
      <c r="BV7" s="23">
        <f>$L7*AO7</f>
        <v>1</v>
      </c>
      <c r="BW7" s="23">
        <f>$L7*AP7</f>
        <v>0</v>
      </c>
      <c r="BX7" s="23">
        <f>$L7*AQ7</f>
        <v>0</v>
      </c>
      <c r="BY7" s="23">
        <f>$L7*AR7</f>
        <v>0</v>
      </c>
      <c r="BZ7" s="23">
        <f>$L7*AS7</f>
        <v>0</v>
      </c>
      <c r="CA7" s="23">
        <f>$L7*AT7</f>
        <v>1</v>
      </c>
      <c r="CB7" s="23">
        <f>$L7*AU7</f>
        <v>1</v>
      </c>
      <c r="CC7" s="23">
        <f>$L7*AV7</f>
        <v>0</v>
      </c>
      <c r="CD7" s="23">
        <f>$L7*AW7</f>
        <v>0</v>
      </c>
      <c r="CE7" s="23">
        <f>$L7*AX7</f>
        <v>1</v>
      </c>
      <c r="CF7" s="23">
        <f>$L7*AY7</f>
        <v>0</v>
      </c>
      <c r="CG7" s="23">
        <f>$L7*AZ7</f>
        <v>0</v>
      </c>
      <c r="CH7" s="23">
        <f>$L7*BA7</f>
        <v>0</v>
      </c>
      <c r="CI7" s="23">
        <f>$L7*BB7</f>
        <v>1</v>
      </c>
      <c r="CJ7" s="23">
        <f>$L7*BC7</f>
        <v>0</v>
      </c>
      <c r="CK7" s="23">
        <f>$L7*BD7</f>
        <v>0</v>
      </c>
      <c r="CL7" s="23">
        <f>$L7*BE7</f>
        <v>0</v>
      </c>
      <c r="CM7" s="23">
        <f>$L7*BF7</f>
        <v>1</v>
      </c>
      <c r="CN7" s="23">
        <f>$L7*BG7</f>
        <v>0</v>
      </c>
      <c r="CO7" s="23">
        <f>$L7*BH7</f>
        <v>0</v>
      </c>
      <c r="CP7" s="23">
        <f>$L7*BI7</f>
        <v>0</v>
      </c>
      <c r="CQ7" s="23">
        <f>$L7*BJ7</f>
        <v>0</v>
      </c>
      <c r="CR7" s="23">
        <f>$L7*BK7</f>
        <v>0</v>
      </c>
      <c r="CS7" s="23">
        <f>$L7*BL7</f>
        <v>0</v>
      </c>
      <c r="CT7" s="23">
        <f>$L7*BM7</f>
        <v>0</v>
      </c>
      <c r="CU7" s="23">
        <f>$L7*BN7</f>
        <v>0</v>
      </c>
      <c r="CV7" s="23">
        <f>$L7*BO7</f>
        <v>0</v>
      </c>
    </row>
    <row r="8" spans="1:100" ht="13.5" x14ac:dyDescent="0.15">
      <c r="A8" s="15">
        <v>65</v>
      </c>
      <c r="B8" s="27" t="s">
        <v>170</v>
      </c>
      <c r="C8" t="s">
        <v>153</v>
      </c>
      <c r="E8" t="s">
        <v>154</v>
      </c>
      <c r="F8" t="s">
        <v>155</v>
      </c>
      <c r="G8" t="s">
        <v>154</v>
      </c>
      <c r="H8" t="s">
        <v>156</v>
      </c>
      <c r="I8" s="6" t="s">
        <v>136</v>
      </c>
      <c r="J8" s="6">
        <v>1</v>
      </c>
      <c r="L8" s="15">
        <v>1</v>
      </c>
      <c r="M8" s="7">
        <v>46078</v>
      </c>
      <c r="N8" s="7">
        <v>46090</v>
      </c>
      <c r="O8" s="7">
        <v>46087</v>
      </c>
      <c r="P8" s="7">
        <v>46087</v>
      </c>
      <c r="R8" s="6" t="s">
        <v>171</v>
      </c>
      <c r="S8" s="6" t="s">
        <v>154</v>
      </c>
      <c r="U8" s="6" t="s">
        <v>150</v>
      </c>
      <c r="V8" s="6" t="str">
        <f>TEXT(N8,"YY/MM")</f>
        <v>26/03</v>
      </c>
      <c r="W8">
        <v>21379</v>
      </c>
      <c r="Y8" s="6" t="s">
        <v>157</v>
      </c>
      <c r="Z8" s="6" t="s">
        <v>158</v>
      </c>
      <c r="AA8">
        <v>3223</v>
      </c>
      <c r="AI8" s="23">
        <v>1</v>
      </c>
      <c r="AJ8" s="23">
        <v>1</v>
      </c>
      <c r="AK8" s="23">
        <v>0</v>
      </c>
      <c r="AL8" s="23">
        <v>0</v>
      </c>
      <c r="AM8" s="23">
        <v>1</v>
      </c>
      <c r="AN8" s="23">
        <v>0</v>
      </c>
      <c r="AO8" s="23">
        <v>1</v>
      </c>
      <c r="AP8" s="23">
        <v>0</v>
      </c>
      <c r="AQ8" s="23">
        <v>0</v>
      </c>
      <c r="AR8" s="23">
        <v>0</v>
      </c>
      <c r="AS8" s="23">
        <v>0</v>
      </c>
      <c r="AT8" s="23">
        <v>1</v>
      </c>
      <c r="AU8" s="23">
        <v>1</v>
      </c>
      <c r="AV8" s="23">
        <v>0</v>
      </c>
      <c r="AW8" s="23">
        <v>0</v>
      </c>
      <c r="AX8" s="23">
        <v>1</v>
      </c>
      <c r="AY8" s="23">
        <v>0</v>
      </c>
      <c r="AZ8" s="23">
        <v>0</v>
      </c>
      <c r="BA8" s="23">
        <v>0</v>
      </c>
      <c r="BB8" s="23">
        <v>1</v>
      </c>
      <c r="BC8" s="23">
        <v>0</v>
      </c>
      <c r="BD8" s="23">
        <v>0</v>
      </c>
      <c r="BE8" s="23">
        <v>0</v>
      </c>
      <c r="BF8" s="23">
        <v>1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>$L8*AI8</f>
        <v>1</v>
      </c>
      <c r="BQ8" s="23">
        <f>$L8*AJ8</f>
        <v>1</v>
      </c>
      <c r="BR8" s="23">
        <f>$L8*AK8</f>
        <v>0</v>
      </c>
      <c r="BS8" s="23">
        <f>$L8*AL8</f>
        <v>0</v>
      </c>
      <c r="BT8" s="23">
        <f>$L8*AM8</f>
        <v>1</v>
      </c>
      <c r="BU8" s="23">
        <f>$L8*AN8</f>
        <v>0</v>
      </c>
      <c r="BV8" s="23">
        <f>$L8*AO8</f>
        <v>1</v>
      </c>
      <c r="BW8" s="23">
        <f>$L8*AP8</f>
        <v>0</v>
      </c>
      <c r="BX8" s="23">
        <f>$L8*AQ8</f>
        <v>0</v>
      </c>
      <c r="BY8" s="23">
        <f>$L8*AR8</f>
        <v>0</v>
      </c>
      <c r="BZ8" s="23">
        <f>$L8*AS8</f>
        <v>0</v>
      </c>
      <c r="CA8" s="23">
        <f>$L8*AT8</f>
        <v>1</v>
      </c>
      <c r="CB8" s="23">
        <f>$L8*AU8</f>
        <v>1</v>
      </c>
      <c r="CC8" s="23">
        <f>$L8*AV8</f>
        <v>0</v>
      </c>
      <c r="CD8" s="23">
        <f>$L8*AW8</f>
        <v>0</v>
      </c>
      <c r="CE8" s="23">
        <f>$L8*AX8</f>
        <v>1</v>
      </c>
      <c r="CF8" s="23">
        <f>$L8*AY8</f>
        <v>0</v>
      </c>
      <c r="CG8" s="23">
        <f>$L8*AZ8</f>
        <v>0</v>
      </c>
      <c r="CH8" s="23">
        <f>$L8*BA8</f>
        <v>0</v>
      </c>
      <c r="CI8" s="23">
        <f>$L8*BB8</f>
        <v>1</v>
      </c>
      <c r="CJ8" s="23">
        <f>$L8*BC8</f>
        <v>0</v>
      </c>
      <c r="CK8" s="23">
        <f>$L8*BD8</f>
        <v>0</v>
      </c>
      <c r="CL8" s="23">
        <f>$L8*BE8</f>
        <v>0</v>
      </c>
      <c r="CM8" s="23">
        <f>$L8*BF8</f>
        <v>1</v>
      </c>
      <c r="CN8" s="23">
        <f>$L8*BG8</f>
        <v>0</v>
      </c>
      <c r="CO8" s="23">
        <f>$L8*BH8</f>
        <v>0</v>
      </c>
      <c r="CP8" s="23">
        <f>$L8*BI8</f>
        <v>0</v>
      </c>
      <c r="CQ8" s="23">
        <f>$L8*BJ8</f>
        <v>0</v>
      </c>
      <c r="CR8" s="23">
        <f>$L8*BK8</f>
        <v>0</v>
      </c>
      <c r="CS8" s="23">
        <f>$L8*BL8</f>
        <v>0</v>
      </c>
      <c r="CT8" s="23">
        <f>$L8*BM8</f>
        <v>0</v>
      </c>
      <c r="CU8" s="23">
        <f>$L8*BN8</f>
        <v>0</v>
      </c>
      <c r="CV8" s="23">
        <f>$L8*BO8</f>
        <v>0</v>
      </c>
    </row>
    <row r="9" spans="1:100" ht="13.5" x14ac:dyDescent="0.15">
      <c r="A9" s="15">
        <v>67</v>
      </c>
      <c r="B9" s="27" t="s">
        <v>172</v>
      </c>
      <c r="C9" t="s">
        <v>153</v>
      </c>
      <c r="E9" t="s">
        <v>154</v>
      </c>
      <c r="F9" t="s">
        <v>155</v>
      </c>
      <c r="G9" t="s">
        <v>154</v>
      </c>
      <c r="H9" t="s">
        <v>156</v>
      </c>
      <c r="I9" s="6" t="s">
        <v>136</v>
      </c>
      <c r="J9" s="6">
        <v>1</v>
      </c>
      <c r="L9" s="15">
        <v>1</v>
      </c>
      <c r="M9" s="7">
        <v>46079</v>
      </c>
      <c r="N9" s="7">
        <v>46091</v>
      </c>
      <c r="O9" s="7">
        <v>46090</v>
      </c>
      <c r="P9" s="7">
        <v>46090</v>
      </c>
      <c r="R9" s="6" t="s">
        <v>173</v>
      </c>
      <c r="S9" s="6" t="s">
        <v>154</v>
      </c>
      <c r="U9" s="6" t="s">
        <v>150</v>
      </c>
      <c r="V9" s="6" t="str">
        <f>TEXT(N9,"YY/MM")</f>
        <v>26/03</v>
      </c>
      <c r="W9">
        <v>21380</v>
      </c>
      <c r="Y9" s="6" t="s">
        <v>157</v>
      </c>
      <c r="Z9" s="6" t="s">
        <v>158</v>
      </c>
      <c r="AA9">
        <v>3224</v>
      </c>
      <c r="AI9" s="23">
        <v>1</v>
      </c>
      <c r="AJ9" s="23">
        <v>1</v>
      </c>
      <c r="AK9" s="23">
        <v>0</v>
      </c>
      <c r="AL9" s="23">
        <v>0</v>
      </c>
      <c r="AM9" s="23">
        <v>1</v>
      </c>
      <c r="AN9" s="23">
        <v>0</v>
      </c>
      <c r="AO9" s="23">
        <v>1</v>
      </c>
      <c r="AP9" s="23">
        <v>0</v>
      </c>
      <c r="AQ9" s="23">
        <v>0</v>
      </c>
      <c r="AR9" s="23">
        <v>0</v>
      </c>
      <c r="AS9" s="23">
        <v>0</v>
      </c>
      <c r="AT9" s="23">
        <v>1</v>
      </c>
      <c r="AU9" s="23">
        <v>1</v>
      </c>
      <c r="AV9" s="23">
        <v>0</v>
      </c>
      <c r="AW9" s="23">
        <v>0</v>
      </c>
      <c r="AX9" s="23">
        <v>1</v>
      </c>
      <c r="AY9" s="23">
        <v>0</v>
      </c>
      <c r="AZ9" s="23">
        <v>0</v>
      </c>
      <c r="BA9" s="23">
        <v>0</v>
      </c>
      <c r="BB9" s="23">
        <v>1</v>
      </c>
      <c r="BC9" s="23">
        <v>0</v>
      </c>
      <c r="BD9" s="23">
        <v>0</v>
      </c>
      <c r="BE9" s="23">
        <v>0</v>
      </c>
      <c r="BF9" s="23">
        <v>1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>$L9*AI9</f>
        <v>1</v>
      </c>
      <c r="BQ9" s="23">
        <f>$L9*AJ9</f>
        <v>1</v>
      </c>
      <c r="BR9" s="23">
        <f>$L9*AK9</f>
        <v>0</v>
      </c>
      <c r="BS9" s="23">
        <f>$L9*AL9</f>
        <v>0</v>
      </c>
      <c r="BT9" s="23">
        <f>$L9*AM9</f>
        <v>1</v>
      </c>
      <c r="BU9" s="23">
        <f>$L9*AN9</f>
        <v>0</v>
      </c>
      <c r="BV9" s="23">
        <f>$L9*AO9</f>
        <v>1</v>
      </c>
      <c r="BW9" s="23">
        <f>$L9*AP9</f>
        <v>0</v>
      </c>
      <c r="BX9" s="23">
        <f>$L9*AQ9</f>
        <v>0</v>
      </c>
      <c r="BY9" s="23">
        <f>$L9*AR9</f>
        <v>0</v>
      </c>
      <c r="BZ9" s="23">
        <f>$L9*AS9</f>
        <v>0</v>
      </c>
      <c r="CA9" s="23">
        <f>$L9*AT9</f>
        <v>1</v>
      </c>
      <c r="CB9" s="23">
        <f>$L9*AU9</f>
        <v>1</v>
      </c>
      <c r="CC9" s="23">
        <f>$L9*AV9</f>
        <v>0</v>
      </c>
      <c r="CD9" s="23">
        <f>$L9*AW9</f>
        <v>0</v>
      </c>
      <c r="CE9" s="23">
        <f>$L9*AX9</f>
        <v>1</v>
      </c>
      <c r="CF9" s="23">
        <f>$L9*AY9</f>
        <v>0</v>
      </c>
      <c r="CG9" s="23">
        <f>$L9*AZ9</f>
        <v>0</v>
      </c>
      <c r="CH9" s="23">
        <f>$L9*BA9</f>
        <v>0</v>
      </c>
      <c r="CI9" s="23">
        <f>$L9*BB9</f>
        <v>1</v>
      </c>
      <c r="CJ9" s="23">
        <f>$L9*BC9</f>
        <v>0</v>
      </c>
      <c r="CK9" s="23">
        <f>$L9*BD9</f>
        <v>0</v>
      </c>
      <c r="CL9" s="23">
        <f>$L9*BE9</f>
        <v>0</v>
      </c>
      <c r="CM9" s="23">
        <f>$L9*BF9</f>
        <v>1</v>
      </c>
      <c r="CN9" s="23">
        <f>$L9*BG9</f>
        <v>0</v>
      </c>
      <c r="CO9" s="23">
        <f>$L9*BH9</f>
        <v>0</v>
      </c>
      <c r="CP9" s="23">
        <f>$L9*BI9</f>
        <v>0</v>
      </c>
      <c r="CQ9" s="23">
        <f>$L9*BJ9</f>
        <v>0</v>
      </c>
      <c r="CR9" s="23">
        <f>$L9*BK9</f>
        <v>0</v>
      </c>
      <c r="CS9" s="23">
        <f>$L9*BL9</f>
        <v>0</v>
      </c>
      <c r="CT9" s="23">
        <f>$L9*BM9</f>
        <v>0</v>
      </c>
      <c r="CU9" s="23">
        <f>$L9*BN9</f>
        <v>0</v>
      </c>
      <c r="CV9" s="23">
        <f>$L9*BO9</f>
        <v>0</v>
      </c>
    </row>
    <row r="10" spans="1:100" ht="13.5" x14ac:dyDescent="0.15">
      <c r="A10" s="15">
        <v>69</v>
      </c>
      <c r="B10" s="27" t="s">
        <v>174</v>
      </c>
      <c r="C10" t="s">
        <v>153</v>
      </c>
      <c r="E10" t="s">
        <v>154</v>
      </c>
      <c r="F10" t="s">
        <v>155</v>
      </c>
      <c r="G10" t="s">
        <v>154</v>
      </c>
      <c r="H10" t="s">
        <v>156</v>
      </c>
      <c r="I10" s="6" t="s">
        <v>136</v>
      </c>
      <c r="J10" s="6">
        <v>1</v>
      </c>
      <c r="L10" s="15">
        <v>1</v>
      </c>
      <c r="M10" s="7">
        <v>46080</v>
      </c>
      <c r="N10" s="7">
        <v>46092</v>
      </c>
      <c r="O10" s="7">
        <v>46091</v>
      </c>
      <c r="P10" s="7">
        <v>46091</v>
      </c>
      <c r="R10" s="6" t="s">
        <v>175</v>
      </c>
      <c r="S10" s="6" t="s">
        <v>154</v>
      </c>
      <c r="U10" s="6" t="s">
        <v>150</v>
      </c>
      <c r="V10" s="6" t="str">
        <f>TEXT(N10,"YY/MM")</f>
        <v>26/03</v>
      </c>
      <c r="W10">
        <v>21381</v>
      </c>
      <c r="Y10" s="6" t="s">
        <v>157</v>
      </c>
      <c r="Z10" s="6" t="s">
        <v>158</v>
      </c>
      <c r="AA10">
        <v>3225</v>
      </c>
      <c r="AI10" s="23">
        <v>1</v>
      </c>
      <c r="AJ10" s="23">
        <v>1</v>
      </c>
      <c r="AK10" s="23">
        <v>0</v>
      </c>
      <c r="AL10" s="23">
        <v>0</v>
      </c>
      <c r="AM10" s="23">
        <v>1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0</v>
      </c>
      <c r="AT10" s="23">
        <v>1</v>
      </c>
      <c r="AU10" s="23">
        <v>1</v>
      </c>
      <c r="AV10" s="23">
        <v>0</v>
      </c>
      <c r="AW10" s="23">
        <v>0</v>
      </c>
      <c r="AX10" s="23">
        <v>1</v>
      </c>
      <c r="AY10" s="23">
        <v>0</v>
      </c>
      <c r="AZ10" s="23">
        <v>0</v>
      </c>
      <c r="BA10" s="23">
        <v>0</v>
      </c>
      <c r="BB10" s="23">
        <v>1</v>
      </c>
      <c r="BC10" s="23">
        <v>0</v>
      </c>
      <c r="BD10" s="23">
        <v>0</v>
      </c>
      <c r="BE10" s="23">
        <v>0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>$L10*AI10</f>
        <v>1</v>
      </c>
      <c r="BQ10" s="23">
        <f>$L10*AJ10</f>
        <v>1</v>
      </c>
      <c r="BR10" s="23">
        <f>$L10*AK10</f>
        <v>0</v>
      </c>
      <c r="BS10" s="23">
        <f>$L10*AL10</f>
        <v>0</v>
      </c>
      <c r="BT10" s="23">
        <f>$L10*AM10</f>
        <v>1</v>
      </c>
      <c r="BU10" s="23">
        <f>$L10*AN10</f>
        <v>0</v>
      </c>
      <c r="BV10" s="23">
        <f>$L10*AO10</f>
        <v>1</v>
      </c>
      <c r="BW10" s="23">
        <f>$L10*AP10</f>
        <v>0</v>
      </c>
      <c r="BX10" s="23">
        <f>$L10*AQ10</f>
        <v>0</v>
      </c>
      <c r="BY10" s="23">
        <f>$L10*AR10</f>
        <v>0</v>
      </c>
      <c r="BZ10" s="23">
        <f>$L10*AS10</f>
        <v>0</v>
      </c>
      <c r="CA10" s="23">
        <f>$L10*AT10</f>
        <v>1</v>
      </c>
      <c r="CB10" s="23">
        <f>$L10*AU10</f>
        <v>1</v>
      </c>
      <c r="CC10" s="23">
        <f>$L10*AV10</f>
        <v>0</v>
      </c>
      <c r="CD10" s="23">
        <f>$L10*AW10</f>
        <v>0</v>
      </c>
      <c r="CE10" s="23">
        <f>$L10*AX10</f>
        <v>1</v>
      </c>
      <c r="CF10" s="23">
        <f>$L10*AY10</f>
        <v>0</v>
      </c>
      <c r="CG10" s="23">
        <f>$L10*AZ10</f>
        <v>0</v>
      </c>
      <c r="CH10" s="23">
        <f>$L10*BA10</f>
        <v>0</v>
      </c>
      <c r="CI10" s="23">
        <f>$L10*BB10</f>
        <v>1</v>
      </c>
      <c r="CJ10" s="23">
        <f>$L10*BC10</f>
        <v>0</v>
      </c>
      <c r="CK10" s="23">
        <f>$L10*BD10</f>
        <v>0</v>
      </c>
      <c r="CL10" s="23">
        <f>$L10*BE10</f>
        <v>0</v>
      </c>
      <c r="CM10" s="23">
        <f>$L10*BF10</f>
        <v>1</v>
      </c>
      <c r="CN10" s="23">
        <f>$L10*BG10</f>
        <v>0</v>
      </c>
      <c r="CO10" s="23">
        <f>$L10*BH10</f>
        <v>0</v>
      </c>
      <c r="CP10" s="23">
        <f>$L10*BI10</f>
        <v>0</v>
      </c>
      <c r="CQ10" s="23">
        <f>$L10*BJ10</f>
        <v>0</v>
      </c>
      <c r="CR10" s="23">
        <f>$L10*BK10</f>
        <v>0</v>
      </c>
      <c r="CS10" s="23">
        <f>$L10*BL10</f>
        <v>0</v>
      </c>
      <c r="CT10" s="23">
        <f>$L10*BM10</f>
        <v>0</v>
      </c>
      <c r="CU10" s="23">
        <f>$L10*BN10</f>
        <v>0</v>
      </c>
      <c r="CV10" s="23">
        <f>$L10*BO10</f>
        <v>0</v>
      </c>
    </row>
    <row r="11" spans="1:100" ht="13.5" x14ac:dyDescent="0.15">
      <c r="A11" s="15">
        <v>71</v>
      </c>
      <c r="B11" s="27" t="s">
        <v>176</v>
      </c>
      <c r="C11" t="s">
        <v>177</v>
      </c>
      <c r="D11" t="s">
        <v>178</v>
      </c>
      <c r="E11" t="s">
        <v>179</v>
      </c>
      <c r="F11" t="s">
        <v>180</v>
      </c>
      <c r="G11" t="s">
        <v>181</v>
      </c>
      <c r="H11" t="s">
        <v>182</v>
      </c>
      <c r="I11" s="6" t="s">
        <v>130</v>
      </c>
      <c r="J11" s="6">
        <v>1</v>
      </c>
      <c r="K11" t="s">
        <v>183</v>
      </c>
      <c r="L11" s="15">
        <v>1</v>
      </c>
      <c r="M11" s="7">
        <v>46080</v>
      </c>
      <c r="N11" s="7">
        <v>46092</v>
      </c>
      <c r="O11" s="7">
        <v>46091</v>
      </c>
      <c r="P11" s="7">
        <v>46094</v>
      </c>
      <c r="R11" s="6" t="s">
        <v>184</v>
      </c>
      <c r="S11" s="6" t="s">
        <v>162</v>
      </c>
      <c r="U11" s="6" t="s">
        <v>150</v>
      </c>
      <c r="V11" s="6" t="str">
        <f>TEXT(N11,"YY/MM")</f>
        <v>26/03</v>
      </c>
      <c r="W11">
        <v>21382</v>
      </c>
      <c r="Y11" s="6" t="s">
        <v>163</v>
      </c>
      <c r="Z11" s="6" t="s">
        <v>152</v>
      </c>
      <c r="AG11">
        <v>3533</v>
      </c>
      <c r="AI11" s="23">
        <v>1</v>
      </c>
      <c r="AJ11" s="23">
        <v>1</v>
      </c>
      <c r="AK11" s="23">
        <v>0</v>
      </c>
      <c r="AL11" s="23">
        <v>0</v>
      </c>
      <c r="AM11" s="23">
        <v>1</v>
      </c>
      <c r="AN11" s="23">
        <v>0</v>
      </c>
      <c r="AO11" s="23">
        <v>0</v>
      </c>
      <c r="AP11" s="23">
        <v>0</v>
      </c>
      <c r="AQ11" s="23">
        <v>1</v>
      </c>
      <c r="AR11" s="23">
        <v>0</v>
      </c>
      <c r="AS11" s="23">
        <v>1</v>
      </c>
      <c r="AT11" s="23">
        <v>0</v>
      </c>
      <c r="AU11" s="23">
        <v>0</v>
      </c>
      <c r="AV11" s="23">
        <v>0</v>
      </c>
      <c r="AW11" s="23">
        <v>1</v>
      </c>
      <c r="AX11" s="23">
        <v>0</v>
      </c>
      <c r="AY11" s="23">
        <v>0</v>
      </c>
      <c r="AZ11" s="23">
        <v>0</v>
      </c>
      <c r="BA11" s="23">
        <v>1</v>
      </c>
      <c r="BB11" s="23">
        <v>0</v>
      </c>
      <c r="BC11" s="23">
        <v>0</v>
      </c>
      <c r="BD11" s="23">
        <v>0</v>
      </c>
      <c r="BE11" s="23">
        <v>1</v>
      </c>
      <c r="BF11" s="23">
        <v>1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>$L11*AI11</f>
        <v>1</v>
      </c>
      <c r="BQ11" s="23">
        <f>$L11*AJ11</f>
        <v>1</v>
      </c>
      <c r="BR11" s="23">
        <f>$L11*AK11</f>
        <v>0</v>
      </c>
      <c r="BS11" s="23">
        <f>$L11*AL11</f>
        <v>0</v>
      </c>
      <c r="BT11" s="23">
        <f>$L11*AM11</f>
        <v>1</v>
      </c>
      <c r="BU11" s="23">
        <f>$L11*AN11</f>
        <v>0</v>
      </c>
      <c r="BV11" s="23">
        <f>$L11*AO11</f>
        <v>0</v>
      </c>
      <c r="BW11" s="23">
        <f>$L11*AP11</f>
        <v>0</v>
      </c>
      <c r="BX11" s="23">
        <f>$L11*AQ11</f>
        <v>1</v>
      </c>
      <c r="BY11" s="23">
        <f>$L11*AR11</f>
        <v>0</v>
      </c>
      <c r="BZ11" s="23">
        <f>$L11*AS11</f>
        <v>1</v>
      </c>
      <c r="CA11" s="23">
        <f>$L11*AT11</f>
        <v>0</v>
      </c>
      <c r="CB11" s="23">
        <f>$L11*AU11</f>
        <v>0</v>
      </c>
      <c r="CC11" s="23">
        <f>$L11*AV11</f>
        <v>0</v>
      </c>
      <c r="CD11" s="23">
        <f>$L11*AW11</f>
        <v>1</v>
      </c>
      <c r="CE11" s="23">
        <f>$L11*AX11</f>
        <v>0</v>
      </c>
      <c r="CF11" s="23">
        <f>$L11*AY11</f>
        <v>0</v>
      </c>
      <c r="CG11" s="23">
        <f>$L11*AZ11</f>
        <v>0</v>
      </c>
      <c r="CH11" s="23">
        <f>$L11*BA11</f>
        <v>1</v>
      </c>
      <c r="CI11" s="23">
        <f>$L11*BB11</f>
        <v>0</v>
      </c>
      <c r="CJ11" s="23">
        <f>$L11*BC11</f>
        <v>0</v>
      </c>
      <c r="CK11" s="23">
        <f>$L11*BD11</f>
        <v>0</v>
      </c>
      <c r="CL11" s="23">
        <f>$L11*BE11</f>
        <v>1</v>
      </c>
      <c r="CM11" s="23">
        <f>$L11*BF11</f>
        <v>1</v>
      </c>
      <c r="CN11" s="23">
        <f>$L11*BG11</f>
        <v>0</v>
      </c>
      <c r="CO11" s="23">
        <f>$L11*BH11</f>
        <v>0</v>
      </c>
      <c r="CP11" s="23">
        <f>$L11*BI11</f>
        <v>0</v>
      </c>
      <c r="CQ11" s="23">
        <f>$L11*BJ11</f>
        <v>0</v>
      </c>
      <c r="CR11" s="23">
        <f>$L11*BK11</f>
        <v>0</v>
      </c>
      <c r="CS11" s="23">
        <f>$L11*BL11</f>
        <v>0</v>
      </c>
      <c r="CT11" s="23">
        <f>$L11*BM11</f>
        <v>0</v>
      </c>
      <c r="CU11" s="23">
        <f>$L11*BN11</f>
        <v>0</v>
      </c>
      <c r="CV11" s="23">
        <f>$L11*BO11</f>
        <v>0</v>
      </c>
    </row>
    <row r="12" spans="1:100" ht="13.5" x14ac:dyDescent="0.15">
      <c r="A12" s="15">
        <v>70</v>
      </c>
      <c r="B12" s="27" t="s">
        <v>185</v>
      </c>
      <c r="C12" t="s">
        <v>153</v>
      </c>
      <c r="E12" t="s">
        <v>154</v>
      </c>
      <c r="F12" t="s">
        <v>155</v>
      </c>
      <c r="G12" t="s">
        <v>154</v>
      </c>
      <c r="H12" t="s">
        <v>156</v>
      </c>
      <c r="I12" s="6" t="s">
        <v>136</v>
      </c>
      <c r="J12" s="6">
        <v>1</v>
      </c>
      <c r="L12" s="15">
        <v>1</v>
      </c>
      <c r="M12" s="7">
        <v>46083</v>
      </c>
      <c r="N12" s="7">
        <v>46093</v>
      </c>
      <c r="O12" s="7">
        <v>46092</v>
      </c>
      <c r="P12" s="7">
        <v>46092</v>
      </c>
      <c r="R12" s="6" t="s">
        <v>186</v>
      </c>
      <c r="S12" s="6" t="s">
        <v>154</v>
      </c>
      <c r="U12" s="6" t="s">
        <v>150</v>
      </c>
      <c r="V12" s="6" t="str">
        <f>TEXT(N12,"YY/MM")</f>
        <v>26/03</v>
      </c>
      <c r="W12">
        <v>21383</v>
      </c>
      <c r="Y12" s="6" t="s">
        <v>157</v>
      </c>
      <c r="Z12" s="6" t="s">
        <v>158</v>
      </c>
      <c r="AA12">
        <v>3226</v>
      </c>
      <c r="AI12" s="23">
        <v>1</v>
      </c>
      <c r="AJ12" s="23">
        <v>1</v>
      </c>
      <c r="AK12" s="23">
        <v>0</v>
      </c>
      <c r="AL12" s="23">
        <v>0</v>
      </c>
      <c r="AM12" s="23">
        <v>1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0</v>
      </c>
      <c r="AT12" s="23">
        <v>1</v>
      </c>
      <c r="AU12" s="23">
        <v>1</v>
      </c>
      <c r="AV12" s="23">
        <v>0</v>
      </c>
      <c r="AW12" s="23">
        <v>0</v>
      </c>
      <c r="AX12" s="23">
        <v>1</v>
      </c>
      <c r="AY12" s="23">
        <v>0</v>
      </c>
      <c r="AZ12" s="23">
        <v>0</v>
      </c>
      <c r="BA12" s="23">
        <v>0</v>
      </c>
      <c r="BB12" s="23">
        <v>1</v>
      </c>
      <c r="BC12" s="23">
        <v>0</v>
      </c>
      <c r="BD12" s="23">
        <v>0</v>
      </c>
      <c r="BE12" s="23">
        <v>0</v>
      </c>
      <c r="BF12" s="23">
        <v>1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>$L12*AI12</f>
        <v>1</v>
      </c>
      <c r="BQ12" s="23">
        <f>$L12*AJ12</f>
        <v>1</v>
      </c>
      <c r="BR12" s="23">
        <f>$L12*AK12</f>
        <v>0</v>
      </c>
      <c r="BS12" s="23">
        <f>$L12*AL12</f>
        <v>0</v>
      </c>
      <c r="BT12" s="23">
        <f>$L12*AM12</f>
        <v>1</v>
      </c>
      <c r="BU12" s="23">
        <f>$L12*AN12</f>
        <v>0</v>
      </c>
      <c r="BV12" s="23">
        <f>$L12*AO12</f>
        <v>1</v>
      </c>
      <c r="BW12" s="23">
        <f>$L12*AP12</f>
        <v>0</v>
      </c>
      <c r="BX12" s="23">
        <f>$L12*AQ12</f>
        <v>0</v>
      </c>
      <c r="BY12" s="23">
        <f>$L12*AR12</f>
        <v>0</v>
      </c>
      <c r="BZ12" s="23">
        <f>$L12*AS12</f>
        <v>0</v>
      </c>
      <c r="CA12" s="23">
        <f>$L12*AT12</f>
        <v>1</v>
      </c>
      <c r="CB12" s="23">
        <f>$L12*AU12</f>
        <v>1</v>
      </c>
      <c r="CC12" s="23">
        <f>$L12*AV12</f>
        <v>0</v>
      </c>
      <c r="CD12" s="23">
        <f>$L12*AW12</f>
        <v>0</v>
      </c>
      <c r="CE12" s="23">
        <f>$L12*AX12</f>
        <v>1</v>
      </c>
      <c r="CF12" s="23">
        <f>$L12*AY12</f>
        <v>0</v>
      </c>
      <c r="CG12" s="23">
        <f>$L12*AZ12</f>
        <v>0</v>
      </c>
      <c r="CH12" s="23">
        <f>$L12*BA12</f>
        <v>0</v>
      </c>
      <c r="CI12" s="23">
        <f>$L12*BB12</f>
        <v>1</v>
      </c>
      <c r="CJ12" s="23">
        <f>$L12*BC12</f>
        <v>0</v>
      </c>
      <c r="CK12" s="23">
        <f>$L12*BD12</f>
        <v>0</v>
      </c>
      <c r="CL12" s="23">
        <f>$L12*BE12</f>
        <v>0</v>
      </c>
      <c r="CM12" s="23">
        <f>$L12*BF12</f>
        <v>1</v>
      </c>
      <c r="CN12" s="23">
        <f>$L12*BG12</f>
        <v>0</v>
      </c>
      <c r="CO12" s="23">
        <f>$L12*BH12</f>
        <v>0</v>
      </c>
      <c r="CP12" s="23">
        <f>$L12*BI12</f>
        <v>0</v>
      </c>
      <c r="CQ12" s="23">
        <f>$L12*BJ12</f>
        <v>0</v>
      </c>
      <c r="CR12" s="23">
        <f>$L12*BK12</f>
        <v>0</v>
      </c>
      <c r="CS12" s="23">
        <f>$L12*BL12</f>
        <v>0</v>
      </c>
      <c r="CT12" s="23">
        <f>$L12*BM12</f>
        <v>0</v>
      </c>
      <c r="CU12" s="23">
        <f>$L12*BN12</f>
        <v>0</v>
      </c>
      <c r="CV12" s="23">
        <f>$L12*BO12</f>
        <v>0</v>
      </c>
    </row>
    <row r="13" spans="1:100" ht="13.5" x14ac:dyDescent="0.15">
      <c r="A13" s="15">
        <v>72</v>
      </c>
      <c r="B13" s="27" t="s">
        <v>187</v>
      </c>
      <c r="C13" t="s">
        <v>177</v>
      </c>
      <c r="D13" t="s">
        <v>188</v>
      </c>
      <c r="E13" t="s">
        <v>189</v>
      </c>
      <c r="F13" t="s">
        <v>180</v>
      </c>
      <c r="G13" t="s">
        <v>190</v>
      </c>
      <c r="H13" t="s">
        <v>191</v>
      </c>
      <c r="I13" s="6" t="s">
        <v>130</v>
      </c>
      <c r="J13" s="6">
        <v>1</v>
      </c>
      <c r="K13" t="s">
        <v>148</v>
      </c>
      <c r="L13" s="15">
        <v>1</v>
      </c>
      <c r="M13" s="7">
        <v>46083</v>
      </c>
      <c r="N13" s="7">
        <v>46093</v>
      </c>
      <c r="O13" s="7">
        <v>46092</v>
      </c>
      <c r="P13" s="7">
        <v>46097</v>
      </c>
      <c r="R13" s="6" t="s">
        <v>192</v>
      </c>
      <c r="S13" s="6" t="s">
        <v>162</v>
      </c>
      <c r="U13" s="6" t="s">
        <v>150</v>
      </c>
      <c r="V13" s="6" t="str">
        <f>TEXT(N13,"YY/MM")</f>
        <v>26/03</v>
      </c>
      <c r="W13">
        <v>21384</v>
      </c>
      <c r="Y13" s="6" t="s">
        <v>163</v>
      </c>
      <c r="Z13" s="6" t="s">
        <v>152</v>
      </c>
      <c r="AG13">
        <v>3534</v>
      </c>
      <c r="AI13" s="23">
        <v>1</v>
      </c>
      <c r="AJ13" s="23">
        <v>1</v>
      </c>
      <c r="AK13" s="23">
        <v>0</v>
      </c>
      <c r="AL13" s="23">
        <v>0</v>
      </c>
      <c r="AM13" s="23">
        <v>1</v>
      </c>
      <c r="AN13" s="23">
        <v>0</v>
      </c>
      <c r="AO13" s="23">
        <v>0</v>
      </c>
      <c r="AP13" s="23">
        <v>0</v>
      </c>
      <c r="AQ13" s="23">
        <v>1</v>
      </c>
      <c r="AR13" s="23">
        <v>0</v>
      </c>
      <c r="AS13" s="23">
        <v>1</v>
      </c>
      <c r="AT13" s="23">
        <v>0</v>
      </c>
      <c r="AU13" s="23">
        <v>0</v>
      </c>
      <c r="AV13" s="23">
        <v>0</v>
      </c>
      <c r="AW13" s="23">
        <v>1</v>
      </c>
      <c r="AX13" s="23">
        <v>0</v>
      </c>
      <c r="AY13" s="23">
        <v>0</v>
      </c>
      <c r="AZ13" s="23">
        <v>0</v>
      </c>
      <c r="BA13" s="23">
        <v>1</v>
      </c>
      <c r="BB13" s="23">
        <v>0</v>
      </c>
      <c r="BC13" s="23">
        <v>0</v>
      </c>
      <c r="BD13" s="23">
        <v>0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>$L13*AI13</f>
        <v>1</v>
      </c>
      <c r="BQ13" s="23">
        <f>$L13*AJ13</f>
        <v>1</v>
      </c>
      <c r="BR13" s="23">
        <f>$L13*AK13</f>
        <v>0</v>
      </c>
      <c r="BS13" s="23">
        <f>$L13*AL13</f>
        <v>0</v>
      </c>
      <c r="BT13" s="23">
        <f>$L13*AM13</f>
        <v>1</v>
      </c>
      <c r="BU13" s="23">
        <f>$L13*AN13</f>
        <v>0</v>
      </c>
      <c r="BV13" s="23">
        <f>$L13*AO13</f>
        <v>0</v>
      </c>
      <c r="BW13" s="23">
        <f>$L13*AP13</f>
        <v>0</v>
      </c>
      <c r="BX13" s="23">
        <f>$L13*AQ13</f>
        <v>1</v>
      </c>
      <c r="BY13" s="23">
        <f>$L13*AR13</f>
        <v>0</v>
      </c>
      <c r="BZ13" s="23">
        <f>$L13*AS13</f>
        <v>1</v>
      </c>
      <c r="CA13" s="23">
        <f>$L13*AT13</f>
        <v>0</v>
      </c>
      <c r="CB13" s="23">
        <f>$L13*AU13</f>
        <v>0</v>
      </c>
      <c r="CC13" s="23">
        <f>$L13*AV13</f>
        <v>0</v>
      </c>
      <c r="CD13" s="23">
        <f>$L13*AW13</f>
        <v>1</v>
      </c>
      <c r="CE13" s="23">
        <f>$L13*AX13</f>
        <v>0</v>
      </c>
      <c r="CF13" s="23">
        <f>$L13*AY13</f>
        <v>0</v>
      </c>
      <c r="CG13" s="23">
        <f>$L13*AZ13</f>
        <v>0</v>
      </c>
      <c r="CH13" s="23">
        <f>$L13*BA13</f>
        <v>1</v>
      </c>
      <c r="CI13" s="23">
        <f>$L13*BB13</f>
        <v>0</v>
      </c>
      <c r="CJ13" s="23">
        <f>$L13*BC13</f>
        <v>0</v>
      </c>
      <c r="CK13" s="23">
        <f>$L13*BD13</f>
        <v>0</v>
      </c>
      <c r="CL13" s="23">
        <f>$L13*BE13</f>
        <v>1</v>
      </c>
      <c r="CM13" s="23">
        <f>$L13*BF13</f>
        <v>1</v>
      </c>
      <c r="CN13" s="23">
        <f>$L13*BG13</f>
        <v>0</v>
      </c>
      <c r="CO13" s="23">
        <f>$L13*BH13</f>
        <v>0</v>
      </c>
      <c r="CP13" s="23">
        <f>$L13*BI13</f>
        <v>0</v>
      </c>
      <c r="CQ13" s="23">
        <f>$L13*BJ13</f>
        <v>0</v>
      </c>
      <c r="CR13" s="23">
        <f>$L13*BK13</f>
        <v>0</v>
      </c>
      <c r="CS13" s="23">
        <f>$L13*BL13</f>
        <v>0</v>
      </c>
      <c r="CT13" s="23">
        <f>$L13*BM13</f>
        <v>0</v>
      </c>
      <c r="CU13" s="23">
        <f>$L13*BN13</f>
        <v>0</v>
      </c>
      <c r="CV13" s="23">
        <f>$L13*BO13</f>
        <v>0</v>
      </c>
    </row>
    <row r="14" spans="1:100" ht="13.5" x14ac:dyDescent="0.15">
      <c r="A14" s="15">
        <v>74</v>
      </c>
      <c r="B14" s="27" t="s">
        <v>193</v>
      </c>
      <c r="C14" t="s">
        <v>177</v>
      </c>
      <c r="D14" t="s">
        <v>194</v>
      </c>
      <c r="F14" t="s">
        <v>180</v>
      </c>
      <c r="G14" t="s">
        <v>181</v>
      </c>
      <c r="H14" t="s">
        <v>182</v>
      </c>
      <c r="I14" s="6" t="s">
        <v>130</v>
      </c>
      <c r="J14" s="6">
        <v>1</v>
      </c>
      <c r="K14" t="s">
        <v>183</v>
      </c>
      <c r="L14" s="15">
        <v>1</v>
      </c>
      <c r="M14" s="7">
        <v>46085</v>
      </c>
      <c r="N14" s="7">
        <v>46097</v>
      </c>
      <c r="O14" s="7">
        <v>46094</v>
      </c>
      <c r="P14" s="7">
        <v>46099</v>
      </c>
      <c r="R14" s="6" t="s">
        <v>195</v>
      </c>
      <c r="S14" s="6" t="s">
        <v>162</v>
      </c>
      <c r="U14" s="6" t="s">
        <v>150</v>
      </c>
      <c r="V14" s="6" t="str">
        <f>TEXT(N14,"YY/MM")</f>
        <v>26/03</v>
      </c>
      <c r="W14">
        <v>21385</v>
      </c>
      <c r="Y14" s="6" t="s">
        <v>163</v>
      </c>
      <c r="Z14" s="6" t="s">
        <v>152</v>
      </c>
      <c r="AG14">
        <v>3535</v>
      </c>
      <c r="AI14" s="23">
        <v>1</v>
      </c>
      <c r="AJ14" s="23">
        <v>1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0</v>
      </c>
      <c r="AQ14" s="23">
        <v>1</v>
      </c>
      <c r="AR14" s="23">
        <v>0</v>
      </c>
      <c r="AS14" s="23">
        <v>1</v>
      </c>
      <c r="AT14" s="23">
        <v>0</v>
      </c>
      <c r="AU14" s="23">
        <v>0</v>
      </c>
      <c r="AV14" s="23">
        <v>0</v>
      </c>
      <c r="AW14" s="23">
        <v>1</v>
      </c>
      <c r="AX14" s="23">
        <v>0</v>
      </c>
      <c r="AY14" s="23">
        <v>0</v>
      </c>
      <c r="AZ14" s="23">
        <v>0</v>
      </c>
      <c r="BA14" s="23">
        <v>1</v>
      </c>
      <c r="BB14" s="23">
        <v>0</v>
      </c>
      <c r="BC14" s="23">
        <v>0</v>
      </c>
      <c r="BD14" s="23">
        <v>0</v>
      </c>
      <c r="BE14" s="23">
        <v>1</v>
      </c>
      <c r="BF14" s="23">
        <v>1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>$L14*AI14</f>
        <v>1</v>
      </c>
      <c r="BQ14" s="23">
        <f>$L14*AJ14</f>
        <v>1</v>
      </c>
      <c r="BR14" s="23">
        <f>$L14*AK14</f>
        <v>0</v>
      </c>
      <c r="BS14" s="23">
        <f>$L14*AL14</f>
        <v>0</v>
      </c>
      <c r="BT14" s="23">
        <f>$L14*AM14</f>
        <v>1</v>
      </c>
      <c r="BU14" s="23">
        <f>$L14*AN14</f>
        <v>0</v>
      </c>
      <c r="BV14" s="23">
        <f>$L14*AO14</f>
        <v>0</v>
      </c>
      <c r="BW14" s="23">
        <f>$L14*AP14</f>
        <v>0</v>
      </c>
      <c r="BX14" s="23">
        <f>$L14*AQ14</f>
        <v>1</v>
      </c>
      <c r="BY14" s="23">
        <f>$L14*AR14</f>
        <v>0</v>
      </c>
      <c r="BZ14" s="23">
        <f>$L14*AS14</f>
        <v>1</v>
      </c>
      <c r="CA14" s="23">
        <f>$L14*AT14</f>
        <v>0</v>
      </c>
      <c r="CB14" s="23">
        <f>$L14*AU14</f>
        <v>0</v>
      </c>
      <c r="CC14" s="23">
        <f>$L14*AV14</f>
        <v>0</v>
      </c>
      <c r="CD14" s="23">
        <f>$L14*AW14</f>
        <v>1</v>
      </c>
      <c r="CE14" s="23">
        <f>$L14*AX14</f>
        <v>0</v>
      </c>
      <c r="CF14" s="23">
        <f>$L14*AY14</f>
        <v>0</v>
      </c>
      <c r="CG14" s="23">
        <f>$L14*AZ14</f>
        <v>0</v>
      </c>
      <c r="CH14" s="23">
        <f>$L14*BA14</f>
        <v>1</v>
      </c>
      <c r="CI14" s="23">
        <f>$L14*BB14</f>
        <v>0</v>
      </c>
      <c r="CJ14" s="23">
        <f>$L14*BC14</f>
        <v>0</v>
      </c>
      <c r="CK14" s="23">
        <f>$L14*BD14</f>
        <v>0</v>
      </c>
      <c r="CL14" s="23">
        <f>$L14*BE14</f>
        <v>1</v>
      </c>
      <c r="CM14" s="23">
        <f>$L14*BF14</f>
        <v>1</v>
      </c>
      <c r="CN14" s="23">
        <f>$L14*BG14</f>
        <v>0</v>
      </c>
      <c r="CO14" s="23">
        <f>$L14*BH14</f>
        <v>0</v>
      </c>
      <c r="CP14" s="23">
        <f>$L14*BI14</f>
        <v>0</v>
      </c>
      <c r="CQ14" s="23">
        <f>$L14*BJ14</f>
        <v>0</v>
      </c>
      <c r="CR14" s="23">
        <f>$L14*BK14</f>
        <v>0</v>
      </c>
      <c r="CS14" s="23">
        <f>$L14*BL14</f>
        <v>0</v>
      </c>
      <c r="CT14" s="23">
        <f>$L14*BM14</f>
        <v>0</v>
      </c>
      <c r="CU14" s="23">
        <f>$L14*BN14</f>
        <v>0</v>
      </c>
      <c r="CV14" s="23">
        <f>$L14*BO14</f>
        <v>0</v>
      </c>
    </row>
    <row r="15" spans="1:100" ht="13.5" x14ac:dyDescent="0.15">
      <c r="A15" s="15">
        <v>73</v>
      </c>
      <c r="B15" s="27" t="s">
        <v>196</v>
      </c>
      <c r="C15" t="s">
        <v>197</v>
      </c>
      <c r="D15" t="s">
        <v>198</v>
      </c>
      <c r="F15" t="s">
        <v>155</v>
      </c>
      <c r="G15" t="s">
        <v>199</v>
      </c>
      <c r="H15" t="s">
        <v>200</v>
      </c>
      <c r="I15" s="6" t="s">
        <v>136</v>
      </c>
      <c r="J15" s="6">
        <v>0</v>
      </c>
      <c r="K15" t="s">
        <v>201</v>
      </c>
      <c r="L15" s="15">
        <v>1</v>
      </c>
      <c r="M15" s="7">
        <v>46087</v>
      </c>
      <c r="N15" s="7">
        <v>46099</v>
      </c>
      <c r="O15" s="7">
        <v>46098</v>
      </c>
      <c r="P15" s="7">
        <v>46098</v>
      </c>
      <c r="R15" s="6" t="s">
        <v>202</v>
      </c>
      <c r="S15" s="6" t="s">
        <v>199</v>
      </c>
      <c r="U15" s="6" t="s">
        <v>150</v>
      </c>
      <c r="V15" s="6" t="str">
        <f>TEXT(N15,"YY/MM")</f>
        <v>26/03</v>
      </c>
      <c r="W15">
        <v>21386</v>
      </c>
      <c r="Y15" s="6" t="s">
        <v>203</v>
      </c>
      <c r="Z15" s="6" t="s">
        <v>152</v>
      </c>
      <c r="AE15">
        <v>1257</v>
      </c>
      <c r="AI15" s="23">
        <v>1</v>
      </c>
      <c r="AJ15" s="23">
        <v>1</v>
      </c>
      <c r="AK15" s="23">
        <v>0</v>
      </c>
      <c r="AL15" s="23">
        <v>0</v>
      </c>
      <c r="AM15" s="23">
        <v>1</v>
      </c>
      <c r="AN15" s="23">
        <v>0</v>
      </c>
      <c r="AO15" s="23">
        <v>0</v>
      </c>
      <c r="AP15" s="23">
        <v>1</v>
      </c>
      <c r="AQ15" s="23">
        <v>0</v>
      </c>
      <c r="AR15" s="23">
        <v>0</v>
      </c>
      <c r="AS15" s="23">
        <v>1</v>
      </c>
      <c r="AT15" s="23">
        <v>0</v>
      </c>
      <c r="AU15" s="23">
        <v>1</v>
      </c>
      <c r="AV15" s="23">
        <v>0</v>
      </c>
      <c r="AW15" s="23">
        <v>0</v>
      </c>
      <c r="AX15" s="23">
        <v>1</v>
      </c>
      <c r="AY15" s="23">
        <v>0</v>
      </c>
      <c r="AZ15" s="23">
        <v>0</v>
      </c>
      <c r="BA15" s="23">
        <v>0</v>
      </c>
      <c r="BB15" s="23">
        <v>1</v>
      </c>
      <c r="BC15" s="23">
        <v>0</v>
      </c>
      <c r="BD15" s="23">
        <v>0</v>
      </c>
      <c r="BE15" s="23">
        <v>0</v>
      </c>
      <c r="BF15" s="23">
        <v>1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>$L15*AI15</f>
        <v>1</v>
      </c>
      <c r="BQ15" s="23">
        <f>$L15*AJ15</f>
        <v>1</v>
      </c>
      <c r="BR15" s="23">
        <f>$L15*AK15</f>
        <v>0</v>
      </c>
      <c r="BS15" s="23">
        <f>$L15*AL15</f>
        <v>0</v>
      </c>
      <c r="BT15" s="23">
        <f>$L15*AM15</f>
        <v>1</v>
      </c>
      <c r="BU15" s="23">
        <f>$L15*AN15</f>
        <v>0</v>
      </c>
      <c r="BV15" s="23">
        <f>$L15*AO15</f>
        <v>0</v>
      </c>
      <c r="BW15" s="23">
        <f>$L15*AP15</f>
        <v>1</v>
      </c>
      <c r="BX15" s="23">
        <f>$L15*AQ15</f>
        <v>0</v>
      </c>
      <c r="BY15" s="23">
        <f>$L15*AR15</f>
        <v>0</v>
      </c>
      <c r="BZ15" s="23">
        <f>$L15*AS15</f>
        <v>1</v>
      </c>
      <c r="CA15" s="23">
        <f>$L15*AT15</f>
        <v>0</v>
      </c>
      <c r="CB15" s="23">
        <f>$L15*AU15</f>
        <v>1</v>
      </c>
      <c r="CC15" s="23">
        <f>$L15*AV15</f>
        <v>0</v>
      </c>
      <c r="CD15" s="23">
        <f>$L15*AW15</f>
        <v>0</v>
      </c>
      <c r="CE15" s="23">
        <f>$L15*AX15</f>
        <v>1</v>
      </c>
      <c r="CF15" s="23">
        <f>$L15*AY15</f>
        <v>0</v>
      </c>
      <c r="CG15" s="23">
        <f>$L15*AZ15</f>
        <v>0</v>
      </c>
      <c r="CH15" s="23">
        <f>$L15*BA15</f>
        <v>0</v>
      </c>
      <c r="CI15" s="23">
        <f>$L15*BB15</f>
        <v>1</v>
      </c>
      <c r="CJ15" s="23">
        <f>$L15*BC15</f>
        <v>0</v>
      </c>
      <c r="CK15" s="23">
        <f>$L15*BD15</f>
        <v>0</v>
      </c>
      <c r="CL15" s="23">
        <f>$L15*BE15</f>
        <v>0</v>
      </c>
      <c r="CM15" s="23">
        <f>$L15*BF15</f>
        <v>1</v>
      </c>
      <c r="CN15" s="23">
        <f>$L15*BG15</f>
        <v>0</v>
      </c>
      <c r="CO15" s="23">
        <f>$L15*BH15</f>
        <v>0</v>
      </c>
      <c r="CP15" s="23">
        <f>$L15*BI15</f>
        <v>0</v>
      </c>
      <c r="CQ15" s="23">
        <f>$L15*BJ15</f>
        <v>0</v>
      </c>
      <c r="CR15" s="23">
        <f>$L15*BK15</f>
        <v>0</v>
      </c>
      <c r="CS15" s="23">
        <f>$L15*BL15</f>
        <v>0</v>
      </c>
      <c r="CT15" s="23">
        <f>$L15*BM15</f>
        <v>0</v>
      </c>
      <c r="CU15" s="23">
        <f>$L15*BN15</f>
        <v>0</v>
      </c>
      <c r="CV15" s="23">
        <f>$L15*BO15</f>
        <v>0</v>
      </c>
    </row>
    <row r="16" spans="1:100" ht="13.5" x14ac:dyDescent="0.15">
      <c r="A16" s="15">
        <v>78</v>
      </c>
      <c r="B16" s="27" t="s">
        <v>204</v>
      </c>
      <c r="C16" t="s">
        <v>177</v>
      </c>
      <c r="D16" t="s">
        <v>205</v>
      </c>
      <c r="E16" t="s">
        <v>189</v>
      </c>
      <c r="F16" t="s">
        <v>180</v>
      </c>
      <c r="G16" t="s">
        <v>206</v>
      </c>
      <c r="H16" t="s">
        <v>207</v>
      </c>
      <c r="I16" s="6" t="s">
        <v>130</v>
      </c>
      <c r="J16" s="6">
        <v>1</v>
      </c>
      <c r="K16" t="s">
        <v>208</v>
      </c>
      <c r="L16" s="15">
        <v>1</v>
      </c>
      <c r="M16" s="7">
        <v>46087</v>
      </c>
      <c r="N16" s="7">
        <v>46099</v>
      </c>
      <c r="O16" s="7">
        <v>46098</v>
      </c>
      <c r="P16" s="7">
        <v>46104</v>
      </c>
      <c r="R16" s="6" t="s">
        <v>209</v>
      </c>
      <c r="S16" s="6" t="s">
        <v>162</v>
      </c>
      <c r="U16" s="6" t="s">
        <v>150</v>
      </c>
      <c r="V16" s="6" t="str">
        <f>TEXT(N16,"YY/MM")</f>
        <v>26/03</v>
      </c>
      <c r="W16">
        <v>21387</v>
      </c>
      <c r="Y16" s="6" t="s">
        <v>163</v>
      </c>
      <c r="Z16" s="6" t="s">
        <v>152</v>
      </c>
      <c r="AG16">
        <v>3536</v>
      </c>
      <c r="AI16" s="23">
        <v>1</v>
      </c>
      <c r="AJ16" s="23">
        <v>1</v>
      </c>
      <c r="AK16" s="23">
        <v>0</v>
      </c>
      <c r="AL16" s="23">
        <v>0</v>
      </c>
      <c r="AM16" s="23">
        <v>1</v>
      </c>
      <c r="AN16" s="23">
        <v>0</v>
      </c>
      <c r="AO16" s="23">
        <v>0</v>
      </c>
      <c r="AP16" s="23">
        <v>0</v>
      </c>
      <c r="AQ16" s="23">
        <v>1</v>
      </c>
      <c r="AR16" s="23">
        <v>0</v>
      </c>
      <c r="AS16" s="23">
        <v>1</v>
      </c>
      <c r="AT16" s="23">
        <v>0</v>
      </c>
      <c r="AU16" s="23">
        <v>0</v>
      </c>
      <c r="AV16" s="23">
        <v>0</v>
      </c>
      <c r="AW16" s="23">
        <v>1</v>
      </c>
      <c r="AX16" s="23">
        <v>0</v>
      </c>
      <c r="AY16" s="23">
        <v>0</v>
      </c>
      <c r="AZ16" s="23">
        <v>0</v>
      </c>
      <c r="BA16" s="23">
        <v>1</v>
      </c>
      <c r="BB16" s="23">
        <v>0</v>
      </c>
      <c r="BC16" s="23">
        <v>0</v>
      </c>
      <c r="BD16" s="23">
        <v>0</v>
      </c>
      <c r="BE16" s="23">
        <v>1</v>
      </c>
      <c r="BF16" s="23">
        <v>1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>$L16*AI16</f>
        <v>1</v>
      </c>
      <c r="BQ16" s="23">
        <f>$L16*AJ16</f>
        <v>1</v>
      </c>
      <c r="BR16" s="23">
        <f>$L16*AK16</f>
        <v>0</v>
      </c>
      <c r="BS16" s="23">
        <f>$L16*AL16</f>
        <v>0</v>
      </c>
      <c r="BT16" s="23">
        <f>$L16*AM16</f>
        <v>1</v>
      </c>
      <c r="BU16" s="23">
        <f>$L16*AN16</f>
        <v>0</v>
      </c>
      <c r="BV16" s="23">
        <f>$L16*AO16</f>
        <v>0</v>
      </c>
      <c r="BW16" s="23">
        <f>$L16*AP16</f>
        <v>0</v>
      </c>
      <c r="BX16" s="23">
        <f>$L16*AQ16</f>
        <v>1</v>
      </c>
      <c r="BY16" s="23">
        <f>$L16*AR16</f>
        <v>0</v>
      </c>
      <c r="BZ16" s="23">
        <f>$L16*AS16</f>
        <v>1</v>
      </c>
      <c r="CA16" s="23">
        <f>$L16*AT16</f>
        <v>0</v>
      </c>
      <c r="CB16" s="23">
        <f>$L16*AU16</f>
        <v>0</v>
      </c>
      <c r="CC16" s="23">
        <f>$L16*AV16</f>
        <v>0</v>
      </c>
      <c r="CD16" s="23">
        <f>$L16*AW16</f>
        <v>1</v>
      </c>
      <c r="CE16" s="23">
        <f>$L16*AX16</f>
        <v>0</v>
      </c>
      <c r="CF16" s="23">
        <f>$L16*AY16</f>
        <v>0</v>
      </c>
      <c r="CG16" s="23">
        <f>$L16*AZ16</f>
        <v>0</v>
      </c>
      <c r="CH16" s="23">
        <f>$L16*BA16</f>
        <v>1</v>
      </c>
      <c r="CI16" s="23">
        <f>$L16*BB16</f>
        <v>0</v>
      </c>
      <c r="CJ16" s="23">
        <f>$L16*BC16</f>
        <v>0</v>
      </c>
      <c r="CK16" s="23">
        <f>$L16*BD16</f>
        <v>0</v>
      </c>
      <c r="CL16" s="23">
        <f>$L16*BE16</f>
        <v>1</v>
      </c>
      <c r="CM16" s="23">
        <f>$L16*BF16</f>
        <v>1</v>
      </c>
      <c r="CN16" s="23">
        <f>$L16*BG16</f>
        <v>0</v>
      </c>
      <c r="CO16" s="23">
        <f>$L16*BH16</f>
        <v>0</v>
      </c>
      <c r="CP16" s="23">
        <f>$L16*BI16</f>
        <v>0</v>
      </c>
      <c r="CQ16" s="23">
        <f>$L16*BJ16</f>
        <v>0</v>
      </c>
      <c r="CR16" s="23">
        <f>$L16*BK16</f>
        <v>0</v>
      </c>
      <c r="CS16" s="23">
        <f>$L16*BL16</f>
        <v>0</v>
      </c>
      <c r="CT16" s="23">
        <f>$L16*BM16</f>
        <v>0</v>
      </c>
      <c r="CU16" s="23">
        <f>$L16*BN16</f>
        <v>0</v>
      </c>
      <c r="CV16" s="23">
        <f>$L16*BO16</f>
        <v>0</v>
      </c>
    </row>
    <row r="17" spans="1:100" ht="13.5" x14ac:dyDescent="0.15">
      <c r="A17" s="15">
        <v>75</v>
      </c>
      <c r="B17" s="27" t="s">
        <v>210</v>
      </c>
      <c r="C17" t="s">
        <v>197</v>
      </c>
      <c r="D17" t="s">
        <v>211</v>
      </c>
      <c r="E17" t="s">
        <v>212</v>
      </c>
      <c r="F17" t="s">
        <v>155</v>
      </c>
      <c r="G17" t="s">
        <v>199</v>
      </c>
      <c r="H17" t="s">
        <v>200</v>
      </c>
      <c r="I17" s="6" t="s">
        <v>136</v>
      </c>
      <c r="J17" s="6">
        <v>0</v>
      </c>
      <c r="K17" t="s">
        <v>201</v>
      </c>
      <c r="L17" s="15">
        <v>1</v>
      </c>
      <c r="M17" s="7">
        <v>46090</v>
      </c>
      <c r="N17" s="7">
        <v>46100</v>
      </c>
      <c r="O17" s="7">
        <v>46099</v>
      </c>
      <c r="P17" s="7">
        <v>46099</v>
      </c>
      <c r="S17" s="6" t="s">
        <v>199</v>
      </c>
      <c r="U17" s="6" t="s">
        <v>150</v>
      </c>
      <c r="V17" s="6" t="str">
        <f>TEXT(N17,"YY/MM")</f>
        <v>26/03</v>
      </c>
      <c r="W17">
        <v>21388</v>
      </c>
      <c r="Y17" s="6" t="s">
        <v>203</v>
      </c>
      <c r="Z17" s="6" t="s">
        <v>152</v>
      </c>
      <c r="AE17">
        <v>1258</v>
      </c>
      <c r="AI17" s="23">
        <v>1</v>
      </c>
      <c r="AJ17" s="23">
        <v>1</v>
      </c>
      <c r="AK17" s="23">
        <v>0</v>
      </c>
      <c r="AL17" s="23">
        <v>0</v>
      </c>
      <c r="AM17" s="23">
        <v>1</v>
      </c>
      <c r="AN17" s="23">
        <v>0</v>
      </c>
      <c r="AO17" s="23">
        <v>0</v>
      </c>
      <c r="AP17" s="23">
        <v>1</v>
      </c>
      <c r="AQ17" s="23">
        <v>0</v>
      </c>
      <c r="AR17" s="23">
        <v>0</v>
      </c>
      <c r="AS17" s="23">
        <v>1</v>
      </c>
      <c r="AT17" s="23">
        <v>0</v>
      </c>
      <c r="AU17" s="23">
        <v>1</v>
      </c>
      <c r="AV17" s="23">
        <v>0</v>
      </c>
      <c r="AW17" s="23">
        <v>0</v>
      </c>
      <c r="AX17" s="23">
        <v>1</v>
      </c>
      <c r="AY17" s="23">
        <v>0</v>
      </c>
      <c r="AZ17" s="23">
        <v>0</v>
      </c>
      <c r="BA17" s="23">
        <v>0</v>
      </c>
      <c r="BB17" s="23">
        <v>1</v>
      </c>
      <c r="BC17" s="23">
        <v>0</v>
      </c>
      <c r="BD17" s="23">
        <v>0</v>
      </c>
      <c r="BE17" s="23">
        <v>0</v>
      </c>
      <c r="BF17" s="23">
        <v>1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>$L17*AI17</f>
        <v>1</v>
      </c>
      <c r="BQ17" s="23">
        <f>$L17*AJ17</f>
        <v>1</v>
      </c>
      <c r="BR17" s="23">
        <f>$L17*AK17</f>
        <v>0</v>
      </c>
      <c r="BS17" s="23">
        <f>$L17*AL17</f>
        <v>0</v>
      </c>
      <c r="BT17" s="23">
        <f>$L17*AM17</f>
        <v>1</v>
      </c>
      <c r="BU17" s="23">
        <f>$L17*AN17</f>
        <v>0</v>
      </c>
      <c r="BV17" s="23">
        <f>$L17*AO17</f>
        <v>0</v>
      </c>
      <c r="BW17" s="23">
        <f>$L17*AP17</f>
        <v>1</v>
      </c>
      <c r="BX17" s="23">
        <f>$L17*AQ17</f>
        <v>0</v>
      </c>
      <c r="BY17" s="23">
        <f>$L17*AR17</f>
        <v>0</v>
      </c>
      <c r="BZ17" s="23">
        <f>$L17*AS17</f>
        <v>1</v>
      </c>
      <c r="CA17" s="23">
        <f>$L17*AT17</f>
        <v>0</v>
      </c>
      <c r="CB17" s="23">
        <f>$L17*AU17</f>
        <v>1</v>
      </c>
      <c r="CC17" s="23">
        <f>$L17*AV17</f>
        <v>0</v>
      </c>
      <c r="CD17" s="23">
        <f>$L17*AW17</f>
        <v>0</v>
      </c>
      <c r="CE17" s="23">
        <f>$L17*AX17</f>
        <v>1</v>
      </c>
      <c r="CF17" s="23">
        <f>$L17*AY17</f>
        <v>0</v>
      </c>
      <c r="CG17" s="23">
        <f>$L17*AZ17</f>
        <v>0</v>
      </c>
      <c r="CH17" s="23">
        <f>$L17*BA17</f>
        <v>0</v>
      </c>
      <c r="CI17" s="23">
        <f>$L17*BB17</f>
        <v>1</v>
      </c>
      <c r="CJ17" s="23">
        <f>$L17*BC17</f>
        <v>0</v>
      </c>
      <c r="CK17" s="23">
        <f>$L17*BD17</f>
        <v>0</v>
      </c>
      <c r="CL17" s="23">
        <f>$L17*BE17</f>
        <v>0</v>
      </c>
      <c r="CM17" s="23">
        <f>$L17*BF17</f>
        <v>1</v>
      </c>
      <c r="CN17" s="23">
        <f>$L17*BG17</f>
        <v>0</v>
      </c>
      <c r="CO17" s="23">
        <f>$L17*BH17</f>
        <v>0</v>
      </c>
      <c r="CP17" s="23">
        <f>$L17*BI17</f>
        <v>0</v>
      </c>
      <c r="CQ17" s="23">
        <f>$L17*BJ17</f>
        <v>0</v>
      </c>
      <c r="CR17" s="23">
        <f>$L17*BK17</f>
        <v>0</v>
      </c>
      <c r="CS17" s="23">
        <f>$L17*BL17</f>
        <v>0</v>
      </c>
      <c r="CT17" s="23">
        <f>$L17*BM17</f>
        <v>0</v>
      </c>
      <c r="CU17" s="23">
        <f>$L17*BN17</f>
        <v>0</v>
      </c>
      <c r="CV17" s="23">
        <f>$L17*BO17</f>
        <v>0</v>
      </c>
    </row>
    <row r="18" spans="1:100" ht="13.5" x14ac:dyDescent="0.15">
      <c r="A18" s="15">
        <v>76</v>
      </c>
      <c r="B18" s="27" t="s">
        <v>213</v>
      </c>
      <c r="C18" t="s">
        <v>197</v>
      </c>
      <c r="D18" t="s">
        <v>211</v>
      </c>
      <c r="E18" t="s">
        <v>214</v>
      </c>
      <c r="F18" t="s">
        <v>155</v>
      </c>
      <c r="G18" t="s">
        <v>199</v>
      </c>
      <c r="H18" t="s">
        <v>200</v>
      </c>
      <c r="I18" s="6" t="s">
        <v>136</v>
      </c>
      <c r="J18" s="6">
        <v>0</v>
      </c>
      <c r="K18" t="s">
        <v>201</v>
      </c>
      <c r="L18" s="15">
        <v>1</v>
      </c>
      <c r="M18" s="7">
        <v>46091</v>
      </c>
      <c r="N18" s="7">
        <v>46104</v>
      </c>
      <c r="O18" s="7">
        <v>46100</v>
      </c>
      <c r="P18" s="7">
        <v>46100</v>
      </c>
      <c r="S18" s="6" t="s">
        <v>199</v>
      </c>
      <c r="U18" s="6" t="s">
        <v>150</v>
      </c>
      <c r="V18" s="6" t="str">
        <f>TEXT(N18,"YY/MM")</f>
        <v>26/03</v>
      </c>
      <c r="W18">
        <v>21389</v>
      </c>
      <c r="Y18" s="6" t="s">
        <v>203</v>
      </c>
      <c r="Z18" s="6" t="s">
        <v>152</v>
      </c>
      <c r="AE18">
        <v>1259</v>
      </c>
      <c r="AI18" s="23">
        <v>1</v>
      </c>
      <c r="AJ18" s="23">
        <v>1</v>
      </c>
      <c r="AK18" s="23">
        <v>0</v>
      </c>
      <c r="AL18" s="23">
        <v>0</v>
      </c>
      <c r="AM18" s="23">
        <v>1</v>
      </c>
      <c r="AN18" s="23">
        <v>0</v>
      </c>
      <c r="AO18" s="23">
        <v>0</v>
      </c>
      <c r="AP18" s="23">
        <v>1</v>
      </c>
      <c r="AQ18" s="23">
        <v>0</v>
      </c>
      <c r="AR18" s="23">
        <v>0</v>
      </c>
      <c r="AS18" s="23">
        <v>1</v>
      </c>
      <c r="AT18" s="23">
        <v>0</v>
      </c>
      <c r="AU18" s="23">
        <v>1</v>
      </c>
      <c r="AV18" s="23">
        <v>0</v>
      </c>
      <c r="AW18" s="23">
        <v>0</v>
      </c>
      <c r="AX18" s="23">
        <v>1</v>
      </c>
      <c r="AY18" s="23">
        <v>0</v>
      </c>
      <c r="AZ18" s="23">
        <v>0</v>
      </c>
      <c r="BA18" s="23">
        <v>0</v>
      </c>
      <c r="BB18" s="23">
        <v>1</v>
      </c>
      <c r="BC18" s="23">
        <v>0</v>
      </c>
      <c r="BD18" s="23">
        <v>0</v>
      </c>
      <c r="BE18" s="23">
        <v>0</v>
      </c>
      <c r="BF18" s="23">
        <v>1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>$L18*AI18</f>
        <v>1</v>
      </c>
      <c r="BQ18" s="23">
        <f>$L18*AJ18</f>
        <v>1</v>
      </c>
      <c r="BR18" s="23">
        <f>$L18*AK18</f>
        <v>0</v>
      </c>
      <c r="BS18" s="23">
        <f>$L18*AL18</f>
        <v>0</v>
      </c>
      <c r="BT18" s="23">
        <f>$L18*AM18</f>
        <v>1</v>
      </c>
      <c r="BU18" s="23">
        <f>$L18*AN18</f>
        <v>0</v>
      </c>
      <c r="BV18" s="23">
        <f>$L18*AO18</f>
        <v>0</v>
      </c>
      <c r="BW18" s="23">
        <f>$L18*AP18</f>
        <v>1</v>
      </c>
      <c r="BX18" s="23">
        <f>$L18*AQ18</f>
        <v>0</v>
      </c>
      <c r="BY18" s="23">
        <f>$L18*AR18</f>
        <v>0</v>
      </c>
      <c r="BZ18" s="23">
        <f>$L18*AS18</f>
        <v>1</v>
      </c>
      <c r="CA18" s="23">
        <f>$L18*AT18</f>
        <v>0</v>
      </c>
      <c r="CB18" s="23">
        <f>$L18*AU18</f>
        <v>1</v>
      </c>
      <c r="CC18" s="23">
        <f>$L18*AV18</f>
        <v>0</v>
      </c>
      <c r="CD18" s="23">
        <f>$L18*AW18</f>
        <v>0</v>
      </c>
      <c r="CE18" s="23">
        <f>$L18*AX18</f>
        <v>1</v>
      </c>
      <c r="CF18" s="23">
        <f>$L18*AY18</f>
        <v>0</v>
      </c>
      <c r="CG18" s="23">
        <f>$L18*AZ18</f>
        <v>0</v>
      </c>
      <c r="CH18" s="23">
        <f>$L18*BA18</f>
        <v>0</v>
      </c>
      <c r="CI18" s="23">
        <f>$L18*BB18</f>
        <v>1</v>
      </c>
      <c r="CJ18" s="23">
        <f>$L18*BC18</f>
        <v>0</v>
      </c>
      <c r="CK18" s="23">
        <f>$L18*BD18</f>
        <v>0</v>
      </c>
      <c r="CL18" s="23">
        <f>$L18*BE18</f>
        <v>0</v>
      </c>
      <c r="CM18" s="23">
        <f>$L18*BF18</f>
        <v>1</v>
      </c>
      <c r="CN18" s="23">
        <f>$L18*BG18</f>
        <v>0</v>
      </c>
      <c r="CO18" s="23">
        <f>$L18*BH18</f>
        <v>0</v>
      </c>
      <c r="CP18" s="23">
        <f>$L18*BI18</f>
        <v>0</v>
      </c>
      <c r="CQ18" s="23">
        <f>$L18*BJ18</f>
        <v>0</v>
      </c>
      <c r="CR18" s="23">
        <f>$L18*BK18</f>
        <v>0</v>
      </c>
      <c r="CS18" s="23">
        <f>$L18*BL18</f>
        <v>0</v>
      </c>
      <c r="CT18" s="23">
        <f>$L18*BM18</f>
        <v>0</v>
      </c>
      <c r="CU18" s="23">
        <f>$L18*BN18</f>
        <v>0</v>
      </c>
      <c r="CV18" s="23">
        <f>$L18*BO18</f>
        <v>0</v>
      </c>
    </row>
    <row r="19" spans="1:100" ht="13.5" x14ac:dyDescent="0.15">
      <c r="A19" s="15">
        <v>79</v>
      </c>
      <c r="B19" s="27" t="s">
        <v>215</v>
      </c>
      <c r="C19" t="s">
        <v>197</v>
      </c>
      <c r="D19" t="s">
        <v>216</v>
      </c>
      <c r="F19" t="s">
        <v>155</v>
      </c>
      <c r="G19" t="s">
        <v>199</v>
      </c>
      <c r="H19" t="s">
        <v>200</v>
      </c>
      <c r="I19" s="6" t="s">
        <v>136</v>
      </c>
      <c r="J19" s="6">
        <v>0</v>
      </c>
      <c r="K19" t="s">
        <v>201</v>
      </c>
      <c r="L19" s="15">
        <v>1</v>
      </c>
      <c r="M19" s="7">
        <v>46092</v>
      </c>
      <c r="N19" s="7">
        <v>46105</v>
      </c>
      <c r="O19" s="7">
        <v>46104</v>
      </c>
      <c r="P19" s="7">
        <v>46104</v>
      </c>
      <c r="S19" s="6" t="s">
        <v>199</v>
      </c>
      <c r="U19" s="6" t="s">
        <v>150</v>
      </c>
      <c r="V19" s="6" t="str">
        <f>TEXT(N19,"YY/MM")</f>
        <v>26/03</v>
      </c>
      <c r="W19">
        <v>21390</v>
      </c>
      <c r="Y19" s="6" t="s">
        <v>203</v>
      </c>
      <c r="Z19" s="6" t="s">
        <v>152</v>
      </c>
      <c r="AE19">
        <v>1260</v>
      </c>
      <c r="AI19" s="23">
        <v>1</v>
      </c>
      <c r="AJ19" s="23">
        <v>1</v>
      </c>
      <c r="AK19" s="23">
        <v>0</v>
      </c>
      <c r="AL19" s="23">
        <v>0</v>
      </c>
      <c r="AM19" s="23">
        <v>1</v>
      </c>
      <c r="AN19" s="23">
        <v>0</v>
      </c>
      <c r="AO19" s="23">
        <v>0</v>
      </c>
      <c r="AP19" s="23">
        <v>1</v>
      </c>
      <c r="AQ19" s="23">
        <v>0</v>
      </c>
      <c r="AR19" s="23">
        <v>0</v>
      </c>
      <c r="AS19" s="23">
        <v>1</v>
      </c>
      <c r="AT19" s="23">
        <v>0</v>
      </c>
      <c r="AU19" s="23">
        <v>1</v>
      </c>
      <c r="AV19" s="23">
        <v>0</v>
      </c>
      <c r="AW19" s="23">
        <v>0</v>
      </c>
      <c r="AX19" s="23">
        <v>1</v>
      </c>
      <c r="AY19" s="23">
        <v>0</v>
      </c>
      <c r="AZ19" s="23">
        <v>0</v>
      </c>
      <c r="BA19" s="23">
        <v>0</v>
      </c>
      <c r="BB19" s="23">
        <v>1</v>
      </c>
      <c r="BC19" s="23">
        <v>0</v>
      </c>
      <c r="BD19" s="23">
        <v>0</v>
      </c>
      <c r="BE19" s="23">
        <v>0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>$L19*AI19</f>
        <v>1</v>
      </c>
      <c r="BQ19" s="23">
        <f>$L19*AJ19</f>
        <v>1</v>
      </c>
      <c r="BR19" s="23">
        <f>$L19*AK19</f>
        <v>0</v>
      </c>
      <c r="BS19" s="23">
        <f>$L19*AL19</f>
        <v>0</v>
      </c>
      <c r="BT19" s="23">
        <f>$L19*AM19</f>
        <v>1</v>
      </c>
      <c r="BU19" s="23">
        <f>$L19*AN19</f>
        <v>0</v>
      </c>
      <c r="BV19" s="23">
        <f>$L19*AO19</f>
        <v>0</v>
      </c>
      <c r="BW19" s="23">
        <f>$L19*AP19</f>
        <v>1</v>
      </c>
      <c r="BX19" s="23">
        <f>$L19*AQ19</f>
        <v>0</v>
      </c>
      <c r="BY19" s="23">
        <f>$L19*AR19</f>
        <v>0</v>
      </c>
      <c r="BZ19" s="23">
        <f>$L19*AS19</f>
        <v>1</v>
      </c>
      <c r="CA19" s="23">
        <f>$L19*AT19</f>
        <v>0</v>
      </c>
      <c r="CB19" s="23">
        <f>$L19*AU19</f>
        <v>1</v>
      </c>
      <c r="CC19" s="23">
        <f>$L19*AV19</f>
        <v>0</v>
      </c>
      <c r="CD19" s="23">
        <f>$L19*AW19</f>
        <v>0</v>
      </c>
      <c r="CE19" s="23">
        <f>$L19*AX19</f>
        <v>1</v>
      </c>
      <c r="CF19" s="23">
        <f>$L19*AY19</f>
        <v>0</v>
      </c>
      <c r="CG19" s="23">
        <f>$L19*AZ19</f>
        <v>0</v>
      </c>
      <c r="CH19" s="23">
        <f>$L19*BA19</f>
        <v>0</v>
      </c>
      <c r="CI19" s="23">
        <f>$L19*BB19</f>
        <v>1</v>
      </c>
      <c r="CJ19" s="23">
        <f>$L19*BC19</f>
        <v>0</v>
      </c>
      <c r="CK19" s="23">
        <f>$L19*BD19</f>
        <v>0</v>
      </c>
      <c r="CL19" s="23">
        <f>$L19*BE19</f>
        <v>0</v>
      </c>
      <c r="CM19" s="23">
        <f>$L19*BF19</f>
        <v>1</v>
      </c>
      <c r="CN19" s="23">
        <f>$L19*BG19</f>
        <v>0</v>
      </c>
      <c r="CO19" s="23">
        <f>$L19*BH19</f>
        <v>0</v>
      </c>
      <c r="CP19" s="23">
        <f>$L19*BI19</f>
        <v>0</v>
      </c>
      <c r="CQ19" s="23">
        <f>$L19*BJ19</f>
        <v>0</v>
      </c>
      <c r="CR19" s="23">
        <f>$L19*BK19</f>
        <v>0</v>
      </c>
      <c r="CS19" s="23">
        <f>$L19*BL19</f>
        <v>0</v>
      </c>
      <c r="CT19" s="23">
        <f>$L19*BM19</f>
        <v>0</v>
      </c>
      <c r="CU19" s="23">
        <f>$L19*BN19</f>
        <v>0</v>
      </c>
      <c r="CV19" s="23">
        <f>$L19*BO19</f>
        <v>0</v>
      </c>
    </row>
    <row r="20" spans="1:100" ht="13.5" x14ac:dyDescent="0.15">
      <c r="A20" s="15">
        <v>80</v>
      </c>
      <c r="B20" s="27" t="s">
        <v>217</v>
      </c>
      <c r="C20" t="s">
        <v>197</v>
      </c>
      <c r="D20" t="s">
        <v>218</v>
      </c>
      <c r="E20" t="s">
        <v>212</v>
      </c>
      <c r="F20" t="s">
        <v>155</v>
      </c>
      <c r="G20" t="s">
        <v>199</v>
      </c>
      <c r="H20" t="s">
        <v>200</v>
      </c>
      <c r="I20" s="6" t="s">
        <v>136</v>
      </c>
      <c r="J20" s="6">
        <v>0</v>
      </c>
      <c r="K20" t="s">
        <v>201</v>
      </c>
      <c r="L20" s="15">
        <v>1</v>
      </c>
      <c r="M20" s="7">
        <v>46093</v>
      </c>
      <c r="N20" s="7">
        <v>46106</v>
      </c>
      <c r="O20" s="7">
        <v>46105</v>
      </c>
      <c r="P20" s="7">
        <v>46105</v>
      </c>
      <c r="S20" s="6" t="s">
        <v>199</v>
      </c>
      <c r="U20" s="6" t="s">
        <v>150</v>
      </c>
      <c r="V20" s="6" t="str">
        <f>TEXT(N20,"YY/MM")</f>
        <v>26/03</v>
      </c>
      <c r="W20">
        <v>21391</v>
      </c>
      <c r="Y20" s="6" t="s">
        <v>203</v>
      </c>
      <c r="Z20" s="6" t="s">
        <v>152</v>
      </c>
      <c r="AE20">
        <v>1261</v>
      </c>
      <c r="AI20" s="23">
        <v>1</v>
      </c>
      <c r="AJ20" s="23">
        <v>1</v>
      </c>
      <c r="AK20" s="23">
        <v>0</v>
      </c>
      <c r="AL20" s="23">
        <v>0</v>
      </c>
      <c r="AM20" s="23">
        <v>1</v>
      </c>
      <c r="AN20" s="23">
        <v>0</v>
      </c>
      <c r="AO20" s="23">
        <v>0</v>
      </c>
      <c r="AP20" s="23">
        <v>1</v>
      </c>
      <c r="AQ20" s="23">
        <v>0</v>
      </c>
      <c r="AR20" s="23">
        <v>0</v>
      </c>
      <c r="AS20" s="23">
        <v>1</v>
      </c>
      <c r="AT20" s="23">
        <v>0</v>
      </c>
      <c r="AU20" s="23">
        <v>1</v>
      </c>
      <c r="AV20" s="23">
        <v>0</v>
      </c>
      <c r="AW20" s="23">
        <v>0</v>
      </c>
      <c r="AX20" s="23">
        <v>1</v>
      </c>
      <c r="AY20" s="23">
        <v>0</v>
      </c>
      <c r="AZ20" s="23">
        <v>0</v>
      </c>
      <c r="BA20" s="23">
        <v>0</v>
      </c>
      <c r="BB20" s="23">
        <v>1</v>
      </c>
      <c r="BC20" s="23">
        <v>0</v>
      </c>
      <c r="BD20" s="23">
        <v>0</v>
      </c>
      <c r="BE20" s="23">
        <v>0</v>
      </c>
      <c r="BF20" s="23">
        <v>1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>$L20*AI20</f>
        <v>1</v>
      </c>
      <c r="BQ20" s="23">
        <f>$L20*AJ20</f>
        <v>1</v>
      </c>
      <c r="BR20" s="23">
        <f>$L20*AK20</f>
        <v>0</v>
      </c>
      <c r="BS20" s="23">
        <f>$L20*AL20</f>
        <v>0</v>
      </c>
      <c r="BT20" s="23">
        <f>$L20*AM20</f>
        <v>1</v>
      </c>
      <c r="BU20" s="23">
        <f>$L20*AN20</f>
        <v>0</v>
      </c>
      <c r="BV20" s="23">
        <f>$L20*AO20</f>
        <v>0</v>
      </c>
      <c r="BW20" s="23">
        <f>$L20*AP20</f>
        <v>1</v>
      </c>
      <c r="BX20" s="23">
        <f>$L20*AQ20</f>
        <v>0</v>
      </c>
      <c r="BY20" s="23">
        <f>$L20*AR20</f>
        <v>0</v>
      </c>
      <c r="BZ20" s="23">
        <f>$L20*AS20</f>
        <v>1</v>
      </c>
      <c r="CA20" s="23">
        <f>$L20*AT20</f>
        <v>0</v>
      </c>
      <c r="CB20" s="23">
        <f>$L20*AU20</f>
        <v>1</v>
      </c>
      <c r="CC20" s="23">
        <f>$L20*AV20</f>
        <v>0</v>
      </c>
      <c r="CD20" s="23">
        <f>$L20*AW20</f>
        <v>0</v>
      </c>
      <c r="CE20" s="23">
        <f>$L20*AX20</f>
        <v>1</v>
      </c>
      <c r="CF20" s="23">
        <f>$L20*AY20</f>
        <v>0</v>
      </c>
      <c r="CG20" s="23">
        <f>$L20*AZ20</f>
        <v>0</v>
      </c>
      <c r="CH20" s="23">
        <f>$L20*BA20</f>
        <v>0</v>
      </c>
      <c r="CI20" s="23">
        <f>$L20*BB20</f>
        <v>1</v>
      </c>
      <c r="CJ20" s="23">
        <f>$L20*BC20</f>
        <v>0</v>
      </c>
      <c r="CK20" s="23">
        <f>$L20*BD20</f>
        <v>0</v>
      </c>
      <c r="CL20" s="23">
        <f>$L20*BE20</f>
        <v>0</v>
      </c>
      <c r="CM20" s="23">
        <f>$L20*BF20</f>
        <v>1</v>
      </c>
      <c r="CN20" s="23">
        <f>$L20*BG20</f>
        <v>0</v>
      </c>
      <c r="CO20" s="23">
        <f>$L20*BH20</f>
        <v>0</v>
      </c>
      <c r="CP20" s="23">
        <f>$L20*BI20</f>
        <v>0</v>
      </c>
      <c r="CQ20" s="23">
        <f>$L20*BJ20</f>
        <v>0</v>
      </c>
      <c r="CR20" s="23">
        <f>$L20*BK20</f>
        <v>0</v>
      </c>
      <c r="CS20" s="23">
        <f>$L20*BL20</f>
        <v>0</v>
      </c>
      <c r="CT20" s="23">
        <f>$L20*BM20</f>
        <v>0</v>
      </c>
      <c r="CU20" s="23">
        <f>$L20*BN20</f>
        <v>0</v>
      </c>
      <c r="CV20" s="23">
        <f>$L20*BO20</f>
        <v>0</v>
      </c>
    </row>
    <row r="21" spans="1:100" ht="13.5" x14ac:dyDescent="0.15">
      <c r="A21" s="15">
        <v>83</v>
      </c>
      <c r="B21" s="27" t="s">
        <v>219</v>
      </c>
      <c r="C21" t="s">
        <v>177</v>
      </c>
      <c r="D21" t="s">
        <v>220</v>
      </c>
      <c r="E21" t="s">
        <v>221</v>
      </c>
      <c r="F21" t="s">
        <v>180</v>
      </c>
      <c r="G21" t="s">
        <v>206</v>
      </c>
      <c r="H21" t="s">
        <v>207</v>
      </c>
      <c r="I21" s="6" t="s">
        <v>130</v>
      </c>
      <c r="J21" s="6">
        <v>1</v>
      </c>
      <c r="K21" t="s">
        <v>208</v>
      </c>
      <c r="L21" s="15">
        <v>1</v>
      </c>
      <c r="M21" s="7">
        <v>46094</v>
      </c>
      <c r="N21" s="7">
        <v>46114</v>
      </c>
      <c r="O21" s="7">
        <v>46113</v>
      </c>
      <c r="P21" s="7">
        <v>46118</v>
      </c>
      <c r="S21" s="6" t="s">
        <v>162</v>
      </c>
      <c r="U21" s="6" t="s">
        <v>150</v>
      </c>
      <c r="V21" s="6" t="str">
        <f>TEXT(N21,"YY/MM")</f>
        <v>26/04</v>
      </c>
      <c r="W21">
        <v>21392</v>
      </c>
      <c r="Y21" s="6" t="s">
        <v>163</v>
      </c>
      <c r="Z21" s="6" t="s">
        <v>152</v>
      </c>
      <c r="AG21">
        <v>3537</v>
      </c>
      <c r="AI21" s="23">
        <v>1</v>
      </c>
      <c r="AJ21" s="23">
        <v>1</v>
      </c>
      <c r="AK21" s="23">
        <v>0</v>
      </c>
      <c r="AL21" s="23">
        <v>0</v>
      </c>
      <c r="AM21" s="23">
        <v>1</v>
      </c>
      <c r="AN21" s="23">
        <v>0</v>
      </c>
      <c r="AO21" s="23">
        <v>0</v>
      </c>
      <c r="AP21" s="23">
        <v>0</v>
      </c>
      <c r="AQ21" s="23">
        <v>1</v>
      </c>
      <c r="AR21" s="23">
        <v>0</v>
      </c>
      <c r="AS21" s="23">
        <v>1</v>
      </c>
      <c r="AT21" s="23">
        <v>0</v>
      </c>
      <c r="AU21" s="23">
        <v>0</v>
      </c>
      <c r="AV21" s="23">
        <v>0</v>
      </c>
      <c r="AW21" s="23">
        <v>1</v>
      </c>
      <c r="AX21" s="23">
        <v>0</v>
      </c>
      <c r="AY21" s="23">
        <v>0</v>
      </c>
      <c r="AZ21" s="23">
        <v>0</v>
      </c>
      <c r="BA21" s="23">
        <v>1</v>
      </c>
      <c r="BB21" s="23">
        <v>0</v>
      </c>
      <c r="BC21" s="23">
        <v>0</v>
      </c>
      <c r="BD21" s="23">
        <v>0</v>
      </c>
      <c r="BE21" s="23">
        <v>1</v>
      </c>
      <c r="BF21" s="23">
        <v>1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>$L21*AI21</f>
        <v>1</v>
      </c>
      <c r="BQ21" s="23">
        <f>$L21*AJ21</f>
        <v>1</v>
      </c>
      <c r="BR21" s="23">
        <f>$L21*AK21</f>
        <v>0</v>
      </c>
      <c r="BS21" s="23">
        <f>$L21*AL21</f>
        <v>0</v>
      </c>
      <c r="BT21" s="23">
        <f>$L21*AM21</f>
        <v>1</v>
      </c>
      <c r="BU21" s="23">
        <f>$L21*AN21</f>
        <v>0</v>
      </c>
      <c r="BV21" s="23">
        <f>$L21*AO21</f>
        <v>0</v>
      </c>
      <c r="BW21" s="23">
        <f>$L21*AP21</f>
        <v>0</v>
      </c>
      <c r="BX21" s="23">
        <f>$L21*AQ21</f>
        <v>1</v>
      </c>
      <c r="BY21" s="23">
        <f>$L21*AR21</f>
        <v>0</v>
      </c>
      <c r="BZ21" s="23">
        <f>$L21*AS21</f>
        <v>1</v>
      </c>
      <c r="CA21" s="23">
        <f>$L21*AT21</f>
        <v>0</v>
      </c>
      <c r="CB21" s="23">
        <f>$L21*AU21</f>
        <v>0</v>
      </c>
      <c r="CC21" s="23">
        <f>$L21*AV21</f>
        <v>0</v>
      </c>
      <c r="CD21" s="23">
        <f>$L21*AW21</f>
        <v>1</v>
      </c>
      <c r="CE21" s="23">
        <f>$L21*AX21</f>
        <v>0</v>
      </c>
      <c r="CF21" s="23">
        <f>$L21*AY21</f>
        <v>0</v>
      </c>
      <c r="CG21" s="23">
        <f>$L21*AZ21</f>
        <v>0</v>
      </c>
      <c r="CH21" s="23">
        <f>$L21*BA21</f>
        <v>1</v>
      </c>
      <c r="CI21" s="23">
        <f>$L21*BB21</f>
        <v>0</v>
      </c>
      <c r="CJ21" s="23">
        <f>$L21*BC21</f>
        <v>0</v>
      </c>
      <c r="CK21" s="23">
        <f>$L21*BD21</f>
        <v>0</v>
      </c>
      <c r="CL21" s="23">
        <f>$L21*BE21</f>
        <v>1</v>
      </c>
      <c r="CM21" s="23">
        <f>$L21*BF21</f>
        <v>1</v>
      </c>
      <c r="CN21" s="23">
        <f>$L21*BG21</f>
        <v>0</v>
      </c>
      <c r="CO21" s="23">
        <f>$L21*BH21</f>
        <v>0</v>
      </c>
      <c r="CP21" s="23">
        <f>$L21*BI21</f>
        <v>0</v>
      </c>
      <c r="CQ21" s="23">
        <f>$L21*BJ21</f>
        <v>0</v>
      </c>
      <c r="CR21" s="23">
        <f>$L21*BK21</f>
        <v>0</v>
      </c>
      <c r="CS21" s="23">
        <f>$L21*BL21</f>
        <v>0</v>
      </c>
      <c r="CT21" s="23">
        <f>$L21*BM21</f>
        <v>0</v>
      </c>
      <c r="CU21" s="23">
        <f>$L21*BN21</f>
        <v>0</v>
      </c>
      <c r="CV21" s="23">
        <f>$L21*BO21</f>
        <v>0</v>
      </c>
    </row>
    <row r="22" spans="1:100" ht="13.5" x14ac:dyDescent="0.15">
      <c r="A22" s="15">
        <v>84</v>
      </c>
      <c r="B22" s="27" t="s">
        <v>222</v>
      </c>
      <c r="C22" t="s">
        <v>177</v>
      </c>
      <c r="D22" t="s">
        <v>223</v>
      </c>
      <c r="E22" t="s">
        <v>224</v>
      </c>
      <c r="F22" t="s">
        <v>180</v>
      </c>
      <c r="G22" t="s">
        <v>206</v>
      </c>
      <c r="H22" t="s">
        <v>207</v>
      </c>
      <c r="I22" s="6" t="s">
        <v>130</v>
      </c>
      <c r="J22" s="6">
        <v>1</v>
      </c>
      <c r="K22" t="s">
        <v>208</v>
      </c>
      <c r="L22" s="15">
        <v>1</v>
      </c>
      <c r="M22" s="7">
        <v>46097</v>
      </c>
      <c r="N22" s="7">
        <v>46115</v>
      </c>
      <c r="O22" s="7">
        <v>46114</v>
      </c>
      <c r="P22" s="7">
        <v>46119</v>
      </c>
      <c r="S22" s="6" t="s">
        <v>162</v>
      </c>
      <c r="U22" s="6" t="s">
        <v>150</v>
      </c>
      <c r="V22" s="6" t="str">
        <f>TEXT(N22,"YY/MM")</f>
        <v>26/04</v>
      </c>
      <c r="W22">
        <v>21393</v>
      </c>
      <c r="Y22" s="6" t="s">
        <v>163</v>
      </c>
      <c r="Z22" s="6" t="s">
        <v>152</v>
      </c>
      <c r="AG22">
        <v>3538</v>
      </c>
      <c r="AI22" s="23">
        <v>1</v>
      </c>
      <c r="AJ22" s="23">
        <v>1</v>
      </c>
      <c r="AK22" s="23">
        <v>0</v>
      </c>
      <c r="AL22" s="23">
        <v>0</v>
      </c>
      <c r="AM22" s="23">
        <v>1</v>
      </c>
      <c r="AN22" s="23">
        <v>0</v>
      </c>
      <c r="AO22" s="23">
        <v>0</v>
      </c>
      <c r="AP22" s="23">
        <v>0</v>
      </c>
      <c r="AQ22" s="23">
        <v>1</v>
      </c>
      <c r="AR22" s="23">
        <v>0</v>
      </c>
      <c r="AS22" s="23">
        <v>1</v>
      </c>
      <c r="AT22" s="23">
        <v>0</v>
      </c>
      <c r="AU22" s="23">
        <v>0</v>
      </c>
      <c r="AV22" s="23">
        <v>0</v>
      </c>
      <c r="AW22" s="23">
        <v>1</v>
      </c>
      <c r="AX22" s="23">
        <v>0</v>
      </c>
      <c r="AY22" s="23">
        <v>0</v>
      </c>
      <c r="AZ22" s="23">
        <v>0</v>
      </c>
      <c r="BA22" s="23">
        <v>1</v>
      </c>
      <c r="BB22" s="23">
        <v>0</v>
      </c>
      <c r="BC22" s="23">
        <v>0</v>
      </c>
      <c r="BD22" s="23">
        <v>0</v>
      </c>
      <c r="BE22" s="23">
        <v>1</v>
      </c>
      <c r="BF22" s="23">
        <v>1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>$L22*AI22</f>
        <v>1</v>
      </c>
      <c r="BQ22" s="23">
        <f>$L22*AJ22</f>
        <v>1</v>
      </c>
      <c r="BR22" s="23">
        <f>$L22*AK22</f>
        <v>0</v>
      </c>
      <c r="BS22" s="23">
        <f>$L22*AL22</f>
        <v>0</v>
      </c>
      <c r="BT22" s="23">
        <f>$L22*AM22</f>
        <v>1</v>
      </c>
      <c r="BU22" s="23">
        <f>$L22*AN22</f>
        <v>0</v>
      </c>
      <c r="BV22" s="23">
        <f>$L22*AO22</f>
        <v>0</v>
      </c>
      <c r="BW22" s="23">
        <f>$L22*AP22</f>
        <v>0</v>
      </c>
      <c r="BX22" s="23">
        <f>$L22*AQ22</f>
        <v>1</v>
      </c>
      <c r="BY22" s="23">
        <f>$L22*AR22</f>
        <v>0</v>
      </c>
      <c r="BZ22" s="23">
        <f>$L22*AS22</f>
        <v>1</v>
      </c>
      <c r="CA22" s="23">
        <f>$L22*AT22</f>
        <v>0</v>
      </c>
      <c r="CB22" s="23">
        <f>$L22*AU22</f>
        <v>0</v>
      </c>
      <c r="CC22" s="23">
        <f>$L22*AV22</f>
        <v>0</v>
      </c>
      <c r="CD22" s="23">
        <f>$L22*AW22</f>
        <v>1</v>
      </c>
      <c r="CE22" s="23">
        <f>$L22*AX22</f>
        <v>0</v>
      </c>
      <c r="CF22" s="23">
        <f>$L22*AY22</f>
        <v>0</v>
      </c>
      <c r="CG22" s="23">
        <f>$L22*AZ22</f>
        <v>0</v>
      </c>
      <c r="CH22" s="23">
        <f>$L22*BA22</f>
        <v>1</v>
      </c>
      <c r="CI22" s="23">
        <f>$L22*BB22</f>
        <v>0</v>
      </c>
      <c r="CJ22" s="23">
        <f>$L22*BC22</f>
        <v>0</v>
      </c>
      <c r="CK22" s="23">
        <f>$L22*BD22</f>
        <v>0</v>
      </c>
      <c r="CL22" s="23">
        <f>$L22*BE22</f>
        <v>1</v>
      </c>
      <c r="CM22" s="23">
        <f>$L22*BF22</f>
        <v>1</v>
      </c>
      <c r="CN22" s="23">
        <f>$L22*BG22</f>
        <v>0</v>
      </c>
      <c r="CO22" s="23">
        <f>$L22*BH22</f>
        <v>0</v>
      </c>
      <c r="CP22" s="23">
        <f>$L22*BI22</f>
        <v>0</v>
      </c>
      <c r="CQ22" s="23">
        <f>$L22*BJ22</f>
        <v>0</v>
      </c>
      <c r="CR22" s="23">
        <f>$L22*BK22</f>
        <v>0</v>
      </c>
      <c r="CS22" s="23">
        <f>$L22*BL22</f>
        <v>0</v>
      </c>
      <c r="CT22" s="23">
        <f>$L22*BM22</f>
        <v>0</v>
      </c>
      <c r="CU22" s="23">
        <f>$L22*BN22</f>
        <v>0</v>
      </c>
      <c r="CV22" s="23">
        <f>$L22*BO22</f>
        <v>0</v>
      </c>
    </row>
    <row r="23" spans="1:100" ht="13.5" x14ac:dyDescent="0.15">
      <c r="A23" s="15">
        <v>86</v>
      </c>
      <c r="B23" s="27" t="s">
        <v>225</v>
      </c>
      <c r="C23" t="s">
        <v>177</v>
      </c>
      <c r="D23" t="s">
        <v>223</v>
      </c>
      <c r="E23" t="s">
        <v>226</v>
      </c>
      <c r="F23" t="s">
        <v>180</v>
      </c>
      <c r="G23" t="s">
        <v>206</v>
      </c>
      <c r="H23" t="s">
        <v>207</v>
      </c>
      <c r="I23" s="6" t="s">
        <v>130</v>
      </c>
      <c r="J23" s="6">
        <v>1</v>
      </c>
      <c r="K23" t="s">
        <v>208</v>
      </c>
      <c r="L23" s="15">
        <v>1</v>
      </c>
      <c r="M23" s="7">
        <v>46098</v>
      </c>
      <c r="N23" s="7">
        <v>46118</v>
      </c>
      <c r="O23" s="7">
        <v>46115</v>
      </c>
      <c r="P23" s="7">
        <v>46120</v>
      </c>
      <c r="S23" s="6" t="s">
        <v>162</v>
      </c>
      <c r="U23" s="6" t="s">
        <v>150</v>
      </c>
      <c r="V23" s="6" t="str">
        <f>TEXT(N23,"YY/MM")</f>
        <v>26/04</v>
      </c>
      <c r="W23">
        <v>21394</v>
      </c>
      <c r="Y23" s="6" t="s">
        <v>163</v>
      </c>
      <c r="Z23" s="6" t="s">
        <v>152</v>
      </c>
      <c r="AG23">
        <v>3539</v>
      </c>
      <c r="AI23" s="23">
        <v>1</v>
      </c>
      <c r="AJ23" s="23">
        <v>1</v>
      </c>
      <c r="AK23" s="23">
        <v>0</v>
      </c>
      <c r="AL23" s="23">
        <v>0</v>
      </c>
      <c r="AM23" s="23">
        <v>1</v>
      </c>
      <c r="AN23" s="23">
        <v>0</v>
      </c>
      <c r="AO23" s="23">
        <v>0</v>
      </c>
      <c r="AP23" s="23">
        <v>0</v>
      </c>
      <c r="AQ23" s="23">
        <v>1</v>
      </c>
      <c r="AR23" s="23">
        <v>0</v>
      </c>
      <c r="AS23" s="23">
        <v>1</v>
      </c>
      <c r="AT23" s="23">
        <v>0</v>
      </c>
      <c r="AU23" s="23">
        <v>0</v>
      </c>
      <c r="AV23" s="23">
        <v>0</v>
      </c>
      <c r="AW23" s="23">
        <v>1</v>
      </c>
      <c r="AX23" s="23">
        <v>0</v>
      </c>
      <c r="AY23" s="23">
        <v>0</v>
      </c>
      <c r="AZ23" s="23">
        <v>0</v>
      </c>
      <c r="BA23" s="23">
        <v>1</v>
      </c>
      <c r="BB23" s="23">
        <v>0</v>
      </c>
      <c r="BC23" s="23">
        <v>0</v>
      </c>
      <c r="BD23" s="23">
        <v>0</v>
      </c>
      <c r="BE23" s="23">
        <v>1</v>
      </c>
      <c r="BF23" s="23">
        <v>1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>$L23*AI23</f>
        <v>1</v>
      </c>
      <c r="BQ23" s="23">
        <f>$L23*AJ23</f>
        <v>1</v>
      </c>
      <c r="BR23" s="23">
        <f>$L23*AK23</f>
        <v>0</v>
      </c>
      <c r="BS23" s="23">
        <f>$L23*AL23</f>
        <v>0</v>
      </c>
      <c r="BT23" s="23">
        <f>$L23*AM23</f>
        <v>1</v>
      </c>
      <c r="BU23" s="23">
        <f>$L23*AN23</f>
        <v>0</v>
      </c>
      <c r="BV23" s="23">
        <f>$L23*AO23</f>
        <v>0</v>
      </c>
      <c r="BW23" s="23">
        <f>$L23*AP23</f>
        <v>0</v>
      </c>
      <c r="BX23" s="23">
        <f>$L23*AQ23</f>
        <v>1</v>
      </c>
      <c r="BY23" s="23">
        <f>$L23*AR23</f>
        <v>0</v>
      </c>
      <c r="BZ23" s="23">
        <f>$L23*AS23</f>
        <v>1</v>
      </c>
      <c r="CA23" s="23">
        <f>$L23*AT23</f>
        <v>0</v>
      </c>
      <c r="CB23" s="23">
        <f>$L23*AU23</f>
        <v>0</v>
      </c>
      <c r="CC23" s="23">
        <f>$L23*AV23</f>
        <v>0</v>
      </c>
      <c r="CD23" s="23">
        <f>$L23*AW23</f>
        <v>1</v>
      </c>
      <c r="CE23" s="23">
        <f>$L23*AX23</f>
        <v>0</v>
      </c>
      <c r="CF23" s="23">
        <f>$L23*AY23</f>
        <v>0</v>
      </c>
      <c r="CG23" s="23">
        <f>$L23*AZ23</f>
        <v>0</v>
      </c>
      <c r="CH23" s="23">
        <f>$L23*BA23</f>
        <v>1</v>
      </c>
      <c r="CI23" s="23">
        <f>$L23*BB23</f>
        <v>0</v>
      </c>
      <c r="CJ23" s="23">
        <f>$L23*BC23</f>
        <v>0</v>
      </c>
      <c r="CK23" s="23">
        <f>$L23*BD23</f>
        <v>0</v>
      </c>
      <c r="CL23" s="23">
        <f>$L23*BE23</f>
        <v>1</v>
      </c>
      <c r="CM23" s="23">
        <f>$L23*BF23</f>
        <v>1</v>
      </c>
      <c r="CN23" s="23">
        <f>$L23*BG23</f>
        <v>0</v>
      </c>
      <c r="CO23" s="23">
        <f>$L23*BH23</f>
        <v>0</v>
      </c>
      <c r="CP23" s="23">
        <f>$L23*BI23</f>
        <v>0</v>
      </c>
      <c r="CQ23" s="23">
        <f>$L23*BJ23</f>
        <v>0</v>
      </c>
      <c r="CR23" s="23">
        <f>$L23*BK23</f>
        <v>0</v>
      </c>
      <c r="CS23" s="23">
        <f>$L23*BL23</f>
        <v>0</v>
      </c>
      <c r="CT23" s="23">
        <f>$L23*BM23</f>
        <v>0</v>
      </c>
      <c r="CU23" s="23">
        <f>$L23*BN23</f>
        <v>0</v>
      </c>
      <c r="CV23" s="23">
        <f>$L23*BO23</f>
        <v>0</v>
      </c>
    </row>
    <row r="24" spans="1:100" ht="13.5" x14ac:dyDescent="0.15">
      <c r="A24" s="15">
        <v>94</v>
      </c>
      <c r="B24" s="27" t="s">
        <v>227</v>
      </c>
      <c r="C24" t="s">
        <v>177</v>
      </c>
      <c r="D24" t="s">
        <v>228</v>
      </c>
      <c r="E24" t="s">
        <v>224</v>
      </c>
      <c r="F24" t="s">
        <v>180</v>
      </c>
      <c r="G24" t="s">
        <v>206</v>
      </c>
      <c r="H24" t="s">
        <v>207</v>
      </c>
      <c r="I24" s="6" t="s">
        <v>130</v>
      </c>
      <c r="J24" s="6">
        <v>1</v>
      </c>
      <c r="K24" t="s">
        <v>208</v>
      </c>
      <c r="L24" s="15">
        <v>1</v>
      </c>
      <c r="M24" s="7">
        <v>46112</v>
      </c>
      <c r="N24" s="7">
        <v>46127</v>
      </c>
      <c r="O24" s="7">
        <v>46126</v>
      </c>
      <c r="P24" s="7">
        <v>46129</v>
      </c>
      <c r="S24" s="6" t="s">
        <v>162</v>
      </c>
      <c r="U24" s="6" t="s">
        <v>150</v>
      </c>
      <c r="V24" s="6" t="str">
        <f>TEXT(N24,"YY/MM")</f>
        <v>26/04</v>
      </c>
      <c r="W24">
        <v>21395</v>
      </c>
      <c r="Y24" s="6" t="s">
        <v>163</v>
      </c>
      <c r="Z24" s="6" t="s">
        <v>152</v>
      </c>
      <c r="AG24">
        <v>3540</v>
      </c>
      <c r="AI24" s="23">
        <v>1</v>
      </c>
      <c r="AJ24" s="23">
        <v>1</v>
      </c>
      <c r="AK24" s="23">
        <v>0</v>
      </c>
      <c r="AL24" s="23">
        <v>0</v>
      </c>
      <c r="AM24" s="23">
        <v>1</v>
      </c>
      <c r="AN24" s="23">
        <v>0</v>
      </c>
      <c r="AO24" s="23">
        <v>0</v>
      </c>
      <c r="AP24" s="23">
        <v>0</v>
      </c>
      <c r="AQ24" s="23">
        <v>1</v>
      </c>
      <c r="AR24" s="23">
        <v>0</v>
      </c>
      <c r="AS24" s="23">
        <v>1</v>
      </c>
      <c r="AT24" s="23">
        <v>0</v>
      </c>
      <c r="AU24" s="23">
        <v>0</v>
      </c>
      <c r="AV24" s="23">
        <v>0</v>
      </c>
      <c r="AW24" s="23">
        <v>1</v>
      </c>
      <c r="AX24" s="23">
        <v>0</v>
      </c>
      <c r="AY24" s="23">
        <v>0</v>
      </c>
      <c r="AZ24" s="23">
        <v>0</v>
      </c>
      <c r="BA24" s="23">
        <v>1</v>
      </c>
      <c r="BB24" s="23">
        <v>0</v>
      </c>
      <c r="BC24" s="23">
        <v>0</v>
      </c>
      <c r="BD24" s="23">
        <v>0</v>
      </c>
      <c r="BE24" s="23">
        <v>1</v>
      </c>
      <c r="BF24" s="23">
        <v>1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>$L24*AI24</f>
        <v>1</v>
      </c>
      <c r="BQ24" s="23">
        <f>$L24*AJ24</f>
        <v>1</v>
      </c>
      <c r="BR24" s="23">
        <f>$L24*AK24</f>
        <v>0</v>
      </c>
      <c r="BS24" s="23">
        <f>$L24*AL24</f>
        <v>0</v>
      </c>
      <c r="BT24" s="23">
        <f>$L24*AM24</f>
        <v>1</v>
      </c>
      <c r="BU24" s="23">
        <f>$L24*AN24</f>
        <v>0</v>
      </c>
      <c r="BV24" s="23">
        <f>$L24*AO24</f>
        <v>0</v>
      </c>
      <c r="BW24" s="23">
        <f>$L24*AP24</f>
        <v>0</v>
      </c>
      <c r="BX24" s="23">
        <f>$L24*AQ24</f>
        <v>1</v>
      </c>
      <c r="BY24" s="23">
        <f>$L24*AR24</f>
        <v>0</v>
      </c>
      <c r="BZ24" s="23">
        <f>$L24*AS24</f>
        <v>1</v>
      </c>
      <c r="CA24" s="23">
        <f>$L24*AT24</f>
        <v>0</v>
      </c>
      <c r="CB24" s="23">
        <f>$L24*AU24</f>
        <v>0</v>
      </c>
      <c r="CC24" s="23">
        <f>$L24*AV24</f>
        <v>0</v>
      </c>
      <c r="CD24" s="23">
        <f>$L24*AW24</f>
        <v>1</v>
      </c>
      <c r="CE24" s="23">
        <f>$L24*AX24</f>
        <v>0</v>
      </c>
      <c r="CF24" s="23">
        <f>$L24*AY24</f>
        <v>0</v>
      </c>
      <c r="CG24" s="23">
        <f>$L24*AZ24</f>
        <v>0</v>
      </c>
      <c r="CH24" s="23">
        <f>$L24*BA24</f>
        <v>1</v>
      </c>
      <c r="CI24" s="23">
        <f>$L24*BB24</f>
        <v>0</v>
      </c>
      <c r="CJ24" s="23">
        <f>$L24*BC24</f>
        <v>0</v>
      </c>
      <c r="CK24" s="23">
        <f>$L24*BD24</f>
        <v>0</v>
      </c>
      <c r="CL24" s="23">
        <f>$L24*BE24</f>
        <v>1</v>
      </c>
      <c r="CM24" s="23">
        <f>$L24*BF24</f>
        <v>1</v>
      </c>
      <c r="CN24" s="23">
        <f>$L24*BG24</f>
        <v>0</v>
      </c>
      <c r="CO24" s="23">
        <f>$L24*BH24</f>
        <v>0</v>
      </c>
      <c r="CP24" s="23">
        <f>$L24*BI24</f>
        <v>0</v>
      </c>
      <c r="CQ24" s="23">
        <f>$L24*BJ24</f>
        <v>0</v>
      </c>
      <c r="CR24" s="23">
        <f>$L24*BK24</f>
        <v>0</v>
      </c>
      <c r="CS24" s="23">
        <f>$L24*BL24</f>
        <v>0</v>
      </c>
      <c r="CT24" s="23">
        <f>$L24*BM24</f>
        <v>0</v>
      </c>
      <c r="CU24" s="23">
        <f>$L24*BN24</f>
        <v>0</v>
      </c>
      <c r="CV24" s="23">
        <f>$L24*BO24</f>
        <v>0</v>
      </c>
    </row>
    <row r="25" spans="1:100" ht="13.5" x14ac:dyDescent="0.15">
      <c r="A25" s="15">
        <v>88</v>
      </c>
      <c r="B25" s="27" t="s">
        <v>229</v>
      </c>
      <c r="C25" t="s">
        <v>197</v>
      </c>
      <c r="D25" t="s">
        <v>230</v>
      </c>
      <c r="E25" t="s">
        <v>212</v>
      </c>
      <c r="F25" t="s">
        <v>155</v>
      </c>
      <c r="G25" t="s">
        <v>199</v>
      </c>
      <c r="H25" t="s">
        <v>200</v>
      </c>
      <c r="I25" s="6" t="s">
        <v>136</v>
      </c>
      <c r="J25" s="6">
        <v>0</v>
      </c>
      <c r="K25" t="s">
        <v>201</v>
      </c>
      <c r="L25" s="15">
        <v>1</v>
      </c>
      <c r="M25" s="7">
        <v>46118</v>
      </c>
      <c r="N25" s="7">
        <v>46128</v>
      </c>
      <c r="O25" s="7">
        <v>46127</v>
      </c>
      <c r="P25" s="7">
        <v>46127</v>
      </c>
      <c r="S25" s="6" t="s">
        <v>199</v>
      </c>
      <c r="U25" s="6" t="s">
        <v>150</v>
      </c>
      <c r="V25" s="6" t="str">
        <f>TEXT(N25,"YY/MM")</f>
        <v>26/04</v>
      </c>
      <c r="W25">
        <v>21396</v>
      </c>
      <c r="Y25" s="6" t="s">
        <v>203</v>
      </c>
      <c r="Z25" s="6" t="s">
        <v>152</v>
      </c>
      <c r="AE25">
        <v>1262</v>
      </c>
      <c r="AI25" s="23">
        <v>1</v>
      </c>
      <c r="AJ25" s="23">
        <v>1</v>
      </c>
      <c r="AK25" s="23">
        <v>0</v>
      </c>
      <c r="AL25" s="23">
        <v>0</v>
      </c>
      <c r="AM25" s="23">
        <v>1</v>
      </c>
      <c r="AN25" s="23">
        <v>0</v>
      </c>
      <c r="AO25" s="23">
        <v>0</v>
      </c>
      <c r="AP25" s="23">
        <v>1</v>
      </c>
      <c r="AQ25" s="23">
        <v>0</v>
      </c>
      <c r="AR25" s="23">
        <v>0</v>
      </c>
      <c r="AS25" s="23">
        <v>1</v>
      </c>
      <c r="AT25" s="23">
        <v>0</v>
      </c>
      <c r="AU25" s="23">
        <v>1</v>
      </c>
      <c r="AV25" s="23">
        <v>0</v>
      </c>
      <c r="AW25" s="23">
        <v>0</v>
      </c>
      <c r="AX25" s="23">
        <v>1</v>
      </c>
      <c r="AY25" s="23">
        <v>0</v>
      </c>
      <c r="AZ25" s="23">
        <v>0</v>
      </c>
      <c r="BA25" s="23">
        <v>0</v>
      </c>
      <c r="BB25" s="23">
        <v>1</v>
      </c>
      <c r="BC25" s="23">
        <v>0</v>
      </c>
      <c r="BD25" s="23">
        <v>0</v>
      </c>
      <c r="BE25" s="23">
        <v>0</v>
      </c>
      <c r="BF25" s="23">
        <v>1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>$L25*AI25</f>
        <v>1</v>
      </c>
      <c r="BQ25" s="23">
        <f>$L25*AJ25</f>
        <v>1</v>
      </c>
      <c r="BR25" s="23">
        <f>$L25*AK25</f>
        <v>0</v>
      </c>
      <c r="BS25" s="23">
        <f>$L25*AL25</f>
        <v>0</v>
      </c>
      <c r="BT25" s="23">
        <f>$L25*AM25</f>
        <v>1</v>
      </c>
      <c r="BU25" s="23">
        <f>$L25*AN25</f>
        <v>0</v>
      </c>
      <c r="BV25" s="23">
        <f>$L25*AO25</f>
        <v>0</v>
      </c>
      <c r="BW25" s="23">
        <f>$L25*AP25</f>
        <v>1</v>
      </c>
      <c r="BX25" s="23">
        <f>$L25*AQ25</f>
        <v>0</v>
      </c>
      <c r="BY25" s="23">
        <f>$L25*AR25</f>
        <v>0</v>
      </c>
      <c r="BZ25" s="23">
        <f>$L25*AS25</f>
        <v>1</v>
      </c>
      <c r="CA25" s="23">
        <f>$L25*AT25</f>
        <v>0</v>
      </c>
      <c r="CB25" s="23">
        <f>$L25*AU25</f>
        <v>1</v>
      </c>
      <c r="CC25" s="23">
        <f>$L25*AV25</f>
        <v>0</v>
      </c>
      <c r="CD25" s="23">
        <f>$L25*AW25</f>
        <v>0</v>
      </c>
      <c r="CE25" s="23">
        <f>$L25*AX25</f>
        <v>1</v>
      </c>
      <c r="CF25" s="23">
        <f>$L25*AY25</f>
        <v>0</v>
      </c>
      <c r="CG25" s="23">
        <f>$L25*AZ25</f>
        <v>0</v>
      </c>
      <c r="CH25" s="23">
        <f>$L25*BA25</f>
        <v>0</v>
      </c>
      <c r="CI25" s="23">
        <f>$L25*BB25</f>
        <v>1</v>
      </c>
      <c r="CJ25" s="23">
        <f>$L25*BC25</f>
        <v>0</v>
      </c>
      <c r="CK25" s="23">
        <f>$L25*BD25</f>
        <v>0</v>
      </c>
      <c r="CL25" s="23">
        <f>$L25*BE25</f>
        <v>0</v>
      </c>
      <c r="CM25" s="23">
        <f>$L25*BF25</f>
        <v>1</v>
      </c>
      <c r="CN25" s="23">
        <f>$L25*BG25</f>
        <v>0</v>
      </c>
      <c r="CO25" s="23">
        <f>$L25*BH25</f>
        <v>0</v>
      </c>
      <c r="CP25" s="23">
        <f>$L25*BI25</f>
        <v>0</v>
      </c>
      <c r="CQ25" s="23">
        <f>$L25*BJ25</f>
        <v>0</v>
      </c>
      <c r="CR25" s="23">
        <f>$L25*BK25</f>
        <v>0</v>
      </c>
      <c r="CS25" s="23">
        <f>$L25*BL25</f>
        <v>0</v>
      </c>
      <c r="CT25" s="23">
        <f>$L25*BM25</f>
        <v>0</v>
      </c>
      <c r="CU25" s="23">
        <f>$L25*BN25</f>
        <v>0</v>
      </c>
      <c r="CV25" s="23">
        <f>$L25*BO25</f>
        <v>0</v>
      </c>
    </row>
    <row r="26" spans="1:100" ht="13.5" x14ac:dyDescent="0.15">
      <c r="A26" s="15">
        <v>91</v>
      </c>
      <c r="B26" s="27" t="s">
        <v>232</v>
      </c>
      <c r="C26" t="s">
        <v>197</v>
      </c>
      <c r="D26" t="s">
        <v>230</v>
      </c>
      <c r="E26" t="s">
        <v>214</v>
      </c>
      <c r="F26" t="s">
        <v>155</v>
      </c>
      <c r="G26" t="s">
        <v>199</v>
      </c>
      <c r="H26" t="s">
        <v>200</v>
      </c>
      <c r="I26" s="6" t="s">
        <v>136</v>
      </c>
      <c r="J26" s="6">
        <v>0</v>
      </c>
      <c r="K26" t="s">
        <v>201</v>
      </c>
      <c r="L26" s="15">
        <v>1</v>
      </c>
      <c r="M26" s="7">
        <v>46119</v>
      </c>
      <c r="N26" s="7">
        <v>46129</v>
      </c>
      <c r="O26" s="7">
        <v>46128</v>
      </c>
      <c r="P26" s="7">
        <v>46128</v>
      </c>
      <c r="S26" s="6" t="s">
        <v>199</v>
      </c>
      <c r="U26" s="6" t="s">
        <v>150</v>
      </c>
      <c r="V26" s="6" t="str">
        <f>TEXT(N26,"YY/MM")</f>
        <v>26/04</v>
      </c>
      <c r="W26" s="43">
        <v>21397</v>
      </c>
      <c r="Y26" s="6" t="s">
        <v>203</v>
      </c>
      <c r="Z26" s="6" t="s">
        <v>152</v>
      </c>
      <c r="AE26">
        <v>1263</v>
      </c>
      <c r="AI26" s="23">
        <v>1</v>
      </c>
      <c r="AJ26" s="23">
        <v>1</v>
      </c>
      <c r="AK26" s="23">
        <v>0</v>
      </c>
      <c r="AL26" s="23">
        <v>0</v>
      </c>
      <c r="AM26" s="23">
        <v>1</v>
      </c>
      <c r="AN26" s="23">
        <v>0</v>
      </c>
      <c r="AO26" s="23">
        <v>0</v>
      </c>
      <c r="AP26" s="23">
        <v>1</v>
      </c>
      <c r="AQ26" s="23">
        <v>0</v>
      </c>
      <c r="AR26" s="23">
        <v>0</v>
      </c>
      <c r="AS26" s="23">
        <v>1</v>
      </c>
      <c r="AT26" s="23">
        <v>0</v>
      </c>
      <c r="AU26" s="23">
        <v>1</v>
      </c>
      <c r="AV26" s="23">
        <v>0</v>
      </c>
      <c r="AW26" s="23">
        <v>0</v>
      </c>
      <c r="AX26" s="23">
        <v>1</v>
      </c>
      <c r="AY26" s="23">
        <v>0</v>
      </c>
      <c r="AZ26" s="23">
        <v>0</v>
      </c>
      <c r="BA26" s="23">
        <v>0</v>
      </c>
      <c r="BB26" s="23">
        <v>1</v>
      </c>
      <c r="BC26" s="23">
        <v>0</v>
      </c>
      <c r="BD26" s="23">
        <v>0</v>
      </c>
      <c r="BE26" s="23">
        <v>0</v>
      </c>
      <c r="BF26" s="23">
        <v>1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>$L26*AI26</f>
        <v>1</v>
      </c>
      <c r="BQ26" s="23">
        <f>$L26*AJ26</f>
        <v>1</v>
      </c>
      <c r="BR26" s="23">
        <f>$L26*AK26</f>
        <v>0</v>
      </c>
      <c r="BS26" s="23">
        <f>$L26*AL26</f>
        <v>0</v>
      </c>
      <c r="BT26" s="23">
        <f>$L26*AM26</f>
        <v>1</v>
      </c>
      <c r="BU26" s="23">
        <f>$L26*AN26</f>
        <v>0</v>
      </c>
      <c r="BV26" s="23">
        <f>$L26*AO26</f>
        <v>0</v>
      </c>
      <c r="BW26" s="23">
        <f>$L26*AP26</f>
        <v>1</v>
      </c>
      <c r="BX26" s="23">
        <f>$L26*AQ26</f>
        <v>0</v>
      </c>
      <c r="BY26" s="23">
        <f>$L26*AR26</f>
        <v>0</v>
      </c>
      <c r="BZ26" s="23">
        <f>$L26*AS26</f>
        <v>1</v>
      </c>
      <c r="CA26" s="23">
        <f>$L26*AT26</f>
        <v>0</v>
      </c>
      <c r="CB26" s="23">
        <f>$L26*AU26</f>
        <v>1</v>
      </c>
      <c r="CC26" s="23">
        <f>$L26*AV26</f>
        <v>0</v>
      </c>
      <c r="CD26" s="23">
        <f>$L26*AW26</f>
        <v>0</v>
      </c>
      <c r="CE26" s="23">
        <f>$L26*AX26</f>
        <v>1</v>
      </c>
      <c r="CF26" s="23">
        <f>$L26*AY26</f>
        <v>0</v>
      </c>
      <c r="CG26" s="23">
        <f>$L26*AZ26</f>
        <v>0</v>
      </c>
      <c r="CH26" s="23">
        <f>$L26*BA26</f>
        <v>0</v>
      </c>
      <c r="CI26" s="23">
        <f>$L26*BB26</f>
        <v>1</v>
      </c>
      <c r="CJ26" s="23">
        <f>$L26*BC26</f>
        <v>0</v>
      </c>
      <c r="CK26" s="23">
        <f>$L26*BD26</f>
        <v>0</v>
      </c>
      <c r="CL26" s="23">
        <f>$L26*BE26</f>
        <v>0</v>
      </c>
      <c r="CM26" s="23">
        <f>$L26*BF26</f>
        <v>1</v>
      </c>
      <c r="CN26" s="23">
        <f>$L26*BG26</f>
        <v>0</v>
      </c>
      <c r="CO26" s="23">
        <f>$L26*BH26</f>
        <v>0</v>
      </c>
      <c r="CP26" s="23">
        <f>$L26*BI26</f>
        <v>0</v>
      </c>
      <c r="CQ26" s="23">
        <f>$L26*BJ26</f>
        <v>0</v>
      </c>
      <c r="CR26" s="23">
        <f>$L26*BK26</f>
        <v>0</v>
      </c>
      <c r="CS26" s="23">
        <f>$L26*BL26</f>
        <v>0</v>
      </c>
      <c r="CT26" s="23">
        <f>$L26*BM26</f>
        <v>0</v>
      </c>
      <c r="CU26" s="23">
        <f>$L26*BN26</f>
        <v>0</v>
      </c>
      <c r="CV26" s="23">
        <f>$L26*BO26</f>
        <v>0</v>
      </c>
    </row>
    <row r="27" spans="1:100" ht="13.5" x14ac:dyDescent="0.15">
      <c r="A27" s="15">
        <v>97</v>
      </c>
      <c r="B27" s="27" t="s">
        <v>231</v>
      </c>
      <c r="C27" t="s">
        <v>177</v>
      </c>
      <c r="D27" t="s">
        <v>228</v>
      </c>
      <c r="E27" t="s">
        <v>226</v>
      </c>
      <c r="F27" t="s">
        <v>180</v>
      </c>
      <c r="G27" t="s">
        <v>206</v>
      </c>
      <c r="H27" t="s">
        <v>207</v>
      </c>
      <c r="I27" s="6" t="s">
        <v>130</v>
      </c>
      <c r="J27" s="6">
        <v>1</v>
      </c>
      <c r="K27" t="s">
        <v>208</v>
      </c>
      <c r="L27" s="15">
        <v>1</v>
      </c>
      <c r="M27" s="7">
        <v>46114</v>
      </c>
      <c r="N27" s="7">
        <v>46129</v>
      </c>
      <c r="O27" s="7">
        <v>46128</v>
      </c>
      <c r="P27" s="7">
        <v>46132</v>
      </c>
      <c r="S27" s="6" t="s">
        <v>162</v>
      </c>
      <c r="U27" s="6" t="s">
        <v>150</v>
      </c>
      <c r="V27" s="6" t="str">
        <f>TEXT(N27,"YY/MM")</f>
        <v>26/04</v>
      </c>
      <c r="W27" s="43">
        <v>21398</v>
      </c>
      <c r="Y27" s="6" t="s">
        <v>163</v>
      </c>
      <c r="Z27" s="6" t="s">
        <v>152</v>
      </c>
      <c r="AG27">
        <v>3541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0</v>
      </c>
      <c r="AP27" s="23">
        <v>0</v>
      </c>
      <c r="AQ27" s="23">
        <v>1</v>
      </c>
      <c r="AR27" s="23">
        <v>0</v>
      </c>
      <c r="AS27" s="23">
        <v>1</v>
      </c>
      <c r="AT27" s="23">
        <v>0</v>
      </c>
      <c r="AU27" s="23">
        <v>0</v>
      </c>
      <c r="AV27" s="23">
        <v>0</v>
      </c>
      <c r="AW27" s="23">
        <v>1</v>
      </c>
      <c r="AX27" s="23">
        <v>0</v>
      </c>
      <c r="AY27" s="23">
        <v>0</v>
      </c>
      <c r="AZ27" s="23">
        <v>0</v>
      </c>
      <c r="BA27" s="23">
        <v>1</v>
      </c>
      <c r="BB27" s="23">
        <v>0</v>
      </c>
      <c r="BC27" s="23">
        <v>0</v>
      </c>
      <c r="BD27" s="23">
        <v>0</v>
      </c>
      <c r="BE27" s="23">
        <v>1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>$L27*AI27</f>
        <v>1</v>
      </c>
      <c r="BQ27" s="23">
        <f>$L27*AJ27</f>
        <v>1</v>
      </c>
      <c r="BR27" s="23">
        <f>$L27*AK27</f>
        <v>0</v>
      </c>
      <c r="BS27" s="23">
        <f>$L27*AL27</f>
        <v>0</v>
      </c>
      <c r="BT27" s="23">
        <f>$L27*AM27</f>
        <v>1</v>
      </c>
      <c r="BU27" s="23">
        <f>$L27*AN27</f>
        <v>0</v>
      </c>
      <c r="BV27" s="23">
        <f>$L27*AO27</f>
        <v>0</v>
      </c>
      <c r="BW27" s="23">
        <f>$L27*AP27</f>
        <v>0</v>
      </c>
      <c r="BX27" s="23">
        <f>$L27*AQ27</f>
        <v>1</v>
      </c>
      <c r="BY27" s="23">
        <f>$L27*AR27</f>
        <v>0</v>
      </c>
      <c r="BZ27" s="23">
        <f>$L27*AS27</f>
        <v>1</v>
      </c>
      <c r="CA27" s="23">
        <f>$L27*AT27</f>
        <v>0</v>
      </c>
      <c r="CB27" s="23">
        <f>$L27*AU27</f>
        <v>0</v>
      </c>
      <c r="CC27" s="23">
        <f>$L27*AV27</f>
        <v>0</v>
      </c>
      <c r="CD27" s="23">
        <f>$L27*AW27</f>
        <v>1</v>
      </c>
      <c r="CE27" s="23">
        <f>$L27*AX27</f>
        <v>0</v>
      </c>
      <c r="CF27" s="23">
        <f>$L27*AY27</f>
        <v>0</v>
      </c>
      <c r="CG27" s="23">
        <f>$L27*AZ27</f>
        <v>0</v>
      </c>
      <c r="CH27" s="23">
        <f>$L27*BA27</f>
        <v>1</v>
      </c>
      <c r="CI27" s="23">
        <f>$L27*BB27</f>
        <v>0</v>
      </c>
      <c r="CJ27" s="23">
        <f>$L27*BC27</f>
        <v>0</v>
      </c>
      <c r="CK27" s="23">
        <f>$L27*BD27</f>
        <v>0</v>
      </c>
      <c r="CL27" s="23">
        <f>$L27*BE27</f>
        <v>1</v>
      </c>
      <c r="CM27" s="23">
        <f>$L27*BF27</f>
        <v>1</v>
      </c>
      <c r="CN27" s="23">
        <f>$L27*BG27</f>
        <v>0</v>
      </c>
      <c r="CO27" s="23">
        <f>$L27*BH27</f>
        <v>0</v>
      </c>
      <c r="CP27" s="23">
        <f>$L27*BI27</f>
        <v>0</v>
      </c>
      <c r="CQ27" s="23">
        <f>$L27*BJ27</f>
        <v>0</v>
      </c>
      <c r="CR27" s="23">
        <f>$L27*BK27</f>
        <v>0</v>
      </c>
      <c r="CS27" s="23">
        <f>$L27*BL27</f>
        <v>0</v>
      </c>
      <c r="CT27" s="23">
        <f>$L27*BM27</f>
        <v>0</v>
      </c>
      <c r="CU27" s="23">
        <f>$L27*BN27</f>
        <v>0</v>
      </c>
      <c r="CV27" s="23">
        <f>$L27*BO27</f>
        <v>0</v>
      </c>
    </row>
    <row r="28" spans="1:100" ht="13.5" x14ac:dyDescent="0.15">
      <c r="A28" s="15">
        <v>95</v>
      </c>
      <c r="B28" s="27" t="s">
        <v>241</v>
      </c>
      <c r="C28" t="s">
        <v>197</v>
      </c>
      <c r="D28" t="s">
        <v>242</v>
      </c>
      <c r="F28" t="s">
        <v>155</v>
      </c>
      <c r="G28" t="s">
        <v>199</v>
      </c>
      <c r="H28" t="s">
        <v>200</v>
      </c>
      <c r="I28" s="6" t="s">
        <v>136</v>
      </c>
      <c r="J28" s="6">
        <v>0</v>
      </c>
      <c r="K28" t="s">
        <v>201</v>
      </c>
      <c r="L28" s="15">
        <v>1</v>
      </c>
      <c r="M28" s="7">
        <v>46120</v>
      </c>
      <c r="N28" s="7">
        <v>46132</v>
      </c>
      <c r="O28" s="7">
        <v>46129</v>
      </c>
      <c r="P28" s="7">
        <v>46129</v>
      </c>
      <c r="S28" s="6" t="s">
        <v>199</v>
      </c>
      <c r="U28" s="6" t="s">
        <v>150</v>
      </c>
      <c r="V28" s="6" t="str">
        <f>TEXT(N28,"YY/MM")</f>
        <v>26/04</v>
      </c>
      <c r="W28">
        <v>21399</v>
      </c>
      <c r="Y28" s="6" t="s">
        <v>203</v>
      </c>
      <c r="Z28" s="6" t="s">
        <v>152</v>
      </c>
      <c r="AE28">
        <v>1264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0</v>
      </c>
      <c r="AP28" s="23">
        <v>1</v>
      </c>
      <c r="AQ28" s="23">
        <v>0</v>
      </c>
      <c r="AR28" s="23">
        <v>0</v>
      </c>
      <c r="AS28" s="23">
        <v>1</v>
      </c>
      <c r="AT28" s="23">
        <v>0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>$L28*AI28</f>
        <v>1</v>
      </c>
      <c r="BQ28" s="23">
        <f>$L28*AJ28</f>
        <v>1</v>
      </c>
      <c r="BR28" s="23">
        <f>$L28*AK28</f>
        <v>0</v>
      </c>
      <c r="BS28" s="23">
        <f>$L28*AL28</f>
        <v>0</v>
      </c>
      <c r="BT28" s="23">
        <f>$L28*AM28</f>
        <v>1</v>
      </c>
      <c r="BU28" s="23">
        <f>$L28*AN28</f>
        <v>0</v>
      </c>
      <c r="BV28" s="23">
        <f>$L28*AO28</f>
        <v>0</v>
      </c>
      <c r="BW28" s="23">
        <f>$L28*AP28</f>
        <v>1</v>
      </c>
      <c r="BX28" s="23">
        <f>$L28*AQ28</f>
        <v>0</v>
      </c>
      <c r="BY28" s="23">
        <f>$L28*AR28</f>
        <v>0</v>
      </c>
      <c r="BZ28" s="23">
        <f>$L28*AS28</f>
        <v>1</v>
      </c>
      <c r="CA28" s="23">
        <f>$L28*AT28</f>
        <v>0</v>
      </c>
      <c r="CB28" s="23">
        <f>$L28*AU28</f>
        <v>1</v>
      </c>
      <c r="CC28" s="23">
        <f>$L28*AV28</f>
        <v>0</v>
      </c>
      <c r="CD28" s="23">
        <f>$L28*AW28</f>
        <v>0</v>
      </c>
      <c r="CE28" s="23">
        <f>$L28*AX28</f>
        <v>1</v>
      </c>
      <c r="CF28" s="23">
        <f>$L28*AY28</f>
        <v>0</v>
      </c>
      <c r="CG28" s="23">
        <f>$L28*AZ28</f>
        <v>0</v>
      </c>
      <c r="CH28" s="23">
        <f>$L28*BA28</f>
        <v>0</v>
      </c>
      <c r="CI28" s="23">
        <f>$L28*BB28</f>
        <v>1</v>
      </c>
      <c r="CJ28" s="23">
        <f>$L28*BC28</f>
        <v>0</v>
      </c>
      <c r="CK28" s="23">
        <f>$L28*BD28</f>
        <v>0</v>
      </c>
      <c r="CL28" s="23">
        <f>$L28*BE28</f>
        <v>0</v>
      </c>
      <c r="CM28" s="23">
        <f>$L28*BF28</f>
        <v>1</v>
      </c>
      <c r="CN28" s="23">
        <f>$L28*BG28</f>
        <v>0</v>
      </c>
      <c r="CO28" s="23">
        <f>$L28*BH28</f>
        <v>0</v>
      </c>
      <c r="CP28" s="23">
        <f>$L28*BI28</f>
        <v>0</v>
      </c>
      <c r="CQ28" s="23">
        <f>$L28*BJ28</f>
        <v>0</v>
      </c>
      <c r="CR28" s="23">
        <f>$L28*BK28</f>
        <v>0</v>
      </c>
      <c r="CS28" s="23">
        <f>$L28*BL28</f>
        <v>0</v>
      </c>
      <c r="CT28" s="23">
        <f>$L28*BM28</f>
        <v>0</v>
      </c>
      <c r="CU28" s="23">
        <f>$L28*BN28</f>
        <v>0</v>
      </c>
      <c r="CV28" s="23">
        <f>$L28*BO28</f>
        <v>0</v>
      </c>
    </row>
    <row r="29" spans="1:100" ht="13.5" x14ac:dyDescent="0.15">
      <c r="A29" s="15">
        <v>106</v>
      </c>
      <c r="B29" s="27" t="s">
        <v>239</v>
      </c>
      <c r="C29" t="s">
        <v>197</v>
      </c>
      <c r="D29" t="s">
        <v>234</v>
      </c>
      <c r="E29" t="s">
        <v>240</v>
      </c>
      <c r="F29" t="s">
        <v>236</v>
      </c>
      <c r="G29" t="s">
        <v>237</v>
      </c>
      <c r="H29" t="s">
        <v>238</v>
      </c>
      <c r="I29" s="6" t="s">
        <v>130</v>
      </c>
      <c r="J29" s="6">
        <v>1</v>
      </c>
      <c r="L29" s="15">
        <v>1</v>
      </c>
      <c r="M29" s="7">
        <v>46115</v>
      </c>
      <c r="N29" s="7">
        <v>46132</v>
      </c>
      <c r="O29" s="7">
        <v>46129</v>
      </c>
      <c r="P29" s="7">
        <v>46134</v>
      </c>
      <c r="S29" s="6" t="s">
        <v>199</v>
      </c>
      <c r="U29" s="6" t="s">
        <v>150</v>
      </c>
      <c r="V29" s="6" t="str">
        <f>TEXT(N29,"YY/MM")</f>
        <v>26/04</v>
      </c>
      <c r="W29">
        <v>21400</v>
      </c>
      <c r="Y29" s="6" t="s">
        <v>203</v>
      </c>
      <c r="Z29" s="6" t="s">
        <v>152</v>
      </c>
      <c r="AE29">
        <v>1265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0</v>
      </c>
      <c r="AP29" s="23">
        <v>1</v>
      </c>
      <c r="AQ29" s="23">
        <v>0</v>
      </c>
      <c r="AR29" s="23">
        <v>0</v>
      </c>
      <c r="AS29" s="23">
        <v>1</v>
      </c>
      <c r="AT29" s="23">
        <v>0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>$L29*AI29</f>
        <v>1</v>
      </c>
      <c r="BQ29" s="23">
        <f>$L29*AJ29</f>
        <v>1</v>
      </c>
      <c r="BR29" s="23">
        <f>$L29*AK29</f>
        <v>0</v>
      </c>
      <c r="BS29" s="23">
        <f>$L29*AL29</f>
        <v>0</v>
      </c>
      <c r="BT29" s="23">
        <f>$L29*AM29</f>
        <v>1</v>
      </c>
      <c r="BU29" s="23">
        <f>$L29*AN29</f>
        <v>0</v>
      </c>
      <c r="BV29" s="23">
        <f>$L29*AO29</f>
        <v>0</v>
      </c>
      <c r="BW29" s="23">
        <f>$L29*AP29</f>
        <v>1</v>
      </c>
      <c r="BX29" s="23">
        <f>$L29*AQ29</f>
        <v>0</v>
      </c>
      <c r="BY29" s="23">
        <f>$L29*AR29</f>
        <v>0</v>
      </c>
      <c r="BZ29" s="23">
        <f>$L29*AS29</f>
        <v>1</v>
      </c>
      <c r="CA29" s="23">
        <f>$L29*AT29</f>
        <v>0</v>
      </c>
      <c r="CB29" s="23">
        <f>$L29*AU29</f>
        <v>1</v>
      </c>
      <c r="CC29" s="23">
        <f>$L29*AV29</f>
        <v>0</v>
      </c>
      <c r="CD29" s="23">
        <f>$L29*AW29</f>
        <v>0</v>
      </c>
      <c r="CE29" s="23">
        <f>$L29*AX29</f>
        <v>1</v>
      </c>
      <c r="CF29" s="23">
        <f>$L29*AY29</f>
        <v>0</v>
      </c>
      <c r="CG29" s="23">
        <f>$L29*AZ29</f>
        <v>0</v>
      </c>
      <c r="CH29" s="23">
        <f>$L29*BA29</f>
        <v>0</v>
      </c>
      <c r="CI29" s="23">
        <f>$L29*BB29</f>
        <v>1</v>
      </c>
      <c r="CJ29" s="23">
        <f>$L29*BC29</f>
        <v>0</v>
      </c>
      <c r="CK29" s="23">
        <f>$L29*BD29</f>
        <v>0</v>
      </c>
      <c r="CL29" s="23">
        <f>$L29*BE29</f>
        <v>0</v>
      </c>
      <c r="CM29" s="23">
        <f>$L29*BF29</f>
        <v>1</v>
      </c>
      <c r="CN29" s="23">
        <f>$L29*BG29</f>
        <v>0</v>
      </c>
      <c r="CO29" s="23">
        <f>$L29*BH29</f>
        <v>0</v>
      </c>
      <c r="CP29" s="23">
        <f>$L29*BI29</f>
        <v>0</v>
      </c>
      <c r="CQ29" s="23">
        <f>$L29*BJ29</f>
        <v>0</v>
      </c>
      <c r="CR29" s="23">
        <f>$L29*BK29</f>
        <v>0</v>
      </c>
      <c r="CS29" s="23">
        <f>$L29*BL29</f>
        <v>0</v>
      </c>
      <c r="CT29" s="23">
        <f>$L29*BM29</f>
        <v>0</v>
      </c>
      <c r="CU29" s="23">
        <f>$L29*BN29</f>
        <v>0</v>
      </c>
      <c r="CV29" s="23">
        <f>$L29*BO29</f>
        <v>0</v>
      </c>
    </row>
    <row r="30" spans="1:100" ht="13.5" x14ac:dyDescent="0.15">
      <c r="A30" s="15">
        <v>105</v>
      </c>
      <c r="B30" s="27" t="s">
        <v>233</v>
      </c>
      <c r="C30" t="s">
        <v>197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s="6" t="s">
        <v>130</v>
      </c>
      <c r="J30" s="6">
        <v>1</v>
      </c>
      <c r="L30" s="15">
        <v>1</v>
      </c>
      <c r="M30" s="7">
        <v>46115</v>
      </c>
      <c r="N30" s="7">
        <v>46132</v>
      </c>
      <c r="O30" s="7">
        <v>46129</v>
      </c>
      <c r="P30" s="7">
        <v>46134</v>
      </c>
      <c r="S30" s="6" t="s">
        <v>199</v>
      </c>
      <c r="U30" s="6" t="s">
        <v>150</v>
      </c>
      <c r="V30" s="6" t="str">
        <f>TEXT(N30,"YY/MM")</f>
        <v>26/04</v>
      </c>
      <c r="W30">
        <v>21401</v>
      </c>
      <c r="Y30" s="6" t="s">
        <v>203</v>
      </c>
      <c r="Z30" s="6" t="s">
        <v>152</v>
      </c>
      <c r="AE30">
        <v>1266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0</v>
      </c>
      <c r="AP30" s="23">
        <v>1</v>
      </c>
      <c r="AQ30" s="23">
        <v>0</v>
      </c>
      <c r="AR30" s="23">
        <v>0</v>
      </c>
      <c r="AS30" s="23">
        <v>1</v>
      </c>
      <c r="AT30" s="23">
        <v>0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>$L30*AI30</f>
        <v>1</v>
      </c>
      <c r="BQ30" s="23">
        <f>$L30*AJ30</f>
        <v>1</v>
      </c>
      <c r="BR30" s="23">
        <f>$L30*AK30</f>
        <v>0</v>
      </c>
      <c r="BS30" s="23">
        <f>$L30*AL30</f>
        <v>0</v>
      </c>
      <c r="BT30" s="23">
        <f>$L30*AM30</f>
        <v>1</v>
      </c>
      <c r="BU30" s="23">
        <f>$L30*AN30</f>
        <v>0</v>
      </c>
      <c r="BV30" s="23">
        <f>$L30*AO30</f>
        <v>0</v>
      </c>
      <c r="BW30" s="23">
        <f>$L30*AP30</f>
        <v>1</v>
      </c>
      <c r="BX30" s="23">
        <f>$L30*AQ30</f>
        <v>0</v>
      </c>
      <c r="BY30" s="23">
        <f>$L30*AR30</f>
        <v>0</v>
      </c>
      <c r="BZ30" s="23">
        <f>$L30*AS30</f>
        <v>1</v>
      </c>
      <c r="CA30" s="23">
        <f>$L30*AT30</f>
        <v>0</v>
      </c>
      <c r="CB30" s="23">
        <f>$L30*AU30</f>
        <v>1</v>
      </c>
      <c r="CC30" s="23">
        <f>$L30*AV30</f>
        <v>0</v>
      </c>
      <c r="CD30" s="23">
        <f>$L30*AW30</f>
        <v>0</v>
      </c>
      <c r="CE30" s="23">
        <f>$L30*AX30</f>
        <v>1</v>
      </c>
      <c r="CF30" s="23">
        <f>$L30*AY30</f>
        <v>0</v>
      </c>
      <c r="CG30" s="23">
        <f>$L30*AZ30</f>
        <v>0</v>
      </c>
      <c r="CH30" s="23">
        <f>$L30*BA30</f>
        <v>0</v>
      </c>
      <c r="CI30" s="23">
        <f>$L30*BB30</f>
        <v>1</v>
      </c>
      <c r="CJ30" s="23">
        <f>$L30*BC30</f>
        <v>0</v>
      </c>
      <c r="CK30" s="23">
        <f>$L30*BD30</f>
        <v>0</v>
      </c>
      <c r="CL30" s="23">
        <f>$L30*BE30</f>
        <v>0</v>
      </c>
      <c r="CM30" s="23">
        <f>$L30*BF30</f>
        <v>1</v>
      </c>
      <c r="CN30" s="23">
        <f>$L30*BG30</f>
        <v>0</v>
      </c>
      <c r="CO30" s="23">
        <f>$L30*BH30</f>
        <v>0</v>
      </c>
      <c r="CP30" s="23">
        <f>$L30*BI30</f>
        <v>0</v>
      </c>
      <c r="CQ30" s="23">
        <f>$L30*BJ30</f>
        <v>0</v>
      </c>
      <c r="CR30" s="23">
        <f>$L30*BK30</f>
        <v>0</v>
      </c>
      <c r="CS30" s="23">
        <f>$L30*BL30</f>
        <v>0</v>
      </c>
      <c r="CT30" s="23">
        <f>$L30*BM30</f>
        <v>0</v>
      </c>
      <c r="CU30" s="23">
        <f>$L30*BN30</f>
        <v>0</v>
      </c>
      <c r="CV30" s="23">
        <f>$L30*BO30</f>
        <v>0</v>
      </c>
    </row>
    <row r="31" spans="1:100" ht="13.5" x14ac:dyDescent="0.15">
      <c r="A31" s="15">
        <v>98</v>
      </c>
      <c r="B31" s="27" t="s">
        <v>243</v>
      </c>
      <c r="C31" t="s">
        <v>197</v>
      </c>
      <c r="D31" t="s">
        <v>244</v>
      </c>
      <c r="F31" t="s">
        <v>155</v>
      </c>
      <c r="G31" t="s">
        <v>199</v>
      </c>
      <c r="H31" t="s">
        <v>200</v>
      </c>
      <c r="I31" s="6" t="s">
        <v>136</v>
      </c>
      <c r="J31" s="6">
        <v>0</v>
      </c>
      <c r="K31" t="s">
        <v>201</v>
      </c>
      <c r="L31" s="15">
        <v>1</v>
      </c>
      <c r="M31" s="7">
        <v>46121</v>
      </c>
      <c r="N31" s="7">
        <v>46133</v>
      </c>
      <c r="O31" s="7">
        <v>46132</v>
      </c>
      <c r="P31" s="7">
        <v>46132</v>
      </c>
      <c r="S31" s="6" t="s">
        <v>199</v>
      </c>
      <c r="U31" s="6" t="s">
        <v>150</v>
      </c>
      <c r="V31" s="6" t="str">
        <f>TEXT(N31,"YY/MM")</f>
        <v>26/04</v>
      </c>
      <c r="W31">
        <v>21402</v>
      </c>
      <c r="Y31" s="6" t="s">
        <v>203</v>
      </c>
      <c r="Z31" s="6" t="s">
        <v>152</v>
      </c>
      <c r="AE31">
        <v>1267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0</v>
      </c>
      <c r="AP31" s="23">
        <v>1</v>
      </c>
      <c r="AQ31" s="23">
        <v>0</v>
      </c>
      <c r="AR31" s="23">
        <v>0</v>
      </c>
      <c r="AS31" s="23">
        <v>1</v>
      </c>
      <c r="AT31" s="23">
        <v>0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>$L31*AI31</f>
        <v>1</v>
      </c>
      <c r="BQ31" s="23">
        <f>$L31*AJ31</f>
        <v>1</v>
      </c>
      <c r="BR31" s="23">
        <f>$L31*AK31</f>
        <v>0</v>
      </c>
      <c r="BS31" s="23">
        <f>$L31*AL31</f>
        <v>0</v>
      </c>
      <c r="BT31" s="23">
        <f>$L31*AM31</f>
        <v>1</v>
      </c>
      <c r="BU31" s="23">
        <f>$L31*AN31</f>
        <v>0</v>
      </c>
      <c r="BV31" s="23">
        <f>$L31*AO31</f>
        <v>0</v>
      </c>
      <c r="BW31" s="23">
        <f>$L31*AP31</f>
        <v>1</v>
      </c>
      <c r="BX31" s="23">
        <f>$L31*AQ31</f>
        <v>0</v>
      </c>
      <c r="BY31" s="23">
        <f>$L31*AR31</f>
        <v>0</v>
      </c>
      <c r="BZ31" s="23">
        <f>$L31*AS31</f>
        <v>1</v>
      </c>
      <c r="CA31" s="23">
        <f>$L31*AT31</f>
        <v>0</v>
      </c>
      <c r="CB31" s="23">
        <f>$L31*AU31</f>
        <v>1</v>
      </c>
      <c r="CC31" s="23">
        <f>$L31*AV31</f>
        <v>0</v>
      </c>
      <c r="CD31" s="23">
        <f>$L31*AW31</f>
        <v>0</v>
      </c>
      <c r="CE31" s="23">
        <f>$L31*AX31</f>
        <v>1</v>
      </c>
      <c r="CF31" s="23">
        <f>$L31*AY31</f>
        <v>0</v>
      </c>
      <c r="CG31" s="23">
        <f>$L31*AZ31</f>
        <v>0</v>
      </c>
      <c r="CH31" s="23">
        <f>$L31*BA31</f>
        <v>0</v>
      </c>
      <c r="CI31" s="23">
        <f>$L31*BB31</f>
        <v>1</v>
      </c>
      <c r="CJ31" s="23">
        <f>$L31*BC31</f>
        <v>0</v>
      </c>
      <c r="CK31" s="23">
        <f>$L31*BD31</f>
        <v>0</v>
      </c>
      <c r="CL31" s="23">
        <f>$L31*BE31</f>
        <v>0</v>
      </c>
      <c r="CM31" s="23">
        <f>$L31*BF31</f>
        <v>1</v>
      </c>
      <c r="CN31" s="23">
        <f>$L31*BG31</f>
        <v>0</v>
      </c>
      <c r="CO31" s="23">
        <f>$L31*BH31</f>
        <v>0</v>
      </c>
      <c r="CP31" s="23">
        <f>$L31*BI31</f>
        <v>0</v>
      </c>
      <c r="CQ31" s="23">
        <f>$L31*BJ31</f>
        <v>0</v>
      </c>
      <c r="CR31" s="23">
        <f>$L31*BK31</f>
        <v>0</v>
      </c>
      <c r="CS31" s="23">
        <f>$L31*BL31</f>
        <v>0</v>
      </c>
      <c r="CT31" s="23">
        <f>$L31*BM31</f>
        <v>0</v>
      </c>
      <c r="CU31" s="23">
        <f>$L31*BN31</f>
        <v>0</v>
      </c>
      <c r="CV31" s="23">
        <f>$L31*BO31</f>
        <v>0</v>
      </c>
    </row>
    <row r="32" spans="1:100" ht="13.5" x14ac:dyDescent="0.15">
      <c r="A32" s="15">
        <v>112</v>
      </c>
      <c r="B32" s="27" t="s">
        <v>245</v>
      </c>
      <c r="C32" t="s">
        <v>197</v>
      </c>
      <c r="D32" t="s">
        <v>246</v>
      </c>
      <c r="F32" t="s">
        <v>236</v>
      </c>
      <c r="G32" t="s">
        <v>247</v>
      </c>
      <c r="H32" t="s">
        <v>248</v>
      </c>
      <c r="I32" s="6" t="s">
        <v>130</v>
      </c>
      <c r="J32" s="6">
        <v>1</v>
      </c>
      <c r="L32" s="15">
        <v>1</v>
      </c>
      <c r="M32" s="7">
        <v>46120</v>
      </c>
      <c r="N32" s="7">
        <v>46135</v>
      </c>
      <c r="O32" s="7">
        <v>46134</v>
      </c>
      <c r="P32" s="7">
        <v>46139</v>
      </c>
      <c r="S32" s="6" t="s">
        <v>199</v>
      </c>
      <c r="U32" s="6" t="s">
        <v>150</v>
      </c>
      <c r="V32" s="6" t="str">
        <f>TEXT(N32,"YY/MM")</f>
        <v>26/04</v>
      </c>
      <c r="W32">
        <v>21403</v>
      </c>
      <c r="Y32" s="6" t="s">
        <v>203</v>
      </c>
      <c r="Z32" s="6" t="s">
        <v>152</v>
      </c>
      <c r="AE32">
        <v>1268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0</v>
      </c>
      <c r="AP32" s="23">
        <v>1</v>
      </c>
      <c r="AQ32" s="23">
        <v>0</v>
      </c>
      <c r="AR32" s="23">
        <v>0</v>
      </c>
      <c r="AS32" s="23">
        <v>1</v>
      </c>
      <c r="AT32" s="23">
        <v>0</v>
      </c>
      <c r="AU32" s="23">
        <v>1</v>
      </c>
      <c r="AV32" s="23">
        <v>0</v>
      </c>
      <c r="AW32" s="23">
        <v>0</v>
      </c>
      <c r="AX32" s="23">
        <v>1</v>
      </c>
      <c r="AY32" s="23">
        <v>0</v>
      </c>
      <c r="AZ32" s="23">
        <v>0</v>
      </c>
      <c r="BA32" s="23">
        <v>0</v>
      </c>
      <c r="BB32" s="23">
        <v>1</v>
      </c>
      <c r="BC32" s="23">
        <v>0</v>
      </c>
      <c r="BD32" s="23">
        <v>0</v>
      </c>
      <c r="BE32" s="23">
        <v>0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>$L32*AI32</f>
        <v>1</v>
      </c>
      <c r="BQ32" s="23">
        <f>$L32*AJ32</f>
        <v>1</v>
      </c>
      <c r="BR32" s="23">
        <f>$L32*AK32</f>
        <v>0</v>
      </c>
      <c r="BS32" s="23">
        <f>$L32*AL32</f>
        <v>0</v>
      </c>
      <c r="BT32" s="23">
        <f>$L32*AM32</f>
        <v>1</v>
      </c>
      <c r="BU32" s="23">
        <f>$L32*AN32</f>
        <v>0</v>
      </c>
      <c r="BV32" s="23">
        <f>$L32*AO32</f>
        <v>0</v>
      </c>
      <c r="BW32" s="23">
        <f>$L32*AP32</f>
        <v>1</v>
      </c>
      <c r="BX32" s="23">
        <f>$L32*AQ32</f>
        <v>0</v>
      </c>
      <c r="BY32" s="23">
        <f>$L32*AR32</f>
        <v>0</v>
      </c>
      <c r="BZ32" s="23">
        <f>$L32*AS32</f>
        <v>1</v>
      </c>
      <c r="CA32" s="23">
        <f>$L32*AT32</f>
        <v>0</v>
      </c>
      <c r="CB32" s="23">
        <f>$L32*AU32</f>
        <v>1</v>
      </c>
      <c r="CC32" s="23">
        <f>$L32*AV32</f>
        <v>0</v>
      </c>
      <c r="CD32" s="23">
        <f>$L32*AW32</f>
        <v>0</v>
      </c>
      <c r="CE32" s="23">
        <f>$L32*AX32</f>
        <v>1</v>
      </c>
      <c r="CF32" s="23">
        <f>$L32*AY32</f>
        <v>0</v>
      </c>
      <c r="CG32" s="23">
        <f>$L32*AZ32</f>
        <v>0</v>
      </c>
      <c r="CH32" s="23">
        <f>$L32*BA32</f>
        <v>0</v>
      </c>
      <c r="CI32" s="23">
        <f>$L32*BB32</f>
        <v>1</v>
      </c>
      <c r="CJ32" s="23">
        <f>$L32*BC32</f>
        <v>0</v>
      </c>
      <c r="CK32" s="23">
        <f>$L32*BD32</f>
        <v>0</v>
      </c>
      <c r="CL32" s="23">
        <f>$L32*BE32</f>
        <v>0</v>
      </c>
      <c r="CM32" s="23">
        <f>$L32*BF32</f>
        <v>1</v>
      </c>
      <c r="CN32" s="23">
        <f>$L32*BG32</f>
        <v>0</v>
      </c>
      <c r="CO32" s="23">
        <f>$L32*BH32</f>
        <v>0</v>
      </c>
      <c r="CP32" s="23">
        <f>$L32*BI32</f>
        <v>0</v>
      </c>
      <c r="CQ32" s="23">
        <f>$L32*BJ32</f>
        <v>0</v>
      </c>
      <c r="CR32" s="23">
        <f>$L32*BK32</f>
        <v>0</v>
      </c>
      <c r="CS32" s="23">
        <f>$L32*BL32</f>
        <v>0</v>
      </c>
      <c r="CT32" s="23">
        <f>$L32*BM32</f>
        <v>0</v>
      </c>
      <c r="CU32" s="23">
        <f>$L32*BN32</f>
        <v>0</v>
      </c>
      <c r="CV32" s="23">
        <f>$L32*BO32</f>
        <v>0</v>
      </c>
    </row>
    <row r="33" spans="1:100" ht="13.5" x14ac:dyDescent="0.15">
      <c r="A33" s="15">
        <v>119</v>
      </c>
      <c r="B33" s="27" t="s">
        <v>249</v>
      </c>
      <c r="C33" t="s">
        <v>197</v>
      </c>
      <c r="D33" t="s">
        <v>250</v>
      </c>
      <c r="F33" t="s">
        <v>155</v>
      </c>
      <c r="G33" t="s">
        <v>199</v>
      </c>
      <c r="H33" t="s">
        <v>200</v>
      </c>
      <c r="I33" s="6" t="s">
        <v>136</v>
      </c>
      <c r="J33" s="6">
        <v>0</v>
      </c>
      <c r="K33" t="s">
        <v>201</v>
      </c>
      <c r="L33" s="15">
        <v>1</v>
      </c>
      <c r="M33" s="7">
        <v>46132</v>
      </c>
      <c r="N33" s="7">
        <v>46150</v>
      </c>
      <c r="O33" s="7">
        <v>46149</v>
      </c>
      <c r="P33" s="7">
        <v>46149</v>
      </c>
      <c r="S33" s="6" t="s">
        <v>199</v>
      </c>
      <c r="U33" s="6" t="s">
        <v>150</v>
      </c>
      <c r="V33" s="6" t="str">
        <f>TEXT(N33,"YY/MM")</f>
        <v>26/05</v>
      </c>
      <c r="W33">
        <v>21404</v>
      </c>
      <c r="Y33" s="6" t="s">
        <v>203</v>
      </c>
      <c r="Z33" s="6" t="s">
        <v>152</v>
      </c>
      <c r="AE33">
        <v>1269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0</v>
      </c>
      <c r="AP33" s="23">
        <v>1</v>
      </c>
      <c r="AQ33" s="23">
        <v>0</v>
      </c>
      <c r="AR33" s="23">
        <v>0</v>
      </c>
      <c r="AS33" s="23">
        <v>1</v>
      </c>
      <c r="AT33" s="23">
        <v>0</v>
      </c>
      <c r="AU33" s="23">
        <v>1</v>
      </c>
      <c r="AV33" s="23">
        <v>0</v>
      </c>
      <c r="AW33" s="23">
        <v>0</v>
      </c>
      <c r="AX33" s="23">
        <v>1</v>
      </c>
      <c r="AY33" s="23">
        <v>0</v>
      </c>
      <c r="AZ33" s="23">
        <v>0</v>
      </c>
      <c r="BA33" s="23">
        <v>0</v>
      </c>
      <c r="BB33" s="23">
        <v>1</v>
      </c>
      <c r="BC33" s="23">
        <v>0</v>
      </c>
      <c r="BD33" s="23">
        <v>0</v>
      </c>
      <c r="BE33" s="23">
        <v>0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>$L33*AI33</f>
        <v>1</v>
      </c>
      <c r="BQ33" s="23">
        <f>$L33*AJ33</f>
        <v>1</v>
      </c>
      <c r="BR33" s="23">
        <f>$L33*AK33</f>
        <v>0</v>
      </c>
      <c r="BS33" s="23">
        <f>$L33*AL33</f>
        <v>0</v>
      </c>
      <c r="BT33" s="23">
        <f>$L33*AM33</f>
        <v>1</v>
      </c>
      <c r="BU33" s="23">
        <f>$L33*AN33</f>
        <v>0</v>
      </c>
      <c r="BV33" s="23">
        <f>$L33*AO33</f>
        <v>0</v>
      </c>
      <c r="BW33" s="23">
        <f>$L33*AP33</f>
        <v>1</v>
      </c>
      <c r="BX33" s="23">
        <f>$L33*AQ33</f>
        <v>0</v>
      </c>
      <c r="BY33" s="23">
        <f>$L33*AR33</f>
        <v>0</v>
      </c>
      <c r="BZ33" s="23">
        <f>$L33*AS33</f>
        <v>1</v>
      </c>
      <c r="CA33" s="23">
        <f>$L33*AT33</f>
        <v>0</v>
      </c>
      <c r="CB33" s="23">
        <f>$L33*AU33</f>
        <v>1</v>
      </c>
      <c r="CC33" s="23">
        <f>$L33*AV33</f>
        <v>0</v>
      </c>
      <c r="CD33" s="23">
        <f>$L33*AW33</f>
        <v>0</v>
      </c>
      <c r="CE33" s="23">
        <f>$L33*AX33</f>
        <v>1</v>
      </c>
      <c r="CF33" s="23">
        <f>$L33*AY33</f>
        <v>0</v>
      </c>
      <c r="CG33" s="23">
        <f>$L33*AZ33</f>
        <v>0</v>
      </c>
      <c r="CH33" s="23">
        <f>$L33*BA33</f>
        <v>0</v>
      </c>
      <c r="CI33" s="23">
        <f>$L33*BB33</f>
        <v>1</v>
      </c>
      <c r="CJ33" s="23">
        <f>$L33*BC33</f>
        <v>0</v>
      </c>
      <c r="CK33" s="23">
        <f>$L33*BD33</f>
        <v>0</v>
      </c>
      <c r="CL33" s="23">
        <f>$L33*BE33</f>
        <v>0</v>
      </c>
      <c r="CM33" s="23">
        <f>$L33*BF33</f>
        <v>1</v>
      </c>
      <c r="CN33" s="23">
        <f>$L33*BG33</f>
        <v>0</v>
      </c>
      <c r="CO33" s="23">
        <f>$L33*BH33</f>
        <v>0</v>
      </c>
      <c r="CP33" s="23">
        <f>$L33*BI33</f>
        <v>0</v>
      </c>
      <c r="CQ33" s="23">
        <f>$L33*BJ33</f>
        <v>0</v>
      </c>
      <c r="CR33" s="23">
        <f>$L33*BK33</f>
        <v>0</v>
      </c>
      <c r="CS33" s="23">
        <f>$L33*BL33</f>
        <v>0</v>
      </c>
      <c r="CT33" s="23">
        <f>$L33*BM33</f>
        <v>0</v>
      </c>
      <c r="CU33" s="23">
        <f>$L33*BN33</f>
        <v>0</v>
      </c>
      <c r="CV33" s="23">
        <f>$L33*BO33</f>
        <v>0</v>
      </c>
    </row>
    <row r="34" spans="1:100" ht="13.5" x14ac:dyDescent="0.15">
      <c r="A34" s="15">
        <v>121</v>
      </c>
      <c r="B34" s="27" t="s">
        <v>253</v>
      </c>
      <c r="C34" t="s">
        <v>197</v>
      </c>
      <c r="D34" t="s">
        <v>254</v>
      </c>
      <c r="E34" t="s">
        <v>214</v>
      </c>
      <c r="F34" t="s">
        <v>155</v>
      </c>
      <c r="G34" t="s">
        <v>199</v>
      </c>
      <c r="H34" t="s">
        <v>200</v>
      </c>
      <c r="I34" s="6" t="s">
        <v>136</v>
      </c>
      <c r="J34" s="6">
        <v>0</v>
      </c>
      <c r="K34" t="s">
        <v>201</v>
      </c>
      <c r="L34" s="15">
        <v>1</v>
      </c>
      <c r="M34" s="7">
        <v>46132</v>
      </c>
      <c r="N34" s="7">
        <v>46150</v>
      </c>
      <c r="O34" s="7">
        <v>46149</v>
      </c>
      <c r="P34" s="7">
        <v>46149</v>
      </c>
      <c r="S34" s="6" t="s">
        <v>199</v>
      </c>
      <c r="U34" s="6" t="s">
        <v>150</v>
      </c>
      <c r="V34" s="6" t="str">
        <f>TEXT(N34,"YY/MM")</f>
        <v>26/05</v>
      </c>
      <c r="W34">
        <v>21405</v>
      </c>
      <c r="Y34" s="6" t="s">
        <v>203</v>
      </c>
      <c r="Z34" s="6" t="s">
        <v>152</v>
      </c>
      <c r="AE34">
        <v>1270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0</v>
      </c>
      <c r="AP34" s="23">
        <v>1</v>
      </c>
      <c r="AQ34" s="23">
        <v>0</v>
      </c>
      <c r="AR34" s="23">
        <v>0</v>
      </c>
      <c r="AS34" s="23">
        <v>1</v>
      </c>
      <c r="AT34" s="23">
        <v>0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>$L34*AI34</f>
        <v>1</v>
      </c>
      <c r="BQ34" s="23">
        <f>$L34*AJ34</f>
        <v>1</v>
      </c>
      <c r="BR34" s="23">
        <f>$L34*AK34</f>
        <v>0</v>
      </c>
      <c r="BS34" s="23">
        <f>$L34*AL34</f>
        <v>0</v>
      </c>
      <c r="BT34" s="23">
        <f>$L34*AM34</f>
        <v>1</v>
      </c>
      <c r="BU34" s="23">
        <f>$L34*AN34</f>
        <v>0</v>
      </c>
      <c r="BV34" s="23">
        <f>$L34*AO34</f>
        <v>0</v>
      </c>
      <c r="BW34" s="23">
        <f>$L34*AP34</f>
        <v>1</v>
      </c>
      <c r="BX34" s="23">
        <f>$L34*AQ34</f>
        <v>0</v>
      </c>
      <c r="BY34" s="23">
        <f>$L34*AR34</f>
        <v>0</v>
      </c>
      <c r="BZ34" s="23">
        <f>$L34*AS34</f>
        <v>1</v>
      </c>
      <c r="CA34" s="23">
        <f>$L34*AT34</f>
        <v>0</v>
      </c>
      <c r="CB34" s="23">
        <f>$L34*AU34</f>
        <v>1</v>
      </c>
      <c r="CC34" s="23">
        <f>$L34*AV34</f>
        <v>0</v>
      </c>
      <c r="CD34" s="23">
        <f>$L34*AW34</f>
        <v>0</v>
      </c>
      <c r="CE34" s="23">
        <f>$L34*AX34</f>
        <v>1</v>
      </c>
      <c r="CF34" s="23">
        <f>$L34*AY34</f>
        <v>0</v>
      </c>
      <c r="CG34" s="23">
        <f>$L34*AZ34</f>
        <v>0</v>
      </c>
      <c r="CH34" s="23">
        <f>$L34*BA34</f>
        <v>0</v>
      </c>
      <c r="CI34" s="23">
        <f>$L34*BB34</f>
        <v>1</v>
      </c>
      <c r="CJ34" s="23">
        <f>$L34*BC34</f>
        <v>0</v>
      </c>
      <c r="CK34" s="23">
        <f>$L34*BD34</f>
        <v>0</v>
      </c>
      <c r="CL34" s="23">
        <f>$L34*BE34</f>
        <v>0</v>
      </c>
      <c r="CM34" s="23">
        <f>$L34*BF34</f>
        <v>1</v>
      </c>
      <c r="CN34" s="23">
        <f>$L34*BG34</f>
        <v>0</v>
      </c>
      <c r="CO34" s="23">
        <f>$L34*BH34</f>
        <v>0</v>
      </c>
      <c r="CP34" s="23">
        <f>$L34*BI34</f>
        <v>0</v>
      </c>
      <c r="CQ34" s="23">
        <f>$L34*BJ34</f>
        <v>0</v>
      </c>
      <c r="CR34" s="23">
        <f>$L34*BK34</f>
        <v>0</v>
      </c>
      <c r="CS34" s="23">
        <f>$L34*BL34</f>
        <v>0</v>
      </c>
      <c r="CT34" s="23">
        <f>$L34*BM34</f>
        <v>0</v>
      </c>
      <c r="CU34" s="23">
        <f>$L34*BN34</f>
        <v>0</v>
      </c>
      <c r="CV34" s="23">
        <f>$L34*BO34</f>
        <v>0</v>
      </c>
    </row>
    <row r="35" spans="1:100" ht="13.5" x14ac:dyDescent="0.15">
      <c r="A35" s="15">
        <v>120</v>
      </c>
      <c r="B35" s="27" t="s">
        <v>251</v>
      </c>
      <c r="C35" t="s">
        <v>197</v>
      </c>
      <c r="D35" t="s">
        <v>252</v>
      </c>
      <c r="E35" t="s">
        <v>214</v>
      </c>
      <c r="F35" t="s">
        <v>155</v>
      </c>
      <c r="G35" t="s">
        <v>199</v>
      </c>
      <c r="H35" t="s">
        <v>200</v>
      </c>
      <c r="I35" s="6" t="s">
        <v>136</v>
      </c>
      <c r="J35" s="6">
        <v>0</v>
      </c>
      <c r="K35" t="s">
        <v>201</v>
      </c>
      <c r="L35" s="15">
        <v>1</v>
      </c>
      <c r="M35" s="7">
        <v>46132</v>
      </c>
      <c r="N35" s="7">
        <v>46150</v>
      </c>
      <c r="O35" s="7">
        <v>46149</v>
      </c>
      <c r="P35" s="7">
        <v>46149</v>
      </c>
      <c r="S35" s="6" t="s">
        <v>199</v>
      </c>
      <c r="U35" s="6" t="s">
        <v>150</v>
      </c>
      <c r="V35" s="6" t="str">
        <f>TEXT(N35,"YY/MM")</f>
        <v>26/05</v>
      </c>
      <c r="W35">
        <v>21406</v>
      </c>
      <c r="Y35" s="6" t="s">
        <v>203</v>
      </c>
      <c r="Z35" s="6" t="s">
        <v>152</v>
      </c>
      <c r="AE35">
        <v>1271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0</v>
      </c>
      <c r="AP35" s="23">
        <v>1</v>
      </c>
      <c r="AQ35" s="23">
        <v>0</v>
      </c>
      <c r="AR35" s="23">
        <v>0</v>
      </c>
      <c r="AS35" s="23">
        <v>1</v>
      </c>
      <c r="AT35" s="23">
        <v>0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>$L35*AI35</f>
        <v>1</v>
      </c>
      <c r="BQ35" s="23">
        <f>$L35*AJ35</f>
        <v>1</v>
      </c>
      <c r="BR35" s="23">
        <f>$L35*AK35</f>
        <v>0</v>
      </c>
      <c r="BS35" s="23">
        <f>$L35*AL35</f>
        <v>0</v>
      </c>
      <c r="BT35" s="23">
        <f>$L35*AM35</f>
        <v>1</v>
      </c>
      <c r="BU35" s="23">
        <f>$L35*AN35</f>
        <v>0</v>
      </c>
      <c r="BV35" s="23">
        <f>$L35*AO35</f>
        <v>0</v>
      </c>
      <c r="BW35" s="23">
        <f>$L35*AP35</f>
        <v>1</v>
      </c>
      <c r="BX35" s="23">
        <f>$L35*AQ35</f>
        <v>0</v>
      </c>
      <c r="BY35" s="23">
        <f>$L35*AR35</f>
        <v>0</v>
      </c>
      <c r="BZ35" s="23">
        <f>$L35*AS35</f>
        <v>1</v>
      </c>
      <c r="CA35" s="23">
        <f>$L35*AT35</f>
        <v>0</v>
      </c>
      <c r="CB35" s="23">
        <f>$L35*AU35</f>
        <v>1</v>
      </c>
      <c r="CC35" s="23">
        <f>$L35*AV35</f>
        <v>0</v>
      </c>
      <c r="CD35" s="23">
        <f>$L35*AW35</f>
        <v>0</v>
      </c>
      <c r="CE35" s="23">
        <f>$L35*AX35</f>
        <v>1</v>
      </c>
      <c r="CF35" s="23">
        <f>$L35*AY35</f>
        <v>0</v>
      </c>
      <c r="CG35" s="23">
        <f>$L35*AZ35</f>
        <v>0</v>
      </c>
      <c r="CH35" s="23">
        <f>$L35*BA35</f>
        <v>0</v>
      </c>
      <c r="CI35" s="23">
        <f>$L35*BB35</f>
        <v>1</v>
      </c>
      <c r="CJ35" s="23">
        <f>$L35*BC35</f>
        <v>0</v>
      </c>
      <c r="CK35" s="23">
        <f>$L35*BD35</f>
        <v>0</v>
      </c>
      <c r="CL35" s="23">
        <f>$L35*BE35</f>
        <v>0</v>
      </c>
      <c r="CM35" s="23">
        <f>$L35*BF35</f>
        <v>1</v>
      </c>
      <c r="CN35" s="23">
        <f>$L35*BG35</f>
        <v>0</v>
      </c>
      <c r="CO35" s="23">
        <f>$L35*BH35</f>
        <v>0</v>
      </c>
      <c r="CP35" s="23">
        <f>$L35*BI35</f>
        <v>0</v>
      </c>
      <c r="CQ35" s="23">
        <f>$L35*BJ35</f>
        <v>0</v>
      </c>
      <c r="CR35" s="23">
        <f>$L35*BK35</f>
        <v>0</v>
      </c>
      <c r="CS35" s="23">
        <f>$L35*BL35</f>
        <v>0</v>
      </c>
      <c r="CT35" s="23">
        <f>$L35*BM35</f>
        <v>0</v>
      </c>
      <c r="CU35" s="23">
        <f>$L35*BN35</f>
        <v>0</v>
      </c>
      <c r="CV35" s="23">
        <f>$L35*BO35</f>
        <v>0</v>
      </c>
    </row>
    <row r="36" spans="1:100" ht="13.5" x14ac:dyDescent="0.15">
      <c r="A36" s="15">
        <v>128</v>
      </c>
      <c r="B36" s="27" t="s">
        <v>259</v>
      </c>
      <c r="C36" t="s">
        <v>138</v>
      </c>
      <c r="E36" t="s">
        <v>256</v>
      </c>
      <c r="F36" t="s">
        <v>155</v>
      </c>
      <c r="G36" t="s">
        <v>256</v>
      </c>
      <c r="H36" t="s">
        <v>257</v>
      </c>
      <c r="I36" s="6" t="s">
        <v>136</v>
      </c>
      <c r="J36" s="6">
        <v>1</v>
      </c>
      <c r="K36" t="s">
        <v>258</v>
      </c>
      <c r="L36" s="15">
        <v>1</v>
      </c>
      <c r="M36" s="7">
        <v>46133</v>
      </c>
      <c r="N36" s="7">
        <v>46153</v>
      </c>
      <c r="O36" s="7">
        <v>46150</v>
      </c>
      <c r="P36" s="7">
        <v>46150</v>
      </c>
      <c r="S36" s="6" t="s">
        <v>256</v>
      </c>
      <c r="U36" s="6" t="s">
        <v>150</v>
      </c>
      <c r="V36" s="6" t="str">
        <f>TEXT(N36,"YY/MM")</f>
        <v>26/05</v>
      </c>
      <c r="W36">
        <v>21407</v>
      </c>
      <c r="Y36" s="6" t="s">
        <v>151</v>
      </c>
      <c r="Z36" s="6" t="s">
        <v>152</v>
      </c>
      <c r="AD36">
        <v>8234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0</v>
      </c>
      <c r="AS36" s="23">
        <v>0</v>
      </c>
      <c r="AT36" s="23">
        <v>1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>$L36*AI36</f>
        <v>1</v>
      </c>
      <c r="BQ36" s="23">
        <f>$L36*AJ36</f>
        <v>1</v>
      </c>
      <c r="BR36" s="23">
        <f>$L36*AK36</f>
        <v>0</v>
      </c>
      <c r="BS36" s="23">
        <f>$L36*AL36</f>
        <v>0</v>
      </c>
      <c r="BT36" s="23">
        <f>$L36*AM36</f>
        <v>1</v>
      </c>
      <c r="BU36" s="23">
        <f>$L36*AN36</f>
        <v>0</v>
      </c>
      <c r="BV36" s="23">
        <f>$L36*AO36</f>
        <v>1</v>
      </c>
      <c r="BW36" s="23">
        <f>$L36*AP36</f>
        <v>0</v>
      </c>
      <c r="BX36" s="23">
        <f>$L36*AQ36</f>
        <v>0</v>
      </c>
      <c r="BY36" s="23">
        <f>$L36*AR36</f>
        <v>0</v>
      </c>
      <c r="BZ36" s="23">
        <f>$L36*AS36</f>
        <v>0</v>
      </c>
      <c r="CA36" s="23">
        <f>$L36*AT36</f>
        <v>1</v>
      </c>
      <c r="CB36" s="23">
        <f>$L36*AU36</f>
        <v>1</v>
      </c>
      <c r="CC36" s="23">
        <f>$L36*AV36</f>
        <v>0</v>
      </c>
      <c r="CD36" s="23">
        <f>$L36*AW36</f>
        <v>0</v>
      </c>
      <c r="CE36" s="23">
        <f>$L36*AX36</f>
        <v>1</v>
      </c>
      <c r="CF36" s="23">
        <f>$L36*AY36</f>
        <v>0</v>
      </c>
      <c r="CG36" s="23">
        <f>$L36*AZ36</f>
        <v>0</v>
      </c>
      <c r="CH36" s="23">
        <f>$L36*BA36</f>
        <v>0</v>
      </c>
      <c r="CI36" s="23">
        <f>$L36*BB36</f>
        <v>1</v>
      </c>
      <c r="CJ36" s="23">
        <f>$L36*BC36</f>
        <v>0</v>
      </c>
      <c r="CK36" s="23">
        <f>$L36*BD36</f>
        <v>0</v>
      </c>
      <c r="CL36" s="23">
        <f>$L36*BE36</f>
        <v>0</v>
      </c>
      <c r="CM36" s="23">
        <f>$L36*BF36</f>
        <v>1</v>
      </c>
      <c r="CN36" s="23">
        <f>$L36*BG36</f>
        <v>0</v>
      </c>
      <c r="CO36" s="23">
        <f>$L36*BH36</f>
        <v>0</v>
      </c>
      <c r="CP36" s="23">
        <f>$L36*BI36</f>
        <v>0</v>
      </c>
      <c r="CQ36" s="23">
        <f>$L36*BJ36</f>
        <v>0</v>
      </c>
      <c r="CR36" s="23">
        <f>$L36*BK36</f>
        <v>0</v>
      </c>
      <c r="CS36" s="23">
        <f>$L36*BL36</f>
        <v>0</v>
      </c>
      <c r="CT36" s="23">
        <f>$L36*BM36</f>
        <v>0</v>
      </c>
      <c r="CU36" s="23">
        <f>$L36*BN36</f>
        <v>0</v>
      </c>
      <c r="CV36" s="23">
        <f>$L36*BO36</f>
        <v>0</v>
      </c>
    </row>
    <row r="37" spans="1:100" ht="13.5" x14ac:dyDescent="0.15">
      <c r="A37" s="15">
        <v>127</v>
      </c>
      <c r="B37" s="27" t="s">
        <v>255</v>
      </c>
      <c r="C37" t="s">
        <v>138</v>
      </c>
      <c r="E37" t="s">
        <v>256</v>
      </c>
      <c r="F37" t="s">
        <v>155</v>
      </c>
      <c r="G37" t="s">
        <v>256</v>
      </c>
      <c r="H37" t="s">
        <v>257</v>
      </c>
      <c r="I37" s="6" t="s">
        <v>136</v>
      </c>
      <c r="J37" s="6">
        <v>1</v>
      </c>
      <c r="K37" t="s">
        <v>258</v>
      </c>
      <c r="L37" s="15">
        <v>1</v>
      </c>
      <c r="M37" s="7">
        <v>46133</v>
      </c>
      <c r="N37" s="7">
        <v>46153</v>
      </c>
      <c r="O37" s="7">
        <v>46150</v>
      </c>
      <c r="P37" s="7">
        <v>46150</v>
      </c>
      <c r="S37" s="6" t="s">
        <v>256</v>
      </c>
      <c r="U37" s="6" t="s">
        <v>150</v>
      </c>
      <c r="V37" s="6" t="str">
        <f>TEXT(N37,"YY/MM")</f>
        <v>26/05</v>
      </c>
      <c r="W37">
        <v>21408</v>
      </c>
      <c r="Y37" s="6" t="s">
        <v>151</v>
      </c>
      <c r="Z37" s="6" t="s">
        <v>152</v>
      </c>
      <c r="AD37">
        <v>8235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0</v>
      </c>
      <c r="AS37" s="23">
        <v>0</v>
      </c>
      <c r="AT37" s="23">
        <v>1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>$L37*AI37</f>
        <v>1</v>
      </c>
      <c r="BQ37" s="23">
        <f>$L37*AJ37</f>
        <v>1</v>
      </c>
      <c r="BR37" s="23">
        <f>$L37*AK37</f>
        <v>0</v>
      </c>
      <c r="BS37" s="23">
        <f>$L37*AL37</f>
        <v>0</v>
      </c>
      <c r="BT37" s="23">
        <f>$L37*AM37</f>
        <v>1</v>
      </c>
      <c r="BU37" s="23">
        <f>$L37*AN37</f>
        <v>0</v>
      </c>
      <c r="BV37" s="23">
        <f>$L37*AO37</f>
        <v>1</v>
      </c>
      <c r="BW37" s="23">
        <f>$L37*AP37</f>
        <v>0</v>
      </c>
      <c r="BX37" s="23">
        <f>$L37*AQ37</f>
        <v>0</v>
      </c>
      <c r="BY37" s="23">
        <f>$L37*AR37</f>
        <v>0</v>
      </c>
      <c r="BZ37" s="23">
        <f>$L37*AS37</f>
        <v>0</v>
      </c>
      <c r="CA37" s="23">
        <f>$L37*AT37</f>
        <v>1</v>
      </c>
      <c r="CB37" s="23">
        <f>$L37*AU37</f>
        <v>1</v>
      </c>
      <c r="CC37" s="23">
        <f>$L37*AV37</f>
        <v>0</v>
      </c>
      <c r="CD37" s="23">
        <f>$L37*AW37</f>
        <v>0</v>
      </c>
      <c r="CE37" s="23">
        <f>$L37*AX37</f>
        <v>1</v>
      </c>
      <c r="CF37" s="23">
        <f>$L37*AY37</f>
        <v>0</v>
      </c>
      <c r="CG37" s="23">
        <f>$L37*AZ37</f>
        <v>0</v>
      </c>
      <c r="CH37" s="23">
        <f>$L37*BA37</f>
        <v>0</v>
      </c>
      <c r="CI37" s="23">
        <f>$L37*BB37</f>
        <v>1</v>
      </c>
      <c r="CJ37" s="23">
        <f>$L37*BC37</f>
        <v>0</v>
      </c>
      <c r="CK37" s="23">
        <f>$L37*BD37</f>
        <v>0</v>
      </c>
      <c r="CL37" s="23">
        <f>$L37*BE37</f>
        <v>0</v>
      </c>
      <c r="CM37" s="23">
        <f>$L37*BF37</f>
        <v>1</v>
      </c>
      <c r="CN37" s="23">
        <f>$L37*BG37</f>
        <v>0</v>
      </c>
      <c r="CO37" s="23">
        <f>$L37*BH37</f>
        <v>0</v>
      </c>
      <c r="CP37" s="23">
        <f>$L37*BI37</f>
        <v>0</v>
      </c>
      <c r="CQ37" s="23">
        <f>$L37*BJ37</f>
        <v>0</v>
      </c>
      <c r="CR37" s="23">
        <f>$L37*BK37</f>
        <v>0</v>
      </c>
      <c r="CS37" s="23">
        <f>$L37*BL37</f>
        <v>0</v>
      </c>
      <c r="CT37" s="23">
        <f>$L37*BM37</f>
        <v>0</v>
      </c>
      <c r="CU37" s="23">
        <f>$L37*BN37</f>
        <v>0</v>
      </c>
      <c r="CV37" s="23">
        <f>$L37*BO37</f>
        <v>0</v>
      </c>
    </row>
    <row r="38" spans="1:100" ht="13.5" x14ac:dyDescent="0.15">
      <c r="A38" s="15">
        <v>129</v>
      </c>
      <c r="B38" s="27" t="s">
        <v>260</v>
      </c>
      <c r="C38" t="s">
        <v>138</v>
      </c>
      <c r="E38" t="s">
        <v>256</v>
      </c>
      <c r="F38" t="s">
        <v>155</v>
      </c>
      <c r="G38" t="s">
        <v>256</v>
      </c>
      <c r="H38" t="s">
        <v>257</v>
      </c>
      <c r="I38" s="6" t="s">
        <v>136</v>
      </c>
      <c r="J38" s="6">
        <v>1</v>
      </c>
      <c r="K38" t="s">
        <v>258</v>
      </c>
      <c r="L38" s="15">
        <v>1</v>
      </c>
      <c r="M38" s="7">
        <v>46133</v>
      </c>
      <c r="N38" s="7">
        <v>46153</v>
      </c>
      <c r="O38" s="7">
        <v>46150</v>
      </c>
      <c r="P38" s="7">
        <v>46150</v>
      </c>
      <c r="S38" s="6" t="s">
        <v>256</v>
      </c>
      <c r="U38" s="6" t="s">
        <v>150</v>
      </c>
      <c r="V38" s="6" t="str">
        <f>TEXT(N38,"YY/MM")</f>
        <v>26/05</v>
      </c>
      <c r="W38">
        <v>21409</v>
      </c>
      <c r="Y38" s="6" t="s">
        <v>151</v>
      </c>
      <c r="Z38" s="6" t="s">
        <v>152</v>
      </c>
      <c r="AD38">
        <v>8236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0</v>
      </c>
      <c r="AS38" s="23">
        <v>0</v>
      </c>
      <c r="AT38" s="23">
        <v>1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>$L38*AI38</f>
        <v>1</v>
      </c>
      <c r="BQ38" s="23">
        <f>$L38*AJ38</f>
        <v>1</v>
      </c>
      <c r="BR38" s="23">
        <f>$L38*AK38</f>
        <v>0</v>
      </c>
      <c r="BS38" s="23">
        <f>$L38*AL38</f>
        <v>0</v>
      </c>
      <c r="BT38" s="23">
        <f>$L38*AM38</f>
        <v>1</v>
      </c>
      <c r="BU38" s="23">
        <f>$L38*AN38</f>
        <v>0</v>
      </c>
      <c r="BV38" s="23">
        <f>$L38*AO38</f>
        <v>1</v>
      </c>
      <c r="BW38" s="23">
        <f>$L38*AP38</f>
        <v>0</v>
      </c>
      <c r="BX38" s="23">
        <f>$L38*AQ38</f>
        <v>0</v>
      </c>
      <c r="BY38" s="23">
        <f>$L38*AR38</f>
        <v>0</v>
      </c>
      <c r="BZ38" s="23">
        <f>$L38*AS38</f>
        <v>0</v>
      </c>
      <c r="CA38" s="23">
        <f>$L38*AT38</f>
        <v>1</v>
      </c>
      <c r="CB38" s="23">
        <f>$L38*AU38</f>
        <v>1</v>
      </c>
      <c r="CC38" s="23">
        <f>$L38*AV38</f>
        <v>0</v>
      </c>
      <c r="CD38" s="23">
        <f>$L38*AW38</f>
        <v>0</v>
      </c>
      <c r="CE38" s="23">
        <f>$L38*AX38</f>
        <v>1</v>
      </c>
      <c r="CF38" s="23">
        <f>$L38*AY38</f>
        <v>0</v>
      </c>
      <c r="CG38" s="23">
        <f>$L38*AZ38</f>
        <v>0</v>
      </c>
      <c r="CH38" s="23">
        <f>$L38*BA38</f>
        <v>0</v>
      </c>
      <c r="CI38" s="23">
        <f>$L38*BB38</f>
        <v>1</v>
      </c>
      <c r="CJ38" s="23">
        <f>$L38*BC38</f>
        <v>0</v>
      </c>
      <c r="CK38" s="23">
        <f>$L38*BD38</f>
        <v>0</v>
      </c>
      <c r="CL38" s="23">
        <f>$L38*BE38</f>
        <v>0</v>
      </c>
      <c r="CM38" s="23">
        <f>$L38*BF38</f>
        <v>1</v>
      </c>
      <c r="CN38" s="23">
        <f>$L38*BG38</f>
        <v>0</v>
      </c>
      <c r="CO38" s="23">
        <f>$L38*BH38</f>
        <v>0</v>
      </c>
      <c r="CP38" s="23">
        <f>$L38*BI38</f>
        <v>0</v>
      </c>
      <c r="CQ38" s="23">
        <f>$L38*BJ38</f>
        <v>0</v>
      </c>
      <c r="CR38" s="23">
        <f>$L38*BK38</f>
        <v>0</v>
      </c>
      <c r="CS38" s="23">
        <f>$L38*BL38</f>
        <v>0</v>
      </c>
      <c r="CT38" s="23">
        <f>$L38*BM38</f>
        <v>0</v>
      </c>
      <c r="CU38" s="23">
        <f>$L38*BN38</f>
        <v>0</v>
      </c>
      <c r="CV38" s="23">
        <f>$L38*BO38</f>
        <v>0</v>
      </c>
    </row>
    <row r="39" spans="1:100" ht="13.5" x14ac:dyDescent="0.15">
      <c r="A39" s="15">
        <v>135</v>
      </c>
      <c r="B39" s="27" t="s">
        <v>261</v>
      </c>
      <c r="C39" t="s">
        <v>138</v>
      </c>
      <c r="E39" t="s">
        <v>256</v>
      </c>
      <c r="F39" t="s">
        <v>155</v>
      </c>
      <c r="G39" t="s">
        <v>256</v>
      </c>
      <c r="H39" t="s">
        <v>257</v>
      </c>
      <c r="I39" s="6" t="s">
        <v>136</v>
      </c>
      <c r="J39" s="6">
        <v>1</v>
      </c>
      <c r="K39" t="s">
        <v>258</v>
      </c>
      <c r="L39" s="15">
        <v>1</v>
      </c>
      <c r="M39" s="7">
        <v>46134</v>
      </c>
      <c r="N39" s="7">
        <v>46154</v>
      </c>
      <c r="O39" s="7">
        <v>46153</v>
      </c>
      <c r="P39" s="7">
        <v>46153</v>
      </c>
      <c r="S39" s="6" t="s">
        <v>256</v>
      </c>
      <c r="U39" s="6" t="s">
        <v>150</v>
      </c>
      <c r="V39" s="6" t="str">
        <f>TEXT(N39,"YY/MM")</f>
        <v>26/05</v>
      </c>
      <c r="W39">
        <v>21410</v>
      </c>
      <c r="Y39" s="6" t="s">
        <v>151</v>
      </c>
      <c r="Z39" s="6" t="s">
        <v>152</v>
      </c>
      <c r="AD39">
        <v>8237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0</v>
      </c>
      <c r="AS39" s="23">
        <v>0</v>
      </c>
      <c r="AT39" s="23">
        <v>1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>$L39*AI39</f>
        <v>1</v>
      </c>
      <c r="BQ39" s="23">
        <f>$L39*AJ39</f>
        <v>1</v>
      </c>
      <c r="BR39" s="23">
        <f>$L39*AK39</f>
        <v>0</v>
      </c>
      <c r="BS39" s="23">
        <f>$L39*AL39</f>
        <v>0</v>
      </c>
      <c r="BT39" s="23">
        <f>$L39*AM39</f>
        <v>1</v>
      </c>
      <c r="BU39" s="23">
        <f>$L39*AN39</f>
        <v>0</v>
      </c>
      <c r="BV39" s="23">
        <f>$L39*AO39</f>
        <v>1</v>
      </c>
      <c r="BW39" s="23">
        <f>$L39*AP39</f>
        <v>0</v>
      </c>
      <c r="BX39" s="23">
        <f>$L39*AQ39</f>
        <v>0</v>
      </c>
      <c r="BY39" s="23">
        <f>$L39*AR39</f>
        <v>0</v>
      </c>
      <c r="BZ39" s="23">
        <f>$L39*AS39</f>
        <v>0</v>
      </c>
      <c r="CA39" s="23">
        <f>$L39*AT39</f>
        <v>1</v>
      </c>
      <c r="CB39" s="23">
        <f>$L39*AU39</f>
        <v>1</v>
      </c>
      <c r="CC39" s="23">
        <f>$L39*AV39</f>
        <v>0</v>
      </c>
      <c r="CD39" s="23">
        <f>$L39*AW39</f>
        <v>0</v>
      </c>
      <c r="CE39" s="23">
        <f>$L39*AX39</f>
        <v>1</v>
      </c>
      <c r="CF39" s="23">
        <f>$L39*AY39</f>
        <v>0</v>
      </c>
      <c r="CG39" s="23">
        <f>$L39*AZ39</f>
        <v>0</v>
      </c>
      <c r="CH39" s="23">
        <f>$L39*BA39</f>
        <v>0</v>
      </c>
      <c r="CI39" s="23">
        <f>$L39*BB39</f>
        <v>1</v>
      </c>
      <c r="CJ39" s="23">
        <f>$L39*BC39</f>
        <v>0</v>
      </c>
      <c r="CK39" s="23">
        <f>$L39*BD39</f>
        <v>0</v>
      </c>
      <c r="CL39" s="23">
        <f>$L39*BE39</f>
        <v>0</v>
      </c>
      <c r="CM39" s="23">
        <f>$L39*BF39</f>
        <v>1</v>
      </c>
      <c r="CN39" s="23">
        <f>$L39*BG39</f>
        <v>0</v>
      </c>
      <c r="CO39" s="23">
        <f>$L39*BH39</f>
        <v>0</v>
      </c>
      <c r="CP39" s="23">
        <f>$L39*BI39</f>
        <v>0</v>
      </c>
      <c r="CQ39" s="23">
        <f>$L39*BJ39</f>
        <v>0</v>
      </c>
      <c r="CR39" s="23">
        <f>$L39*BK39</f>
        <v>0</v>
      </c>
      <c r="CS39" s="23">
        <f>$L39*BL39</f>
        <v>0</v>
      </c>
      <c r="CT39" s="23">
        <f>$L39*BM39</f>
        <v>0</v>
      </c>
      <c r="CU39" s="23">
        <f>$L39*BN39</f>
        <v>0</v>
      </c>
      <c r="CV39" s="23">
        <f>$L39*BO39</f>
        <v>0</v>
      </c>
    </row>
    <row r="40" spans="1:100" ht="13.5" x14ac:dyDescent="0.15">
      <c r="A40" s="15">
        <v>137</v>
      </c>
      <c r="B40" s="27" t="s">
        <v>263</v>
      </c>
      <c r="C40" t="s">
        <v>138</v>
      </c>
      <c r="E40" t="s">
        <v>256</v>
      </c>
      <c r="F40" t="s">
        <v>155</v>
      </c>
      <c r="G40" t="s">
        <v>256</v>
      </c>
      <c r="H40" t="s">
        <v>257</v>
      </c>
      <c r="I40" s="6" t="s">
        <v>136</v>
      </c>
      <c r="J40" s="6">
        <v>1</v>
      </c>
      <c r="K40" t="s">
        <v>258</v>
      </c>
      <c r="L40" s="15">
        <v>1</v>
      </c>
      <c r="M40" s="7">
        <v>46134</v>
      </c>
      <c r="N40" s="7">
        <v>46154</v>
      </c>
      <c r="O40" s="7">
        <v>46153</v>
      </c>
      <c r="P40" s="7">
        <v>46153</v>
      </c>
      <c r="S40" s="6" t="s">
        <v>256</v>
      </c>
      <c r="U40" s="6" t="s">
        <v>150</v>
      </c>
      <c r="V40" s="6" t="str">
        <f>TEXT(N40,"YY/MM")</f>
        <v>26/05</v>
      </c>
      <c r="W40">
        <v>21411</v>
      </c>
      <c r="Y40" s="6" t="s">
        <v>151</v>
      </c>
      <c r="Z40" s="6" t="s">
        <v>152</v>
      </c>
      <c r="AD40">
        <v>8238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0</v>
      </c>
      <c r="AS40" s="23">
        <v>0</v>
      </c>
      <c r="AT40" s="23">
        <v>1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>$L40*AI40</f>
        <v>1</v>
      </c>
      <c r="BQ40" s="23">
        <f>$L40*AJ40</f>
        <v>1</v>
      </c>
      <c r="BR40" s="23">
        <f>$L40*AK40</f>
        <v>0</v>
      </c>
      <c r="BS40" s="23">
        <f>$L40*AL40</f>
        <v>0</v>
      </c>
      <c r="BT40" s="23">
        <f>$L40*AM40</f>
        <v>1</v>
      </c>
      <c r="BU40" s="23">
        <f>$L40*AN40</f>
        <v>0</v>
      </c>
      <c r="BV40" s="23">
        <f>$L40*AO40</f>
        <v>1</v>
      </c>
      <c r="BW40" s="23">
        <f>$L40*AP40</f>
        <v>0</v>
      </c>
      <c r="BX40" s="23">
        <f>$L40*AQ40</f>
        <v>0</v>
      </c>
      <c r="BY40" s="23">
        <f>$L40*AR40</f>
        <v>0</v>
      </c>
      <c r="BZ40" s="23">
        <f>$L40*AS40</f>
        <v>0</v>
      </c>
      <c r="CA40" s="23">
        <f>$L40*AT40</f>
        <v>1</v>
      </c>
      <c r="CB40" s="23">
        <f>$L40*AU40</f>
        <v>1</v>
      </c>
      <c r="CC40" s="23">
        <f>$L40*AV40</f>
        <v>0</v>
      </c>
      <c r="CD40" s="23">
        <f>$L40*AW40</f>
        <v>0</v>
      </c>
      <c r="CE40" s="23">
        <f>$L40*AX40</f>
        <v>1</v>
      </c>
      <c r="CF40" s="23">
        <f>$L40*AY40</f>
        <v>0</v>
      </c>
      <c r="CG40" s="23">
        <f>$L40*AZ40</f>
        <v>0</v>
      </c>
      <c r="CH40" s="23">
        <f>$L40*BA40</f>
        <v>0</v>
      </c>
      <c r="CI40" s="23">
        <f>$L40*BB40</f>
        <v>1</v>
      </c>
      <c r="CJ40" s="23">
        <f>$L40*BC40</f>
        <v>0</v>
      </c>
      <c r="CK40" s="23">
        <f>$L40*BD40</f>
        <v>0</v>
      </c>
      <c r="CL40" s="23">
        <f>$L40*BE40</f>
        <v>0</v>
      </c>
      <c r="CM40" s="23">
        <f>$L40*BF40</f>
        <v>1</v>
      </c>
      <c r="CN40" s="23">
        <f>$L40*BG40</f>
        <v>0</v>
      </c>
      <c r="CO40" s="23">
        <f>$L40*BH40</f>
        <v>0</v>
      </c>
      <c r="CP40" s="23">
        <f>$L40*BI40</f>
        <v>0</v>
      </c>
      <c r="CQ40" s="23">
        <f>$L40*BJ40</f>
        <v>0</v>
      </c>
      <c r="CR40" s="23">
        <f>$L40*BK40</f>
        <v>0</v>
      </c>
      <c r="CS40" s="23">
        <f>$L40*BL40</f>
        <v>0</v>
      </c>
      <c r="CT40" s="23">
        <f>$L40*BM40</f>
        <v>0</v>
      </c>
      <c r="CU40" s="23">
        <f>$L40*BN40</f>
        <v>0</v>
      </c>
      <c r="CV40" s="23">
        <f>$L40*BO40</f>
        <v>0</v>
      </c>
    </row>
    <row r="41" spans="1:100" ht="13.5" x14ac:dyDescent="0.15">
      <c r="A41" s="15">
        <v>136</v>
      </c>
      <c r="B41" s="27" t="s">
        <v>262</v>
      </c>
      <c r="C41" t="s">
        <v>138</v>
      </c>
      <c r="E41" t="s">
        <v>256</v>
      </c>
      <c r="F41" t="s">
        <v>155</v>
      </c>
      <c r="G41" t="s">
        <v>256</v>
      </c>
      <c r="H41" t="s">
        <v>257</v>
      </c>
      <c r="I41" s="6" t="s">
        <v>136</v>
      </c>
      <c r="J41" s="6">
        <v>1</v>
      </c>
      <c r="K41" t="s">
        <v>258</v>
      </c>
      <c r="L41" s="15">
        <v>1</v>
      </c>
      <c r="M41" s="7">
        <v>46134</v>
      </c>
      <c r="N41" s="7">
        <v>46154</v>
      </c>
      <c r="O41" s="7">
        <v>46153</v>
      </c>
      <c r="P41" s="7">
        <v>46153</v>
      </c>
      <c r="S41" s="6" t="s">
        <v>256</v>
      </c>
      <c r="U41" s="6" t="s">
        <v>150</v>
      </c>
      <c r="V41" s="6" t="str">
        <f>TEXT(N41,"YY/MM")</f>
        <v>26/05</v>
      </c>
      <c r="W41">
        <v>21412</v>
      </c>
      <c r="Y41" s="6" t="s">
        <v>151</v>
      </c>
      <c r="Z41" s="6" t="s">
        <v>152</v>
      </c>
      <c r="AD41">
        <v>8239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1</v>
      </c>
      <c r="AP41" s="23">
        <v>0</v>
      </c>
      <c r="AQ41" s="23">
        <v>0</v>
      </c>
      <c r="AR41" s="23">
        <v>0</v>
      </c>
      <c r="AS41" s="23">
        <v>0</v>
      </c>
      <c r="AT41" s="23">
        <v>1</v>
      </c>
      <c r="AU41" s="23">
        <v>1</v>
      </c>
      <c r="AV41" s="23">
        <v>0</v>
      </c>
      <c r="AW41" s="23">
        <v>0</v>
      </c>
      <c r="AX41" s="23">
        <v>1</v>
      </c>
      <c r="AY41" s="23">
        <v>0</v>
      </c>
      <c r="AZ41" s="23">
        <v>0</v>
      </c>
      <c r="BA41" s="23">
        <v>0</v>
      </c>
      <c r="BB41" s="23">
        <v>1</v>
      </c>
      <c r="BC41" s="23">
        <v>0</v>
      </c>
      <c r="BD41" s="23">
        <v>0</v>
      </c>
      <c r="BE41" s="23">
        <v>0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>$L41*AI41</f>
        <v>1</v>
      </c>
      <c r="BQ41" s="23">
        <f>$L41*AJ41</f>
        <v>1</v>
      </c>
      <c r="BR41" s="23">
        <f>$L41*AK41</f>
        <v>0</v>
      </c>
      <c r="BS41" s="23">
        <f>$L41*AL41</f>
        <v>0</v>
      </c>
      <c r="BT41" s="23">
        <f>$L41*AM41</f>
        <v>1</v>
      </c>
      <c r="BU41" s="23">
        <f>$L41*AN41</f>
        <v>0</v>
      </c>
      <c r="BV41" s="23">
        <f>$L41*AO41</f>
        <v>1</v>
      </c>
      <c r="BW41" s="23">
        <f>$L41*AP41</f>
        <v>0</v>
      </c>
      <c r="BX41" s="23">
        <f>$L41*AQ41</f>
        <v>0</v>
      </c>
      <c r="BY41" s="23">
        <f>$L41*AR41</f>
        <v>0</v>
      </c>
      <c r="BZ41" s="23">
        <f>$L41*AS41</f>
        <v>0</v>
      </c>
      <c r="CA41" s="23">
        <f>$L41*AT41</f>
        <v>1</v>
      </c>
      <c r="CB41" s="23">
        <f>$L41*AU41</f>
        <v>1</v>
      </c>
      <c r="CC41" s="23">
        <f>$L41*AV41</f>
        <v>0</v>
      </c>
      <c r="CD41" s="23">
        <f>$L41*AW41</f>
        <v>0</v>
      </c>
      <c r="CE41" s="23">
        <f>$L41*AX41</f>
        <v>1</v>
      </c>
      <c r="CF41" s="23">
        <f>$L41*AY41</f>
        <v>0</v>
      </c>
      <c r="CG41" s="23">
        <f>$L41*AZ41</f>
        <v>0</v>
      </c>
      <c r="CH41" s="23">
        <f>$L41*BA41</f>
        <v>0</v>
      </c>
      <c r="CI41" s="23">
        <f>$L41*BB41</f>
        <v>1</v>
      </c>
      <c r="CJ41" s="23">
        <f>$L41*BC41</f>
        <v>0</v>
      </c>
      <c r="CK41" s="23">
        <f>$L41*BD41</f>
        <v>0</v>
      </c>
      <c r="CL41" s="23">
        <f>$L41*BE41</f>
        <v>0</v>
      </c>
      <c r="CM41" s="23">
        <f>$L41*BF41</f>
        <v>1</v>
      </c>
      <c r="CN41" s="23">
        <f>$L41*BG41</f>
        <v>0</v>
      </c>
      <c r="CO41" s="23">
        <f>$L41*BH41</f>
        <v>0</v>
      </c>
      <c r="CP41" s="23">
        <f>$L41*BI41</f>
        <v>0</v>
      </c>
      <c r="CQ41" s="23">
        <f>$L41*BJ41</f>
        <v>0</v>
      </c>
      <c r="CR41" s="23">
        <f>$L41*BK41</f>
        <v>0</v>
      </c>
      <c r="CS41" s="23">
        <f>$L41*BL41</f>
        <v>0</v>
      </c>
      <c r="CT41" s="23">
        <f>$L41*BM41</f>
        <v>0</v>
      </c>
      <c r="CU41" s="23">
        <f>$L41*BN41</f>
        <v>0</v>
      </c>
      <c r="CV41" s="23">
        <f>$L41*BO41</f>
        <v>0</v>
      </c>
    </row>
    <row r="42" spans="1:100" ht="13.5" x14ac:dyDescent="0.15">
      <c r="A42" s="15">
        <v>143</v>
      </c>
      <c r="B42" s="27" t="s">
        <v>264</v>
      </c>
      <c r="C42" t="s">
        <v>138</v>
      </c>
      <c r="E42" t="s">
        <v>256</v>
      </c>
      <c r="F42" t="s">
        <v>155</v>
      </c>
      <c r="G42" t="s">
        <v>256</v>
      </c>
      <c r="H42" t="s">
        <v>257</v>
      </c>
      <c r="I42" s="6" t="s">
        <v>136</v>
      </c>
      <c r="J42" s="6">
        <v>1</v>
      </c>
      <c r="K42" t="s">
        <v>258</v>
      </c>
      <c r="L42" s="15">
        <v>1</v>
      </c>
      <c r="M42" s="7">
        <v>46135</v>
      </c>
      <c r="N42" s="7">
        <v>46155</v>
      </c>
      <c r="O42" s="7">
        <v>46154</v>
      </c>
      <c r="P42" s="7">
        <v>46154</v>
      </c>
      <c r="S42" s="6" t="s">
        <v>256</v>
      </c>
      <c r="U42" s="6" t="s">
        <v>150</v>
      </c>
      <c r="V42" s="6" t="str">
        <f>TEXT(N42,"YY/MM")</f>
        <v>26/05</v>
      </c>
      <c r="W42">
        <v>21413</v>
      </c>
      <c r="Y42" s="6" t="s">
        <v>151</v>
      </c>
      <c r="Z42" s="6" t="s">
        <v>152</v>
      </c>
      <c r="AD42">
        <v>8240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0</v>
      </c>
      <c r="AS42" s="23">
        <v>0</v>
      </c>
      <c r="AT42" s="23">
        <v>1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>$L42*AI42</f>
        <v>1</v>
      </c>
      <c r="BQ42" s="23">
        <f>$L42*AJ42</f>
        <v>1</v>
      </c>
      <c r="BR42" s="23">
        <f>$L42*AK42</f>
        <v>0</v>
      </c>
      <c r="BS42" s="23">
        <f>$L42*AL42</f>
        <v>0</v>
      </c>
      <c r="BT42" s="23">
        <f>$L42*AM42</f>
        <v>1</v>
      </c>
      <c r="BU42" s="23">
        <f>$L42*AN42</f>
        <v>0</v>
      </c>
      <c r="BV42" s="23">
        <f>$L42*AO42</f>
        <v>1</v>
      </c>
      <c r="BW42" s="23">
        <f>$L42*AP42</f>
        <v>0</v>
      </c>
      <c r="BX42" s="23">
        <f>$L42*AQ42</f>
        <v>0</v>
      </c>
      <c r="BY42" s="23">
        <f>$L42*AR42</f>
        <v>0</v>
      </c>
      <c r="BZ42" s="23">
        <f>$L42*AS42</f>
        <v>0</v>
      </c>
      <c r="CA42" s="23">
        <f>$L42*AT42</f>
        <v>1</v>
      </c>
      <c r="CB42" s="23">
        <f>$L42*AU42</f>
        <v>1</v>
      </c>
      <c r="CC42" s="23">
        <f>$L42*AV42</f>
        <v>0</v>
      </c>
      <c r="CD42" s="23">
        <f>$L42*AW42</f>
        <v>0</v>
      </c>
      <c r="CE42" s="23">
        <f>$L42*AX42</f>
        <v>1</v>
      </c>
      <c r="CF42" s="23">
        <f>$L42*AY42</f>
        <v>0</v>
      </c>
      <c r="CG42" s="23">
        <f>$L42*AZ42</f>
        <v>0</v>
      </c>
      <c r="CH42" s="23">
        <f>$L42*BA42</f>
        <v>0</v>
      </c>
      <c r="CI42" s="23">
        <f>$L42*BB42</f>
        <v>1</v>
      </c>
      <c r="CJ42" s="23">
        <f>$L42*BC42</f>
        <v>0</v>
      </c>
      <c r="CK42" s="23">
        <f>$L42*BD42</f>
        <v>0</v>
      </c>
      <c r="CL42" s="23">
        <f>$L42*BE42</f>
        <v>0</v>
      </c>
      <c r="CM42" s="23">
        <f>$L42*BF42</f>
        <v>1</v>
      </c>
      <c r="CN42" s="23">
        <f>$L42*BG42</f>
        <v>0</v>
      </c>
      <c r="CO42" s="23">
        <f>$L42*BH42</f>
        <v>0</v>
      </c>
      <c r="CP42" s="23">
        <f>$L42*BI42</f>
        <v>0</v>
      </c>
      <c r="CQ42" s="23">
        <f>$L42*BJ42</f>
        <v>0</v>
      </c>
      <c r="CR42" s="23">
        <f>$L42*BK42</f>
        <v>0</v>
      </c>
      <c r="CS42" s="23">
        <f>$L42*BL42</f>
        <v>0</v>
      </c>
      <c r="CT42" s="23">
        <f>$L42*BM42</f>
        <v>0</v>
      </c>
      <c r="CU42" s="23">
        <f>$L42*BN42</f>
        <v>0</v>
      </c>
      <c r="CV42" s="23">
        <f>$L42*BO42</f>
        <v>0</v>
      </c>
    </row>
    <row r="43" spans="1:100" ht="13.5" x14ac:dyDescent="0.15">
      <c r="A43" s="15">
        <v>144</v>
      </c>
      <c r="B43" s="27" t="s">
        <v>265</v>
      </c>
      <c r="C43" t="s">
        <v>153</v>
      </c>
      <c r="E43" t="s">
        <v>154</v>
      </c>
      <c r="F43" t="s">
        <v>155</v>
      </c>
      <c r="G43" t="s">
        <v>154</v>
      </c>
      <c r="H43" t="s">
        <v>156</v>
      </c>
      <c r="I43" s="6" t="s">
        <v>136</v>
      </c>
      <c r="J43" s="6">
        <v>1</v>
      </c>
      <c r="L43" s="15">
        <v>1</v>
      </c>
      <c r="M43" s="7">
        <v>46135</v>
      </c>
      <c r="N43" s="7">
        <v>46155</v>
      </c>
      <c r="O43" s="7">
        <v>46154</v>
      </c>
      <c r="P43" s="7">
        <v>46154</v>
      </c>
      <c r="S43" s="6" t="s">
        <v>154</v>
      </c>
      <c r="U43" s="6" t="s">
        <v>150</v>
      </c>
      <c r="V43" s="6" t="str">
        <f>TEXT(N43,"YY/MM")</f>
        <v>26/05</v>
      </c>
      <c r="W43">
        <v>21414</v>
      </c>
      <c r="Y43" s="6" t="s">
        <v>157</v>
      </c>
      <c r="Z43" s="6" t="s">
        <v>158</v>
      </c>
      <c r="AA43">
        <v>3227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1</v>
      </c>
      <c r="AP43" s="23">
        <v>0</v>
      </c>
      <c r="AQ43" s="23">
        <v>0</v>
      </c>
      <c r="AR43" s="23">
        <v>0</v>
      </c>
      <c r="AS43" s="23">
        <v>0</v>
      </c>
      <c r="AT43" s="23">
        <v>1</v>
      </c>
      <c r="AU43" s="23">
        <v>1</v>
      </c>
      <c r="AV43" s="23">
        <v>0</v>
      </c>
      <c r="AW43" s="23">
        <v>0</v>
      </c>
      <c r="AX43" s="23">
        <v>1</v>
      </c>
      <c r="AY43" s="23">
        <v>0</v>
      </c>
      <c r="AZ43" s="23">
        <v>0</v>
      </c>
      <c r="BA43" s="23">
        <v>0</v>
      </c>
      <c r="BB43" s="23">
        <v>1</v>
      </c>
      <c r="BC43" s="23">
        <v>0</v>
      </c>
      <c r="BD43" s="23">
        <v>0</v>
      </c>
      <c r="BE43" s="23">
        <v>0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>$L43*AI43</f>
        <v>1</v>
      </c>
      <c r="BQ43" s="23">
        <f>$L43*AJ43</f>
        <v>1</v>
      </c>
      <c r="BR43" s="23">
        <f>$L43*AK43</f>
        <v>0</v>
      </c>
      <c r="BS43" s="23">
        <f>$L43*AL43</f>
        <v>0</v>
      </c>
      <c r="BT43" s="23">
        <f>$L43*AM43</f>
        <v>1</v>
      </c>
      <c r="BU43" s="23">
        <f>$L43*AN43</f>
        <v>0</v>
      </c>
      <c r="BV43" s="23">
        <f>$L43*AO43</f>
        <v>1</v>
      </c>
      <c r="BW43" s="23">
        <f>$L43*AP43</f>
        <v>0</v>
      </c>
      <c r="BX43" s="23">
        <f>$L43*AQ43</f>
        <v>0</v>
      </c>
      <c r="BY43" s="23">
        <f>$L43*AR43</f>
        <v>0</v>
      </c>
      <c r="BZ43" s="23">
        <f>$L43*AS43</f>
        <v>0</v>
      </c>
      <c r="CA43" s="23">
        <f>$L43*AT43</f>
        <v>1</v>
      </c>
      <c r="CB43" s="23">
        <f>$L43*AU43</f>
        <v>1</v>
      </c>
      <c r="CC43" s="23">
        <f>$L43*AV43</f>
        <v>0</v>
      </c>
      <c r="CD43" s="23">
        <f>$L43*AW43</f>
        <v>0</v>
      </c>
      <c r="CE43" s="23">
        <f>$L43*AX43</f>
        <v>1</v>
      </c>
      <c r="CF43" s="23">
        <f>$L43*AY43</f>
        <v>0</v>
      </c>
      <c r="CG43" s="23">
        <f>$L43*AZ43</f>
        <v>0</v>
      </c>
      <c r="CH43" s="23">
        <f>$L43*BA43</f>
        <v>0</v>
      </c>
      <c r="CI43" s="23">
        <f>$L43*BB43</f>
        <v>1</v>
      </c>
      <c r="CJ43" s="23">
        <f>$L43*BC43</f>
        <v>0</v>
      </c>
      <c r="CK43" s="23">
        <f>$L43*BD43</f>
        <v>0</v>
      </c>
      <c r="CL43" s="23">
        <f>$L43*BE43</f>
        <v>0</v>
      </c>
      <c r="CM43" s="23">
        <f>$L43*BF43</f>
        <v>1</v>
      </c>
      <c r="CN43" s="23">
        <f>$L43*BG43</f>
        <v>0</v>
      </c>
      <c r="CO43" s="23">
        <f>$L43*BH43</f>
        <v>0</v>
      </c>
      <c r="CP43" s="23">
        <f>$L43*BI43</f>
        <v>0</v>
      </c>
      <c r="CQ43" s="23">
        <f>$L43*BJ43</f>
        <v>0</v>
      </c>
      <c r="CR43" s="23">
        <f>$L43*BK43</f>
        <v>0</v>
      </c>
      <c r="CS43" s="23">
        <f>$L43*BL43</f>
        <v>0</v>
      </c>
      <c r="CT43" s="23">
        <f>$L43*BM43</f>
        <v>0</v>
      </c>
      <c r="CU43" s="23">
        <f>$L43*BN43</f>
        <v>0</v>
      </c>
      <c r="CV43" s="23">
        <f>$L43*BO43</f>
        <v>0</v>
      </c>
    </row>
    <row r="44" spans="1:100" ht="13.5" x14ac:dyDescent="0.15">
      <c r="A44" s="15">
        <v>145</v>
      </c>
      <c r="B44" s="27" t="s">
        <v>266</v>
      </c>
      <c r="C44" t="s">
        <v>153</v>
      </c>
      <c r="E44" t="s">
        <v>154</v>
      </c>
      <c r="F44" t="s">
        <v>155</v>
      </c>
      <c r="G44" t="s">
        <v>154</v>
      </c>
      <c r="H44" t="s">
        <v>156</v>
      </c>
      <c r="I44" s="6" t="s">
        <v>136</v>
      </c>
      <c r="J44" s="6">
        <v>1</v>
      </c>
      <c r="L44" s="15">
        <v>1</v>
      </c>
      <c r="M44" s="7">
        <v>46135</v>
      </c>
      <c r="N44" s="7">
        <v>46155</v>
      </c>
      <c r="O44" s="7">
        <v>46154</v>
      </c>
      <c r="P44" s="7">
        <v>46154</v>
      </c>
      <c r="S44" s="6" t="s">
        <v>154</v>
      </c>
      <c r="U44" s="6" t="s">
        <v>150</v>
      </c>
      <c r="V44" s="6" t="str">
        <f>TEXT(N44,"YY/MM")</f>
        <v>26/05</v>
      </c>
      <c r="W44">
        <v>21415</v>
      </c>
      <c r="Y44" s="6" t="s">
        <v>157</v>
      </c>
      <c r="Z44" s="6" t="s">
        <v>158</v>
      </c>
      <c r="AA44">
        <v>3228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1</v>
      </c>
      <c r="AP44" s="23">
        <v>0</v>
      </c>
      <c r="AQ44" s="23">
        <v>0</v>
      </c>
      <c r="AR44" s="23">
        <v>0</v>
      </c>
      <c r="AS44" s="23">
        <v>0</v>
      </c>
      <c r="AT44" s="23">
        <v>1</v>
      </c>
      <c r="AU44" s="23">
        <v>1</v>
      </c>
      <c r="AV44" s="23">
        <v>0</v>
      </c>
      <c r="AW44" s="23">
        <v>0</v>
      </c>
      <c r="AX44" s="23">
        <v>1</v>
      </c>
      <c r="AY44" s="23">
        <v>0</v>
      </c>
      <c r="AZ44" s="23">
        <v>0</v>
      </c>
      <c r="BA44" s="23">
        <v>0</v>
      </c>
      <c r="BB44" s="23">
        <v>1</v>
      </c>
      <c r="BC44" s="23">
        <v>0</v>
      </c>
      <c r="BD44" s="23">
        <v>0</v>
      </c>
      <c r="BE44" s="23">
        <v>0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>$L44*AI44</f>
        <v>1</v>
      </c>
      <c r="BQ44" s="23">
        <f>$L44*AJ44</f>
        <v>1</v>
      </c>
      <c r="BR44" s="23">
        <f>$L44*AK44</f>
        <v>0</v>
      </c>
      <c r="BS44" s="23">
        <f>$L44*AL44</f>
        <v>0</v>
      </c>
      <c r="BT44" s="23">
        <f>$L44*AM44</f>
        <v>1</v>
      </c>
      <c r="BU44" s="23">
        <f>$L44*AN44</f>
        <v>0</v>
      </c>
      <c r="BV44" s="23">
        <f>$L44*AO44</f>
        <v>1</v>
      </c>
      <c r="BW44" s="23">
        <f>$L44*AP44</f>
        <v>0</v>
      </c>
      <c r="BX44" s="23">
        <f>$L44*AQ44</f>
        <v>0</v>
      </c>
      <c r="BY44" s="23">
        <f>$L44*AR44</f>
        <v>0</v>
      </c>
      <c r="BZ44" s="23">
        <f>$L44*AS44</f>
        <v>0</v>
      </c>
      <c r="CA44" s="23">
        <f>$L44*AT44</f>
        <v>1</v>
      </c>
      <c r="CB44" s="23">
        <f>$L44*AU44</f>
        <v>1</v>
      </c>
      <c r="CC44" s="23">
        <f>$L44*AV44</f>
        <v>0</v>
      </c>
      <c r="CD44" s="23">
        <f>$L44*AW44</f>
        <v>0</v>
      </c>
      <c r="CE44" s="23">
        <f>$L44*AX44</f>
        <v>1</v>
      </c>
      <c r="CF44" s="23">
        <f>$L44*AY44</f>
        <v>0</v>
      </c>
      <c r="CG44" s="23">
        <f>$L44*AZ44</f>
        <v>0</v>
      </c>
      <c r="CH44" s="23">
        <f>$L44*BA44</f>
        <v>0</v>
      </c>
      <c r="CI44" s="23">
        <f>$L44*BB44</f>
        <v>1</v>
      </c>
      <c r="CJ44" s="23">
        <f>$L44*BC44</f>
        <v>0</v>
      </c>
      <c r="CK44" s="23">
        <f>$L44*BD44</f>
        <v>0</v>
      </c>
      <c r="CL44" s="23">
        <f>$L44*BE44</f>
        <v>0</v>
      </c>
      <c r="CM44" s="23">
        <f>$L44*BF44</f>
        <v>1</v>
      </c>
      <c r="CN44" s="23">
        <f>$L44*BG44</f>
        <v>0</v>
      </c>
      <c r="CO44" s="23">
        <f>$L44*BH44</f>
        <v>0</v>
      </c>
      <c r="CP44" s="23">
        <f>$L44*BI44</f>
        <v>0</v>
      </c>
      <c r="CQ44" s="23">
        <f>$L44*BJ44</f>
        <v>0</v>
      </c>
      <c r="CR44" s="23">
        <f>$L44*BK44</f>
        <v>0</v>
      </c>
      <c r="CS44" s="23">
        <f>$L44*BL44</f>
        <v>0</v>
      </c>
      <c r="CT44" s="23">
        <f>$L44*BM44</f>
        <v>0</v>
      </c>
      <c r="CU44" s="23">
        <f>$L44*BN44</f>
        <v>0</v>
      </c>
      <c r="CV44" s="23">
        <f>$L44*BO44</f>
        <v>0</v>
      </c>
    </row>
    <row r="45" spans="1:100" ht="13.5" x14ac:dyDescent="0.15">
      <c r="A45" s="15">
        <v>154</v>
      </c>
      <c r="B45" s="27" t="s">
        <v>269</v>
      </c>
      <c r="C45" t="s">
        <v>153</v>
      </c>
      <c r="E45" t="s">
        <v>154</v>
      </c>
      <c r="F45" t="s">
        <v>155</v>
      </c>
      <c r="G45" t="s">
        <v>154</v>
      </c>
      <c r="H45" t="s">
        <v>156</v>
      </c>
      <c r="I45" s="6" t="s">
        <v>136</v>
      </c>
      <c r="J45" s="6">
        <v>1</v>
      </c>
      <c r="L45" s="15">
        <v>1</v>
      </c>
      <c r="M45" s="7">
        <v>46136</v>
      </c>
      <c r="N45" s="7">
        <v>46156</v>
      </c>
      <c r="O45" s="7">
        <v>46155</v>
      </c>
      <c r="P45" s="7">
        <v>46155</v>
      </c>
      <c r="S45" s="6" t="s">
        <v>154</v>
      </c>
      <c r="U45" s="6" t="s">
        <v>150</v>
      </c>
      <c r="V45" s="6" t="str">
        <f>TEXT(N45,"YY/MM")</f>
        <v>26/05</v>
      </c>
      <c r="W45">
        <v>21416</v>
      </c>
      <c r="Y45" s="6" t="s">
        <v>157</v>
      </c>
      <c r="Z45" s="6" t="s">
        <v>158</v>
      </c>
      <c r="AA45">
        <v>3229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1</v>
      </c>
      <c r="AP45" s="23">
        <v>0</v>
      </c>
      <c r="AQ45" s="23">
        <v>0</v>
      </c>
      <c r="AR45" s="23">
        <v>0</v>
      </c>
      <c r="AS45" s="23">
        <v>0</v>
      </c>
      <c r="AT45" s="23">
        <v>1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>$L45*AI45</f>
        <v>1</v>
      </c>
      <c r="BQ45" s="23">
        <f>$L45*AJ45</f>
        <v>1</v>
      </c>
      <c r="BR45" s="23">
        <f>$L45*AK45</f>
        <v>0</v>
      </c>
      <c r="BS45" s="23">
        <f>$L45*AL45</f>
        <v>0</v>
      </c>
      <c r="BT45" s="23">
        <f>$L45*AM45</f>
        <v>1</v>
      </c>
      <c r="BU45" s="23">
        <f>$L45*AN45</f>
        <v>0</v>
      </c>
      <c r="BV45" s="23">
        <f>$L45*AO45</f>
        <v>1</v>
      </c>
      <c r="BW45" s="23">
        <f>$L45*AP45</f>
        <v>0</v>
      </c>
      <c r="BX45" s="23">
        <f>$L45*AQ45</f>
        <v>0</v>
      </c>
      <c r="BY45" s="23">
        <f>$L45*AR45</f>
        <v>0</v>
      </c>
      <c r="BZ45" s="23">
        <f>$L45*AS45</f>
        <v>0</v>
      </c>
      <c r="CA45" s="23">
        <f>$L45*AT45</f>
        <v>1</v>
      </c>
      <c r="CB45" s="23">
        <f>$L45*AU45</f>
        <v>1</v>
      </c>
      <c r="CC45" s="23">
        <f>$L45*AV45</f>
        <v>0</v>
      </c>
      <c r="CD45" s="23">
        <f>$L45*AW45</f>
        <v>0</v>
      </c>
      <c r="CE45" s="23">
        <f>$L45*AX45</f>
        <v>1</v>
      </c>
      <c r="CF45" s="23">
        <f>$L45*AY45</f>
        <v>0</v>
      </c>
      <c r="CG45" s="23">
        <f>$L45*AZ45</f>
        <v>0</v>
      </c>
      <c r="CH45" s="23">
        <f>$L45*BA45</f>
        <v>0</v>
      </c>
      <c r="CI45" s="23">
        <f>$L45*BB45</f>
        <v>1</v>
      </c>
      <c r="CJ45" s="23">
        <f>$L45*BC45</f>
        <v>0</v>
      </c>
      <c r="CK45" s="23">
        <f>$L45*BD45</f>
        <v>0</v>
      </c>
      <c r="CL45" s="23">
        <f>$L45*BE45</f>
        <v>0</v>
      </c>
      <c r="CM45" s="23">
        <f>$L45*BF45</f>
        <v>1</v>
      </c>
      <c r="CN45" s="23">
        <f>$L45*BG45</f>
        <v>0</v>
      </c>
      <c r="CO45" s="23">
        <f>$L45*BH45</f>
        <v>0</v>
      </c>
      <c r="CP45" s="23">
        <f>$L45*BI45</f>
        <v>0</v>
      </c>
      <c r="CQ45" s="23">
        <f>$L45*BJ45</f>
        <v>0</v>
      </c>
      <c r="CR45" s="23">
        <f>$L45*BK45</f>
        <v>0</v>
      </c>
      <c r="CS45" s="23">
        <f>$L45*BL45</f>
        <v>0</v>
      </c>
      <c r="CT45" s="23">
        <f>$L45*BM45</f>
        <v>0</v>
      </c>
      <c r="CU45" s="23">
        <f>$L45*BN45</f>
        <v>0</v>
      </c>
      <c r="CV45" s="23">
        <f>$L45*BO45</f>
        <v>0</v>
      </c>
    </row>
    <row r="46" spans="1:100" ht="13.5" x14ac:dyDescent="0.15">
      <c r="A46" s="15">
        <v>152</v>
      </c>
      <c r="B46" s="27" t="s">
        <v>267</v>
      </c>
      <c r="C46" t="s">
        <v>153</v>
      </c>
      <c r="E46" t="s">
        <v>154</v>
      </c>
      <c r="F46" t="s">
        <v>155</v>
      </c>
      <c r="G46" t="s">
        <v>154</v>
      </c>
      <c r="H46" t="s">
        <v>156</v>
      </c>
      <c r="I46" s="6" t="s">
        <v>136</v>
      </c>
      <c r="J46" s="6">
        <v>1</v>
      </c>
      <c r="L46" s="15">
        <v>1</v>
      </c>
      <c r="M46" s="7">
        <v>46136</v>
      </c>
      <c r="N46" s="7">
        <v>46156</v>
      </c>
      <c r="O46" s="7">
        <v>46155</v>
      </c>
      <c r="P46" s="7">
        <v>46155</v>
      </c>
      <c r="S46" s="6" t="s">
        <v>154</v>
      </c>
      <c r="U46" s="6" t="s">
        <v>150</v>
      </c>
      <c r="V46" s="6" t="str">
        <f>TEXT(N46,"YY/MM")</f>
        <v>26/05</v>
      </c>
      <c r="W46">
        <v>21417</v>
      </c>
      <c r="Y46" s="6" t="s">
        <v>157</v>
      </c>
      <c r="Z46" s="6" t="s">
        <v>158</v>
      </c>
      <c r="AA46">
        <v>3230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1</v>
      </c>
      <c r="AP46" s="23">
        <v>0</v>
      </c>
      <c r="AQ46" s="23">
        <v>0</v>
      </c>
      <c r="AR46" s="23">
        <v>0</v>
      </c>
      <c r="AS46" s="23">
        <v>0</v>
      </c>
      <c r="AT46" s="23">
        <v>1</v>
      </c>
      <c r="AU46" s="23">
        <v>1</v>
      </c>
      <c r="AV46" s="23">
        <v>0</v>
      </c>
      <c r="AW46" s="23">
        <v>0</v>
      </c>
      <c r="AX46" s="23">
        <v>1</v>
      </c>
      <c r="AY46" s="23">
        <v>0</v>
      </c>
      <c r="AZ46" s="23">
        <v>0</v>
      </c>
      <c r="BA46" s="23">
        <v>0</v>
      </c>
      <c r="BB46" s="23">
        <v>1</v>
      </c>
      <c r="BC46" s="23">
        <v>0</v>
      </c>
      <c r="BD46" s="23">
        <v>0</v>
      </c>
      <c r="BE46" s="23">
        <v>0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>$L46*AI46</f>
        <v>1</v>
      </c>
      <c r="BQ46" s="23">
        <f>$L46*AJ46</f>
        <v>1</v>
      </c>
      <c r="BR46" s="23">
        <f>$L46*AK46</f>
        <v>0</v>
      </c>
      <c r="BS46" s="23">
        <f>$L46*AL46</f>
        <v>0</v>
      </c>
      <c r="BT46" s="23">
        <f>$L46*AM46</f>
        <v>1</v>
      </c>
      <c r="BU46" s="23">
        <f>$L46*AN46</f>
        <v>0</v>
      </c>
      <c r="BV46" s="23">
        <f>$L46*AO46</f>
        <v>1</v>
      </c>
      <c r="BW46" s="23">
        <f>$L46*AP46</f>
        <v>0</v>
      </c>
      <c r="BX46" s="23">
        <f>$L46*AQ46</f>
        <v>0</v>
      </c>
      <c r="BY46" s="23">
        <f>$L46*AR46</f>
        <v>0</v>
      </c>
      <c r="BZ46" s="23">
        <f>$L46*AS46</f>
        <v>0</v>
      </c>
      <c r="CA46" s="23">
        <f>$L46*AT46</f>
        <v>1</v>
      </c>
      <c r="CB46" s="23">
        <f>$L46*AU46</f>
        <v>1</v>
      </c>
      <c r="CC46" s="23">
        <f>$L46*AV46</f>
        <v>0</v>
      </c>
      <c r="CD46" s="23">
        <f>$L46*AW46</f>
        <v>0</v>
      </c>
      <c r="CE46" s="23">
        <f>$L46*AX46</f>
        <v>1</v>
      </c>
      <c r="CF46" s="23">
        <f>$L46*AY46</f>
        <v>0</v>
      </c>
      <c r="CG46" s="23">
        <f>$L46*AZ46</f>
        <v>0</v>
      </c>
      <c r="CH46" s="23">
        <f>$L46*BA46</f>
        <v>0</v>
      </c>
      <c r="CI46" s="23">
        <f>$L46*BB46</f>
        <v>1</v>
      </c>
      <c r="CJ46" s="23">
        <f>$L46*BC46</f>
        <v>0</v>
      </c>
      <c r="CK46" s="23">
        <f>$L46*BD46</f>
        <v>0</v>
      </c>
      <c r="CL46" s="23">
        <f>$L46*BE46</f>
        <v>0</v>
      </c>
      <c r="CM46" s="23">
        <f>$L46*BF46</f>
        <v>1</v>
      </c>
      <c r="CN46" s="23">
        <f>$L46*BG46</f>
        <v>0</v>
      </c>
      <c r="CO46" s="23">
        <f>$L46*BH46</f>
        <v>0</v>
      </c>
      <c r="CP46" s="23">
        <f>$L46*BI46</f>
        <v>0</v>
      </c>
      <c r="CQ46" s="23">
        <f>$L46*BJ46</f>
        <v>0</v>
      </c>
      <c r="CR46" s="23">
        <f>$L46*BK46</f>
        <v>0</v>
      </c>
      <c r="CS46" s="23">
        <f>$L46*BL46</f>
        <v>0</v>
      </c>
      <c r="CT46" s="23">
        <f>$L46*BM46</f>
        <v>0</v>
      </c>
      <c r="CU46" s="23">
        <f>$L46*BN46</f>
        <v>0</v>
      </c>
      <c r="CV46" s="23">
        <f>$L46*BO46</f>
        <v>0</v>
      </c>
    </row>
    <row r="47" spans="1:100" ht="13.5" x14ac:dyDescent="0.15">
      <c r="A47" s="15">
        <v>153</v>
      </c>
      <c r="B47" s="27" t="s">
        <v>268</v>
      </c>
      <c r="C47" t="s">
        <v>153</v>
      </c>
      <c r="E47" t="s">
        <v>154</v>
      </c>
      <c r="F47" t="s">
        <v>155</v>
      </c>
      <c r="G47" t="s">
        <v>154</v>
      </c>
      <c r="H47" t="s">
        <v>156</v>
      </c>
      <c r="I47" s="6" t="s">
        <v>136</v>
      </c>
      <c r="J47" s="6">
        <v>1</v>
      </c>
      <c r="L47" s="15">
        <v>1</v>
      </c>
      <c r="M47" s="7">
        <v>46136</v>
      </c>
      <c r="N47" s="7">
        <v>46156</v>
      </c>
      <c r="O47" s="7">
        <v>46155</v>
      </c>
      <c r="P47" s="7">
        <v>46155</v>
      </c>
      <c r="S47" s="6" t="s">
        <v>154</v>
      </c>
      <c r="U47" s="6" t="s">
        <v>150</v>
      </c>
      <c r="V47" s="6" t="str">
        <f>TEXT(N47,"YY/MM")</f>
        <v>26/05</v>
      </c>
      <c r="W47">
        <v>21418</v>
      </c>
      <c r="Y47" s="6" t="s">
        <v>157</v>
      </c>
      <c r="Z47" s="6" t="s">
        <v>158</v>
      </c>
      <c r="AA47">
        <v>3231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1</v>
      </c>
      <c r="AP47" s="23">
        <v>0</v>
      </c>
      <c r="AQ47" s="23">
        <v>0</v>
      </c>
      <c r="AR47" s="23">
        <v>0</v>
      </c>
      <c r="AS47" s="23">
        <v>0</v>
      </c>
      <c r="AT47" s="23">
        <v>1</v>
      </c>
      <c r="AU47" s="23">
        <v>1</v>
      </c>
      <c r="AV47" s="23">
        <v>0</v>
      </c>
      <c r="AW47" s="23">
        <v>0</v>
      </c>
      <c r="AX47" s="23">
        <v>1</v>
      </c>
      <c r="AY47" s="23">
        <v>0</v>
      </c>
      <c r="AZ47" s="23">
        <v>0</v>
      </c>
      <c r="BA47" s="23">
        <v>0</v>
      </c>
      <c r="BB47" s="23">
        <v>1</v>
      </c>
      <c r="BC47" s="23">
        <v>0</v>
      </c>
      <c r="BD47" s="23">
        <v>0</v>
      </c>
      <c r="BE47" s="23">
        <v>0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>$L47*AI47</f>
        <v>1</v>
      </c>
      <c r="BQ47" s="23">
        <f>$L47*AJ47</f>
        <v>1</v>
      </c>
      <c r="BR47" s="23">
        <f>$L47*AK47</f>
        <v>0</v>
      </c>
      <c r="BS47" s="23">
        <f>$L47*AL47</f>
        <v>0</v>
      </c>
      <c r="BT47" s="23">
        <f>$L47*AM47</f>
        <v>1</v>
      </c>
      <c r="BU47" s="23">
        <f>$L47*AN47</f>
        <v>0</v>
      </c>
      <c r="BV47" s="23">
        <f>$L47*AO47</f>
        <v>1</v>
      </c>
      <c r="BW47" s="23">
        <f>$L47*AP47</f>
        <v>0</v>
      </c>
      <c r="BX47" s="23">
        <f>$L47*AQ47</f>
        <v>0</v>
      </c>
      <c r="BY47" s="23">
        <f>$L47*AR47</f>
        <v>0</v>
      </c>
      <c r="BZ47" s="23">
        <f>$L47*AS47</f>
        <v>0</v>
      </c>
      <c r="CA47" s="23">
        <f>$L47*AT47</f>
        <v>1</v>
      </c>
      <c r="CB47" s="23">
        <f>$L47*AU47</f>
        <v>1</v>
      </c>
      <c r="CC47" s="23">
        <f>$L47*AV47</f>
        <v>0</v>
      </c>
      <c r="CD47" s="23">
        <f>$L47*AW47</f>
        <v>0</v>
      </c>
      <c r="CE47" s="23">
        <f>$L47*AX47</f>
        <v>1</v>
      </c>
      <c r="CF47" s="23">
        <f>$L47*AY47</f>
        <v>0</v>
      </c>
      <c r="CG47" s="23">
        <f>$L47*AZ47</f>
        <v>0</v>
      </c>
      <c r="CH47" s="23">
        <f>$L47*BA47</f>
        <v>0</v>
      </c>
      <c r="CI47" s="23">
        <f>$L47*BB47</f>
        <v>1</v>
      </c>
      <c r="CJ47" s="23">
        <f>$L47*BC47</f>
        <v>0</v>
      </c>
      <c r="CK47" s="23">
        <f>$L47*BD47</f>
        <v>0</v>
      </c>
      <c r="CL47" s="23">
        <f>$L47*BE47</f>
        <v>0</v>
      </c>
      <c r="CM47" s="23">
        <f>$L47*BF47</f>
        <v>1</v>
      </c>
      <c r="CN47" s="23">
        <f>$L47*BG47</f>
        <v>0</v>
      </c>
      <c r="CO47" s="23">
        <f>$L47*BH47</f>
        <v>0</v>
      </c>
      <c r="CP47" s="23">
        <f>$L47*BI47</f>
        <v>0</v>
      </c>
      <c r="CQ47" s="23">
        <f>$L47*BJ47</f>
        <v>0</v>
      </c>
      <c r="CR47" s="23">
        <f>$L47*BK47</f>
        <v>0</v>
      </c>
      <c r="CS47" s="23">
        <f>$L47*BL47</f>
        <v>0</v>
      </c>
      <c r="CT47" s="23">
        <f>$L47*BM47</f>
        <v>0</v>
      </c>
      <c r="CU47" s="23">
        <f>$L47*BN47</f>
        <v>0</v>
      </c>
      <c r="CV47" s="23">
        <f>$L47*BO47</f>
        <v>0</v>
      </c>
    </row>
    <row r="48" spans="1:100" ht="13.5" x14ac:dyDescent="0.15">
      <c r="A48" s="15">
        <v>160</v>
      </c>
      <c r="B48" s="27" t="s">
        <v>270</v>
      </c>
      <c r="C48" t="s">
        <v>153</v>
      </c>
      <c r="E48" t="s">
        <v>154</v>
      </c>
      <c r="F48" t="s">
        <v>155</v>
      </c>
      <c r="G48" t="s">
        <v>154</v>
      </c>
      <c r="H48" t="s">
        <v>156</v>
      </c>
      <c r="I48" s="6" t="s">
        <v>136</v>
      </c>
      <c r="J48" s="6">
        <v>1</v>
      </c>
      <c r="L48" s="15">
        <v>1</v>
      </c>
      <c r="M48" s="7">
        <v>46139</v>
      </c>
      <c r="N48" s="7">
        <v>46157</v>
      </c>
      <c r="O48" s="7">
        <v>46156</v>
      </c>
      <c r="P48" s="7">
        <v>46156</v>
      </c>
      <c r="S48" s="6" t="s">
        <v>154</v>
      </c>
      <c r="U48" s="6" t="s">
        <v>150</v>
      </c>
      <c r="V48" s="6" t="str">
        <f>TEXT(N48,"YY/MM")</f>
        <v>26/05</v>
      </c>
      <c r="W48">
        <v>21419</v>
      </c>
      <c r="Y48" s="6" t="s">
        <v>157</v>
      </c>
      <c r="Z48" s="6" t="s">
        <v>158</v>
      </c>
      <c r="AA48">
        <v>3232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1</v>
      </c>
      <c r="AV48" s="23">
        <v>0</v>
      </c>
      <c r="AW48" s="23">
        <v>0</v>
      </c>
      <c r="AX48" s="23">
        <v>1</v>
      </c>
      <c r="AY48" s="23">
        <v>0</v>
      </c>
      <c r="AZ48" s="23">
        <v>0</v>
      </c>
      <c r="BA48" s="23">
        <v>0</v>
      </c>
      <c r="BB48" s="23">
        <v>1</v>
      </c>
      <c r="BC48" s="23">
        <v>0</v>
      </c>
      <c r="BD48" s="23">
        <v>0</v>
      </c>
      <c r="BE48" s="23">
        <v>0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>$L48*AI48</f>
        <v>1</v>
      </c>
      <c r="BQ48" s="23">
        <f>$L48*AJ48</f>
        <v>1</v>
      </c>
      <c r="BR48" s="23">
        <f>$L48*AK48</f>
        <v>0</v>
      </c>
      <c r="BS48" s="23">
        <f>$L48*AL48</f>
        <v>0</v>
      </c>
      <c r="BT48" s="23">
        <f>$L48*AM48</f>
        <v>1</v>
      </c>
      <c r="BU48" s="23">
        <f>$L48*AN48</f>
        <v>0</v>
      </c>
      <c r="BV48" s="23">
        <f>$L48*AO48</f>
        <v>1</v>
      </c>
      <c r="BW48" s="23">
        <f>$L48*AP48</f>
        <v>0</v>
      </c>
      <c r="BX48" s="23">
        <f>$L48*AQ48</f>
        <v>0</v>
      </c>
      <c r="BY48" s="23">
        <f>$L48*AR48</f>
        <v>0</v>
      </c>
      <c r="BZ48" s="23">
        <f>$L48*AS48</f>
        <v>0</v>
      </c>
      <c r="CA48" s="23">
        <f>$L48*AT48</f>
        <v>1</v>
      </c>
      <c r="CB48" s="23">
        <f>$L48*AU48</f>
        <v>1</v>
      </c>
      <c r="CC48" s="23">
        <f>$L48*AV48</f>
        <v>0</v>
      </c>
      <c r="CD48" s="23">
        <f>$L48*AW48</f>
        <v>0</v>
      </c>
      <c r="CE48" s="23">
        <f>$L48*AX48</f>
        <v>1</v>
      </c>
      <c r="CF48" s="23">
        <f>$L48*AY48</f>
        <v>0</v>
      </c>
      <c r="CG48" s="23">
        <f>$L48*AZ48</f>
        <v>0</v>
      </c>
      <c r="CH48" s="23">
        <f>$L48*BA48</f>
        <v>0</v>
      </c>
      <c r="CI48" s="23">
        <f>$L48*BB48</f>
        <v>1</v>
      </c>
      <c r="CJ48" s="23">
        <f>$L48*BC48</f>
        <v>0</v>
      </c>
      <c r="CK48" s="23">
        <f>$L48*BD48</f>
        <v>0</v>
      </c>
      <c r="CL48" s="23">
        <f>$L48*BE48</f>
        <v>0</v>
      </c>
      <c r="CM48" s="23">
        <f>$L48*BF48</f>
        <v>1</v>
      </c>
      <c r="CN48" s="23">
        <f>$L48*BG48</f>
        <v>0</v>
      </c>
      <c r="CO48" s="23">
        <f>$L48*BH48</f>
        <v>0</v>
      </c>
      <c r="CP48" s="23">
        <f>$L48*BI48</f>
        <v>0</v>
      </c>
      <c r="CQ48" s="23">
        <f>$L48*BJ48</f>
        <v>0</v>
      </c>
      <c r="CR48" s="23">
        <f>$L48*BK48</f>
        <v>0</v>
      </c>
      <c r="CS48" s="23">
        <f>$L48*BL48</f>
        <v>0</v>
      </c>
      <c r="CT48" s="23">
        <f>$L48*BM48</f>
        <v>0</v>
      </c>
      <c r="CU48" s="23">
        <f>$L48*BN48</f>
        <v>0</v>
      </c>
      <c r="CV48" s="23">
        <f>$L48*BO48</f>
        <v>0</v>
      </c>
    </row>
    <row r="49" spans="1:100" ht="13.5" x14ac:dyDescent="0.15">
      <c r="A49" s="15">
        <v>162</v>
      </c>
      <c r="B49" s="27" t="s">
        <v>272</v>
      </c>
      <c r="C49" t="s">
        <v>153</v>
      </c>
      <c r="E49" t="s">
        <v>154</v>
      </c>
      <c r="F49" t="s">
        <v>155</v>
      </c>
      <c r="G49" t="s">
        <v>154</v>
      </c>
      <c r="H49" t="s">
        <v>156</v>
      </c>
      <c r="I49" s="6" t="s">
        <v>136</v>
      </c>
      <c r="J49" s="6">
        <v>1</v>
      </c>
      <c r="L49" s="15">
        <v>1</v>
      </c>
      <c r="M49" s="7">
        <v>46139</v>
      </c>
      <c r="N49" s="7">
        <v>46157</v>
      </c>
      <c r="O49" s="7">
        <v>46156</v>
      </c>
      <c r="P49" s="7">
        <v>46156</v>
      </c>
      <c r="S49" s="6" t="s">
        <v>154</v>
      </c>
      <c r="U49" s="6" t="s">
        <v>150</v>
      </c>
      <c r="V49" s="6" t="str">
        <f>TEXT(N49,"YY/MM")</f>
        <v>26/05</v>
      </c>
      <c r="W49">
        <v>21420</v>
      </c>
      <c r="Y49" s="6" t="s">
        <v>157</v>
      </c>
      <c r="Z49" s="6" t="s">
        <v>158</v>
      </c>
      <c r="AA49">
        <v>3233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1</v>
      </c>
      <c r="AP49" s="23">
        <v>0</v>
      </c>
      <c r="AQ49" s="23">
        <v>0</v>
      </c>
      <c r="AR49" s="23">
        <v>0</v>
      </c>
      <c r="AS49" s="23">
        <v>0</v>
      </c>
      <c r="AT49" s="23">
        <v>1</v>
      </c>
      <c r="AU49" s="23">
        <v>1</v>
      </c>
      <c r="AV49" s="23">
        <v>0</v>
      </c>
      <c r="AW49" s="23">
        <v>0</v>
      </c>
      <c r="AX49" s="23">
        <v>1</v>
      </c>
      <c r="AY49" s="23">
        <v>0</v>
      </c>
      <c r="AZ49" s="23">
        <v>0</v>
      </c>
      <c r="BA49" s="23">
        <v>0</v>
      </c>
      <c r="BB49" s="23">
        <v>1</v>
      </c>
      <c r="BC49" s="23">
        <v>0</v>
      </c>
      <c r="BD49" s="23">
        <v>0</v>
      </c>
      <c r="BE49" s="23">
        <v>0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>$L49*AI49</f>
        <v>1</v>
      </c>
      <c r="BQ49" s="23">
        <f>$L49*AJ49</f>
        <v>1</v>
      </c>
      <c r="BR49" s="23">
        <f>$L49*AK49</f>
        <v>0</v>
      </c>
      <c r="BS49" s="23">
        <f>$L49*AL49</f>
        <v>0</v>
      </c>
      <c r="BT49" s="23">
        <f>$L49*AM49</f>
        <v>1</v>
      </c>
      <c r="BU49" s="23">
        <f>$L49*AN49</f>
        <v>0</v>
      </c>
      <c r="BV49" s="23">
        <f>$L49*AO49</f>
        <v>1</v>
      </c>
      <c r="BW49" s="23">
        <f>$L49*AP49</f>
        <v>0</v>
      </c>
      <c r="BX49" s="23">
        <f>$L49*AQ49</f>
        <v>0</v>
      </c>
      <c r="BY49" s="23">
        <f>$L49*AR49</f>
        <v>0</v>
      </c>
      <c r="BZ49" s="23">
        <f>$L49*AS49</f>
        <v>0</v>
      </c>
      <c r="CA49" s="23">
        <f>$L49*AT49</f>
        <v>1</v>
      </c>
      <c r="CB49" s="23">
        <f>$L49*AU49</f>
        <v>1</v>
      </c>
      <c r="CC49" s="23">
        <f>$L49*AV49</f>
        <v>0</v>
      </c>
      <c r="CD49" s="23">
        <f>$L49*AW49</f>
        <v>0</v>
      </c>
      <c r="CE49" s="23">
        <f>$L49*AX49</f>
        <v>1</v>
      </c>
      <c r="CF49" s="23">
        <f>$L49*AY49</f>
        <v>0</v>
      </c>
      <c r="CG49" s="23">
        <f>$L49*AZ49</f>
        <v>0</v>
      </c>
      <c r="CH49" s="23">
        <f>$L49*BA49</f>
        <v>0</v>
      </c>
      <c r="CI49" s="23">
        <f>$L49*BB49</f>
        <v>1</v>
      </c>
      <c r="CJ49" s="23">
        <f>$L49*BC49</f>
        <v>0</v>
      </c>
      <c r="CK49" s="23">
        <f>$L49*BD49</f>
        <v>0</v>
      </c>
      <c r="CL49" s="23">
        <f>$L49*BE49</f>
        <v>0</v>
      </c>
      <c r="CM49" s="23">
        <f>$L49*BF49</f>
        <v>1</v>
      </c>
      <c r="CN49" s="23">
        <f>$L49*BG49</f>
        <v>0</v>
      </c>
      <c r="CO49" s="23">
        <f>$L49*BH49</f>
        <v>0</v>
      </c>
      <c r="CP49" s="23">
        <f>$L49*BI49</f>
        <v>0</v>
      </c>
      <c r="CQ49" s="23">
        <f>$L49*BJ49</f>
        <v>0</v>
      </c>
      <c r="CR49" s="23">
        <f>$L49*BK49</f>
        <v>0</v>
      </c>
      <c r="CS49" s="23">
        <f>$L49*BL49</f>
        <v>0</v>
      </c>
      <c r="CT49" s="23">
        <f>$L49*BM49</f>
        <v>0</v>
      </c>
      <c r="CU49" s="23">
        <f>$L49*BN49</f>
        <v>0</v>
      </c>
      <c r="CV49" s="23">
        <f>$L49*BO49</f>
        <v>0</v>
      </c>
    </row>
    <row r="50" spans="1:100" ht="13.5" x14ac:dyDescent="0.15">
      <c r="A50" s="15">
        <v>161</v>
      </c>
      <c r="B50" s="27" t="s">
        <v>271</v>
      </c>
      <c r="C50" t="s">
        <v>153</v>
      </c>
      <c r="E50" t="s">
        <v>154</v>
      </c>
      <c r="F50" t="s">
        <v>155</v>
      </c>
      <c r="G50" t="s">
        <v>154</v>
      </c>
      <c r="H50" t="s">
        <v>156</v>
      </c>
      <c r="I50" s="6" t="s">
        <v>136</v>
      </c>
      <c r="J50" s="6">
        <v>1</v>
      </c>
      <c r="L50" s="15">
        <v>1</v>
      </c>
      <c r="M50" s="7">
        <v>46139</v>
      </c>
      <c r="N50" s="7">
        <v>46157</v>
      </c>
      <c r="O50" s="7">
        <v>46156</v>
      </c>
      <c r="P50" s="7">
        <v>46156</v>
      </c>
      <c r="S50" s="6" t="s">
        <v>154</v>
      </c>
      <c r="U50" s="6" t="s">
        <v>150</v>
      </c>
      <c r="V50" s="6" t="str">
        <f>TEXT(N50,"YY/MM")</f>
        <v>26/05</v>
      </c>
      <c r="W50">
        <v>21421</v>
      </c>
      <c r="Y50" s="6" t="s">
        <v>157</v>
      </c>
      <c r="Z50" s="6" t="s">
        <v>158</v>
      </c>
      <c r="AA50">
        <v>3234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0</v>
      </c>
      <c r="AT50" s="23">
        <v>1</v>
      </c>
      <c r="AU50" s="23">
        <v>1</v>
      </c>
      <c r="AV50" s="23">
        <v>0</v>
      </c>
      <c r="AW50" s="23">
        <v>0</v>
      </c>
      <c r="AX50" s="23">
        <v>1</v>
      </c>
      <c r="AY50" s="23">
        <v>0</v>
      </c>
      <c r="AZ50" s="23">
        <v>0</v>
      </c>
      <c r="BA50" s="23">
        <v>0</v>
      </c>
      <c r="BB50" s="23">
        <v>1</v>
      </c>
      <c r="BC50" s="23">
        <v>0</v>
      </c>
      <c r="BD50" s="23">
        <v>0</v>
      </c>
      <c r="BE50" s="23">
        <v>0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>$L50*AI50</f>
        <v>1</v>
      </c>
      <c r="BQ50" s="23">
        <f>$L50*AJ50</f>
        <v>1</v>
      </c>
      <c r="BR50" s="23">
        <f>$L50*AK50</f>
        <v>0</v>
      </c>
      <c r="BS50" s="23">
        <f>$L50*AL50</f>
        <v>0</v>
      </c>
      <c r="BT50" s="23">
        <f>$L50*AM50</f>
        <v>1</v>
      </c>
      <c r="BU50" s="23">
        <f>$L50*AN50</f>
        <v>0</v>
      </c>
      <c r="BV50" s="23">
        <f>$L50*AO50</f>
        <v>1</v>
      </c>
      <c r="BW50" s="23">
        <f>$L50*AP50</f>
        <v>0</v>
      </c>
      <c r="BX50" s="23">
        <f>$L50*AQ50</f>
        <v>0</v>
      </c>
      <c r="BY50" s="23">
        <f>$L50*AR50</f>
        <v>0</v>
      </c>
      <c r="BZ50" s="23">
        <f>$L50*AS50</f>
        <v>0</v>
      </c>
      <c r="CA50" s="23">
        <f>$L50*AT50</f>
        <v>1</v>
      </c>
      <c r="CB50" s="23">
        <f>$L50*AU50</f>
        <v>1</v>
      </c>
      <c r="CC50" s="23">
        <f>$L50*AV50</f>
        <v>0</v>
      </c>
      <c r="CD50" s="23">
        <f>$L50*AW50</f>
        <v>0</v>
      </c>
      <c r="CE50" s="23">
        <f>$L50*AX50</f>
        <v>1</v>
      </c>
      <c r="CF50" s="23">
        <f>$L50*AY50</f>
        <v>0</v>
      </c>
      <c r="CG50" s="23">
        <f>$L50*AZ50</f>
        <v>0</v>
      </c>
      <c r="CH50" s="23">
        <f>$L50*BA50</f>
        <v>0</v>
      </c>
      <c r="CI50" s="23">
        <f>$L50*BB50</f>
        <v>1</v>
      </c>
      <c r="CJ50" s="23">
        <f>$L50*BC50</f>
        <v>0</v>
      </c>
      <c r="CK50" s="23">
        <f>$L50*BD50</f>
        <v>0</v>
      </c>
      <c r="CL50" s="23">
        <f>$L50*BE50</f>
        <v>0</v>
      </c>
      <c r="CM50" s="23">
        <f>$L50*BF50</f>
        <v>1</v>
      </c>
      <c r="CN50" s="23">
        <f>$L50*BG50</f>
        <v>0</v>
      </c>
      <c r="CO50" s="23">
        <f>$L50*BH50</f>
        <v>0</v>
      </c>
      <c r="CP50" s="23">
        <f>$L50*BI50</f>
        <v>0</v>
      </c>
      <c r="CQ50" s="23">
        <f>$L50*BJ50</f>
        <v>0</v>
      </c>
      <c r="CR50" s="23">
        <f>$L50*BK50</f>
        <v>0</v>
      </c>
      <c r="CS50" s="23">
        <f>$L50*BL50</f>
        <v>0</v>
      </c>
      <c r="CT50" s="23">
        <f>$L50*BM50</f>
        <v>0</v>
      </c>
      <c r="CU50" s="23">
        <f>$L50*BN50</f>
        <v>0</v>
      </c>
      <c r="CV50" s="23">
        <f>$L50*BO50</f>
        <v>0</v>
      </c>
    </row>
    <row r="51" spans="1:100" ht="13.5" x14ac:dyDescent="0.15">
      <c r="A51" s="15">
        <v>169</v>
      </c>
      <c r="B51" s="27" t="s">
        <v>274</v>
      </c>
      <c r="C51" t="s">
        <v>153</v>
      </c>
      <c r="E51" t="s">
        <v>275</v>
      </c>
      <c r="F51" t="s">
        <v>155</v>
      </c>
      <c r="G51" t="s">
        <v>275</v>
      </c>
      <c r="H51" t="s">
        <v>276</v>
      </c>
      <c r="I51" s="6" t="s">
        <v>136</v>
      </c>
      <c r="J51" s="6">
        <v>1</v>
      </c>
      <c r="L51" s="15">
        <v>1</v>
      </c>
      <c r="M51" s="7">
        <v>46140</v>
      </c>
      <c r="N51" s="7">
        <v>46160</v>
      </c>
      <c r="O51" s="7">
        <v>46157</v>
      </c>
      <c r="P51" s="7">
        <v>46157</v>
      </c>
      <c r="S51" s="6" t="s">
        <v>275</v>
      </c>
      <c r="U51" s="6" t="s">
        <v>150</v>
      </c>
      <c r="V51" s="6" t="str">
        <f>TEXT(N51,"YY/MM")</f>
        <v>26/05</v>
      </c>
      <c r="W51">
        <v>21422</v>
      </c>
      <c r="Y51" s="6" t="s">
        <v>157</v>
      </c>
      <c r="Z51" s="6" t="s">
        <v>158</v>
      </c>
      <c r="AA51">
        <v>3235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1</v>
      </c>
      <c r="AP51" s="23">
        <v>0</v>
      </c>
      <c r="AQ51" s="23">
        <v>0</v>
      </c>
      <c r="AR51" s="23">
        <v>1</v>
      </c>
      <c r="AS51" s="23">
        <v>0</v>
      </c>
      <c r="AT51" s="23">
        <v>0</v>
      </c>
      <c r="AU51" s="23">
        <v>1</v>
      </c>
      <c r="AV51" s="23">
        <v>0</v>
      </c>
      <c r="AW51" s="23">
        <v>0</v>
      </c>
      <c r="AX51" s="23">
        <v>1</v>
      </c>
      <c r="AY51" s="23">
        <v>0</v>
      </c>
      <c r="AZ51" s="23">
        <v>0</v>
      </c>
      <c r="BA51" s="23">
        <v>0</v>
      </c>
      <c r="BB51" s="23">
        <v>1</v>
      </c>
      <c r="BC51" s="23">
        <v>0</v>
      </c>
      <c r="BD51" s="23">
        <v>0</v>
      </c>
      <c r="BE51" s="23">
        <v>0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>$L51*AI51</f>
        <v>1</v>
      </c>
      <c r="BQ51" s="23">
        <f>$L51*AJ51</f>
        <v>1</v>
      </c>
      <c r="BR51" s="23">
        <f>$L51*AK51</f>
        <v>0</v>
      </c>
      <c r="BS51" s="23">
        <f>$L51*AL51</f>
        <v>0</v>
      </c>
      <c r="BT51" s="23">
        <f>$L51*AM51</f>
        <v>1</v>
      </c>
      <c r="BU51" s="23">
        <f>$L51*AN51</f>
        <v>0</v>
      </c>
      <c r="BV51" s="23">
        <f>$L51*AO51</f>
        <v>1</v>
      </c>
      <c r="BW51" s="23">
        <f>$L51*AP51</f>
        <v>0</v>
      </c>
      <c r="BX51" s="23">
        <f>$L51*AQ51</f>
        <v>0</v>
      </c>
      <c r="BY51" s="23">
        <f>$L51*AR51</f>
        <v>1</v>
      </c>
      <c r="BZ51" s="23">
        <f>$L51*AS51</f>
        <v>0</v>
      </c>
      <c r="CA51" s="23">
        <f>$L51*AT51</f>
        <v>0</v>
      </c>
      <c r="CB51" s="23">
        <f>$L51*AU51</f>
        <v>1</v>
      </c>
      <c r="CC51" s="23">
        <f>$L51*AV51</f>
        <v>0</v>
      </c>
      <c r="CD51" s="23">
        <f>$L51*AW51</f>
        <v>0</v>
      </c>
      <c r="CE51" s="23">
        <f>$L51*AX51</f>
        <v>1</v>
      </c>
      <c r="CF51" s="23">
        <f>$L51*AY51</f>
        <v>0</v>
      </c>
      <c r="CG51" s="23">
        <f>$L51*AZ51</f>
        <v>0</v>
      </c>
      <c r="CH51" s="23">
        <f>$L51*BA51</f>
        <v>0</v>
      </c>
      <c r="CI51" s="23">
        <f>$L51*BB51</f>
        <v>1</v>
      </c>
      <c r="CJ51" s="23">
        <f>$L51*BC51</f>
        <v>0</v>
      </c>
      <c r="CK51" s="23">
        <f>$L51*BD51</f>
        <v>0</v>
      </c>
      <c r="CL51" s="23">
        <f>$L51*BE51</f>
        <v>0</v>
      </c>
      <c r="CM51" s="23">
        <f>$L51*BF51</f>
        <v>1</v>
      </c>
      <c r="CN51" s="23">
        <f>$L51*BG51</f>
        <v>0</v>
      </c>
      <c r="CO51" s="23">
        <f>$L51*BH51</f>
        <v>0</v>
      </c>
      <c r="CP51" s="23">
        <f>$L51*BI51</f>
        <v>0</v>
      </c>
      <c r="CQ51" s="23">
        <f>$L51*BJ51</f>
        <v>0</v>
      </c>
      <c r="CR51" s="23">
        <f>$L51*BK51</f>
        <v>0</v>
      </c>
      <c r="CS51" s="23">
        <f>$L51*BL51</f>
        <v>0</v>
      </c>
      <c r="CT51" s="23">
        <f>$L51*BM51</f>
        <v>0</v>
      </c>
      <c r="CU51" s="23">
        <f>$L51*BN51</f>
        <v>0</v>
      </c>
      <c r="CV51" s="23">
        <f>$L51*BO51</f>
        <v>0</v>
      </c>
    </row>
    <row r="52" spans="1:100" ht="13.5" x14ac:dyDescent="0.15">
      <c r="A52" s="15">
        <v>168</v>
      </c>
      <c r="B52" s="27" t="s">
        <v>273</v>
      </c>
      <c r="C52" t="s">
        <v>153</v>
      </c>
      <c r="E52" t="s">
        <v>154</v>
      </c>
      <c r="F52" t="s">
        <v>155</v>
      </c>
      <c r="G52" t="s">
        <v>154</v>
      </c>
      <c r="H52" t="s">
        <v>156</v>
      </c>
      <c r="I52" s="6" t="s">
        <v>136</v>
      </c>
      <c r="J52" s="6">
        <v>1</v>
      </c>
      <c r="L52" s="15">
        <v>1</v>
      </c>
      <c r="M52" s="7">
        <v>46140</v>
      </c>
      <c r="N52" s="7">
        <v>46160</v>
      </c>
      <c r="O52" s="7">
        <v>46157</v>
      </c>
      <c r="P52" s="7">
        <v>46157</v>
      </c>
      <c r="S52" s="6" t="s">
        <v>154</v>
      </c>
      <c r="U52" s="6" t="s">
        <v>150</v>
      </c>
      <c r="V52" s="6" t="str">
        <f>TEXT(N52,"YY/MM")</f>
        <v>26/05</v>
      </c>
      <c r="W52">
        <v>21423</v>
      </c>
      <c r="Y52" s="6" t="s">
        <v>157</v>
      </c>
      <c r="Z52" s="6" t="s">
        <v>158</v>
      </c>
      <c r="AA52">
        <v>3236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1</v>
      </c>
      <c r="AP52" s="23">
        <v>0</v>
      </c>
      <c r="AQ52" s="23">
        <v>0</v>
      </c>
      <c r="AR52" s="23">
        <v>0</v>
      </c>
      <c r="AS52" s="23">
        <v>0</v>
      </c>
      <c r="AT52" s="23">
        <v>1</v>
      </c>
      <c r="AU52" s="23">
        <v>1</v>
      </c>
      <c r="AV52" s="23">
        <v>0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1</v>
      </c>
      <c r="BC52" s="23">
        <v>0</v>
      </c>
      <c r="BD52" s="23">
        <v>0</v>
      </c>
      <c r="BE52" s="23">
        <v>0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>$L52*AI52</f>
        <v>1</v>
      </c>
      <c r="BQ52" s="23">
        <f>$L52*AJ52</f>
        <v>1</v>
      </c>
      <c r="BR52" s="23">
        <f>$L52*AK52</f>
        <v>0</v>
      </c>
      <c r="BS52" s="23">
        <f>$L52*AL52</f>
        <v>0</v>
      </c>
      <c r="BT52" s="23">
        <f>$L52*AM52</f>
        <v>1</v>
      </c>
      <c r="BU52" s="23">
        <f>$L52*AN52</f>
        <v>0</v>
      </c>
      <c r="BV52" s="23">
        <f>$L52*AO52</f>
        <v>1</v>
      </c>
      <c r="BW52" s="23">
        <f>$L52*AP52</f>
        <v>0</v>
      </c>
      <c r="BX52" s="23">
        <f>$L52*AQ52</f>
        <v>0</v>
      </c>
      <c r="BY52" s="23">
        <f>$L52*AR52</f>
        <v>0</v>
      </c>
      <c r="BZ52" s="23">
        <f>$L52*AS52</f>
        <v>0</v>
      </c>
      <c r="CA52" s="23">
        <f>$L52*AT52</f>
        <v>1</v>
      </c>
      <c r="CB52" s="23">
        <f>$L52*AU52</f>
        <v>1</v>
      </c>
      <c r="CC52" s="23">
        <f>$L52*AV52</f>
        <v>0</v>
      </c>
      <c r="CD52" s="23">
        <f>$L52*AW52</f>
        <v>0</v>
      </c>
      <c r="CE52" s="23">
        <f>$L52*AX52</f>
        <v>1</v>
      </c>
      <c r="CF52" s="23">
        <f>$L52*AY52</f>
        <v>0</v>
      </c>
      <c r="CG52" s="23">
        <f>$L52*AZ52</f>
        <v>0</v>
      </c>
      <c r="CH52" s="23">
        <f>$L52*BA52</f>
        <v>0</v>
      </c>
      <c r="CI52" s="23">
        <f>$L52*BB52</f>
        <v>1</v>
      </c>
      <c r="CJ52" s="23">
        <f>$L52*BC52</f>
        <v>0</v>
      </c>
      <c r="CK52" s="23">
        <f>$L52*BD52</f>
        <v>0</v>
      </c>
      <c r="CL52" s="23">
        <f>$L52*BE52</f>
        <v>0</v>
      </c>
      <c r="CM52" s="23">
        <f>$L52*BF52</f>
        <v>1</v>
      </c>
      <c r="CN52" s="23">
        <f>$L52*BG52</f>
        <v>0</v>
      </c>
      <c r="CO52" s="23">
        <f>$L52*BH52</f>
        <v>0</v>
      </c>
      <c r="CP52" s="23">
        <f>$L52*BI52</f>
        <v>0</v>
      </c>
      <c r="CQ52" s="23">
        <f>$L52*BJ52</f>
        <v>0</v>
      </c>
      <c r="CR52" s="23">
        <f>$L52*BK52</f>
        <v>0</v>
      </c>
      <c r="CS52" s="23">
        <f>$L52*BL52</f>
        <v>0</v>
      </c>
      <c r="CT52" s="23">
        <f>$L52*BM52</f>
        <v>0</v>
      </c>
      <c r="CU52" s="23">
        <f>$L52*BN52</f>
        <v>0</v>
      </c>
      <c r="CV52" s="23">
        <f>$L52*BO52</f>
        <v>0</v>
      </c>
    </row>
    <row r="53" spans="1:100" ht="13.5" x14ac:dyDescent="0.15">
      <c r="A53" s="15">
        <v>170</v>
      </c>
      <c r="B53" s="27" t="s">
        <v>277</v>
      </c>
      <c r="C53" t="s">
        <v>153</v>
      </c>
      <c r="E53" t="s">
        <v>275</v>
      </c>
      <c r="F53" t="s">
        <v>155</v>
      </c>
      <c r="G53" t="s">
        <v>275</v>
      </c>
      <c r="H53" t="s">
        <v>276</v>
      </c>
      <c r="I53" s="6" t="s">
        <v>136</v>
      </c>
      <c r="J53" s="6">
        <v>1</v>
      </c>
      <c r="L53" s="15">
        <v>1</v>
      </c>
      <c r="M53" s="7">
        <v>46140</v>
      </c>
      <c r="N53" s="7">
        <v>46160</v>
      </c>
      <c r="O53" s="7">
        <v>46157</v>
      </c>
      <c r="P53" s="7">
        <v>46157</v>
      </c>
      <c r="S53" s="6" t="s">
        <v>275</v>
      </c>
      <c r="U53" s="6" t="s">
        <v>150</v>
      </c>
      <c r="V53" s="6" t="str">
        <f>TEXT(N53,"YY/MM")</f>
        <v>26/05</v>
      </c>
      <c r="W53">
        <v>21424</v>
      </c>
      <c r="Y53" s="6" t="s">
        <v>157</v>
      </c>
      <c r="Z53" s="6" t="s">
        <v>158</v>
      </c>
      <c r="AA53">
        <v>3237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1</v>
      </c>
      <c r="AP53" s="23">
        <v>0</v>
      </c>
      <c r="AQ53" s="23">
        <v>0</v>
      </c>
      <c r="AR53" s="23">
        <v>1</v>
      </c>
      <c r="AS53" s="23">
        <v>0</v>
      </c>
      <c r="AT53" s="23">
        <v>0</v>
      </c>
      <c r="AU53" s="23">
        <v>1</v>
      </c>
      <c r="AV53" s="23">
        <v>0</v>
      </c>
      <c r="AW53" s="23">
        <v>0</v>
      </c>
      <c r="AX53" s="23">
        <v>1</v>
      </c>
      <c r="AY53" s="23">
        <v>0</v>
      </c>
      <c r="AZ53" s="23">
        <v>0</v>
      </c>
      <c r="BA53" s="23">
        <v>0</v>
      </c>
      <c r="BB53" s="23">
        <v>1</v>
      </c>
      <c r="BC53" s="23">
        <v>0</v>
      </c>
      <c r="BD53" s="23">
        <v>0</v>
      </c>
      <c r="BE53" s="23">
        <v>0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>$L53*AI53</f>
        <v>1</v>
      </c>
      <c r="BQ53" s="23">
        <f>$L53*AJ53</f>
        <v>1</v>
      </c>
      <c r="BR53" s="23">
        <f>$L53*AK53</f>
        <v>0</v>
      </c>
      <c r="BS53" s="23">
        <f>$L53*AL53</f>
        <v>0</v>
      </c>
      <c r="BT53" s="23">
        <f>$L53*AM53</f>
        <v>1</v>
      </c>
      <c r="BU53" s="23">
        <f>$L53*AN53</f>
        <v>0</v>
      </c>
      <c r="BV53" s="23">
        <f>$L53*AO53</f>
        <v>1</v>
      </c>
      <c r="BW53" s="23">
        <f>$L53*AP53</f>
        <v>0</v>
      </c>
      <c r="BX53" s="23">
        <f>$L53*AQ53</f>
        <v>0</v>
      </c>
      <c r="BY53" s="23">
        <f>$L53*AR53</f>
        <v>1</v>
      </c>
      <c r="BZ53" s="23">
        <f>$L53*AS53</f>
        <v>0</v>
      </c>
      <c r="CA53" s="23">
        <f>$L53*AT53</f>
        <v>0</v>
      </c>
      <c r="CB53" s="23">
        <f>$L53*AU53</f>
        <v>1</v>
      </c>
      <c r="CC53" s="23">
        <f>$L53*AV53</f>
        <v>0</v>
      </c>
      <c r="CD53" s="23">
        <f>$L53*AW53</f>
        <v>0</v>
      </c>
      <c r="CE53" s="23">
        <f>$L53*AX53</f>
        <v>1</v>
      </c>
      <c r="CF53" s="23">
        <f>$L53*AY53</f>
        <v>0</v>
      </c>
      <c r="CG53" s="23">
        <f>$L53*AZ53</f>
        <v>0</v>
      </c>
      <c r="CH53" s="23">
        <f>$L53*BA53</f>
        <v>0</v>
      </c>
      <c r="CI53" s="23">
        <f>$L53*BB53</f>
        <v>1</v>
      </c>
      <c r="CJ53" s="23">
        <f>$L53*BC53</f>
        <v>0</v>
      </c>
      <c r="CK53" s="23">
        <f>$L53*BD53</f>
        <v>0</v>
      </c>
      <c r="CL53" s="23">
        <f>$L53*BE53</f>
        <v>0</v>
      </c>
      <c r="CM53" s="23">
        <f>$L53*BF53</f>
        <v>1</v>
      </c>
      <c r="CN53" s="23">
        <f>$L53*BG53</f>
        <v>0</v>
      </c>
      <c r="CO53" s="23">
        <f>$L53*BH53</f>
        <v>0</v>
      </c>
      <c r="CP53" s="23">
        <f>$L53*BI53</f>
        <v>0</v>
      </c>
      <c r="CQ53" s="23">
        <f>$L53*BJ53</f>
        <v>0</v>
      </c>
      <c r="CR53" s="23">
        <f>$L53*BK53</f>
        <v>0</v>
      </c>
      <c r="CS53" s="23">
        <f>$L53*BL53</f>
        <v>0</v>
      </c>
      <c r="CT53" s="23">
        <f>$L53*BM53</f>
        <v>0</v>
      </c>
      <c r="CU53" s="23">
        <f>$L53*BN53</f>
        <v>0</v>
      </c>
      <c r="CV53" s="23">
        <f>$L53*BO53</f>
        <v>0</v>
      </c>
    </row>
    <row r="54" spans="1:100" ht="13.5" x14ac:dyDescent="0.15">
      <c r="A54" s="15">
        <v>175</v>
      </c>
      <c r="B54" s="27" t="s">
        <v>280</v>
      </c>
      <c r="C54" t="s">
        <v>153</v>
      </c>
      <c r="E54" t="s">
        <v>275</v>
      </c>
      <c r="F54" t="s">
        <v>155</v>
      </c>
      <c r="G54" t="s">
        <v>275</v>
      </c>
      <c r="H54" t="s">
        <v>276</v>
      </c>
      <c r="I54" s="6" t="s">
        <v>136</v>
      </c>
      <c r="J54" s="6">
        <v>1</v>
      </c>
      <c r="L54" s="15">
        <v>1</v>
      </c>
      <c r="M54" s="7">
        <v>46149</v>
      </c>
      <c r="N54" s="7">
        <v>46161</v>
      </c>
      <c r="O54" s="7">
        <v>46160</v>
      </c>
      <c r="P54" s="7">
        <v>46160</v>
      </c>
      <c r="S54" s="6" t="s">
        <v>275</v>
      </c>
      <c r="U54" s="6" t="s">
        <v>150</v>
      </c>
      <c r="V54" s="6" t="str">
        <f>TEXT(N54,"YY/MM")</f>
        <v>26/05</v>
      </c>
      <c r="W54">
        <v>21425</v>
      </c>
      <c r="Y54" s="6" t="s">
        <v>157</v>
      </c>
      <c r="Z54" s="6" t="s">
        <v>158</v>
      </c>
      <c r="AA54">
        <v>3238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1</v>
      </c>
      <c r="AP54" s="23">
        <v>0</v>
      </c>
      <c r="AQ54" s="23">
        <v>0</v>
      </c>
      <c r="AR54" s="23">
        <v>1</v>
      </c>
      <c r="AS54" s="23">
        <v>0</v>
      </c>
      <c r="AT54" s="23">
        <v>0</v>
      </c>
      <c r="AU54" s="23">
        <v>1</v>
      </c>
      <c r="AV54" s="23">
        <v>0</v>
      </c>
      <c r="AW54" s="23">
        <v>0</v>
      </c>
      <c r="AX54" s="23">
        <v>1</v>
      </c>
      <c r="AY54" s="23">
        <v>0</v>
      </c>
      <c r="AZ54" s="23">
        <v>0</v>
      </c>
      <c r="BA54" s="23">
        <v>0</v>
      </c>
      <c r="BB54" s="23">
        <v>1</v>
      </c>
      <c r="BC54" s="23">
        <v>0</v>
      </c>
      <c r="BD54" s="23">
        <v>0</v>
      </c>
      <c r="BE54" s="23">
        <v>0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>$L54*AI54</f>
        <v>1</v>
      </c>
      <c r="BQ54" s="23">
        <f>$L54*AJ54</f>
        <v>1</v>
      </c>
      <c r="BR54" s="23">
        <f>$L54*AK54</f>
        <v>0</v>
      </c>
      <c r="BS54" s="23">
        <f>$L54*AL54</f>
        <v>0</v>
      </c>
      <c r="BT54" s="23">
        <f>$L54*AM54</f>
        <v>1</v>
      </c>
      <c r="BU54" s="23">
        <f>$L54*AN54</f>
        <v>0</v>
      </c>
      <c r="BV54" s="23">
        <f>$L54*AO54</f>
        <v>1</v>
      </c>
      <c r="BW54" s="23">
        <f>$L54*AP54</f>
        <v>0</v>
      </c>
      <c r="BX54" s="23">
        <f>$L54*AQ54</f>
        <v>0</v>
      </c>
      <c r="BY54" s="23">
        <f>$L54*AR54</f>
        <v>1</v>
      </c>
      <c r="BZ54" s="23">
        <f>$L54*AS54</f>
        <v>0</v>
      </c>
      <c r="CA54" s="23">
        <f>$L54*AT54</f>
        <v>0</v>
      </c>
      <c r="CB54" s="23">
        <f>$L54*AU54</f>
        <v>1</v>
      </c>
      <c r="CC54" s="23">
        <f>$L54*AV54</f>
        <v>0</v>
      </c>
      <c r="CD54" s="23">
        <f>$L54*AW54</f>
        <v>0</v>
      </c>
      <c r="CE54" s="23">
        <f>$L54*AX54</f>
        <v>1</v>
      </c>
      <c r="CF54" s="23">
        <f>$L54*AY54</f>
        <v>0</v>
      </c>
      <c r="CG54" s="23">
        <f>$L54*AZ54</f>
        <v>0</v>
      </c>
      <c r="CH54" s="23">
        <f>$L54*BA54</f>
        <v>0</v>
      </c>
      <c r="CI54" s="23">
        <f>$L54*BB54</f>
        <v>1</v>
      </c>
      <c r="CJ54" s="23">
        <f>$L54*BC54</f>
        <v>0</v>
      </c>
      <c r="CK54" s="23">
        <f>$L54*BD54</f>
        <v>0</v>
      </c>
      <c r="CL54" s="23">
        <f>$L54*BE54</f>
        <v>0</v>
      </c>
      <c r="CM54" s="23">
        <f>$L54*BF54</f>
        <v>1</v>
      </c>
      <c r="CN54" s="23">
        <f>$L54*BG54</f>
        <v>0</v>
      </c>
      <c r="CO54" s="23">
        <f>$L54*BH54</f>
        <v>0</v>
      </c>
      <c r="CP54" s="23">
        <f>$L54*BI54</f>
        <v>0</v>
      </c>
      <c r="CQ54" s="23">
        <f>$L54*BJ54</f>
        <v>0</v>
      </c>
      <c r="CR54" s="23">
        <f>$L54*BK54</f>
        <v>0</v>
      </c>
      <c r="CS54" s="23">
        <f>$L54*BL54</f>
        <v>0</v>
      </c>
      <c r="CT54" s="23">
        <f>$L54*BM54</f>
        <v>0</v>
      </c>
      <c r="CU54" s="23">
        <f>$L54*BN54</f>
        <v>0</v>
      </c>
      <c r="CV54" s="23">
        <f>$L54*BO54</f>
        <v>0</v>
      </c>
    </row>
    <row r="55" spans="1:100" ht="13.5" x14ac:dyDescent="0.15">
      <c r="A55" s="15">
        <v>174</v>
      </c>
      <c r="B55" s="27" t="s">
        <v>279</v>
      </c>
      <c r="C55" t="s">
        <v>153</v>
      </c>
      <c r="E55" t="s">
        <v>275</v>
      </c>
      <c r="F55" t="s">
        <v>155</v>
      </c>
      <c r="G55" t="s">
        <v>275</v>
      </c>
      <c r="H55" t="s">
        <v>276</v>
      </c>
      <c r="I55" s="6" t="s">
        <v>136</v>
      </c>
      <c r="J55" s="6">
        <v>1</v>
      </c>
      <c r="L55" s="15">
        <v>1</v>
      </c>
      <c r="M55" s="7">
        <v>46149</v>
      </c>
      <c r="N55" s="7">
        <v>46161</v>
      </c>
      <c r="O55" s="7">
        <v>46160</v>
      </c>
      <c r="P55" s="7">
        <v>46160</v>
      </c>
      <c r="S55" s="6" t="s">
        <v>275</v>
      </c>
      <c r="U55" s="6" t="s">
        <v>150</v>
      </c>
      <c r="V55" s="6" t="str">
        <f>TEXT(N55,"YY/MM")</f>
        <v>26/05</v>
      </c>
      <c r="W55">
        <v>21426</v>
      </c>
      <c r="Y55" s="6" t="s">
        <v>157</v>
      </c>
      <c r="Z55" s="6" t="s">
        <v>158</v>
      </c>
      <c r="AA55">
        <v>3239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1</v>
      </c>
      <c r="AP55" s="23">
        <v>0</v>
      </c>
      <c r="AQ55" s="23">
        <v>0</v>
      </c>
      <c r="AR55" s="23">
        <v>1</v>
      </c>
      <c r="AS55" s="23">
        <v>0</v>
      </c>
      <c r="AT55" s="23">
        <v>0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>$L55*AI55</f>
        <v>1</v>
      </c>
      <c r="BQ55" s="23">
        <f>$L55*AJ55</f>
        <v>1</v>
      </c>
      <c r="BR55" s="23">
        <f>$L55*AK55</f>
        <v>0</v>
      </c>
      <c r="BS55" s="23">
        <f>$L55*AL55</f>
        <v>0</v>
      </c>
      <c r="BT55" s="23">
        <f>$L55*AM55</f>
        <v>1</v>
      </c>
      <c r="BU55" s="23">
        <f>$L55*AN55</f>
        <v>0</v>
      </c>
      <c r="BV55" s="23">
        <f>$L55*AO55</f>
        <v>1</v>
      </c>
      <c r="BW55" s="23">
        <f>$L55*AP55</f>
        <v>0</v>
      </c>
      <c r="BX55" s="23">
        <f>$L55*AQ55</f>
        <v>0</v>
      </c>
      <c r="BY55" s="23">
        <f>$L55*AR55</f>
        <v>1</v>
      </c>
      <c r="BZ55" s="23">
        <f>$L55*AS55</f>
        <v>0</v>
      </c>
      <c r="CA55" s="23">
        <f>$L55*AT55</f>
        <v>0</v>
      </c>
      <c r="CB55" s="23">
        <f>$L55*AU55</f>
        <v>1</v>
      </c>
      <c r="CC55" s="23">
        <f>$L55*AV55</f>
        <v>0</v>
      </c>
      <c r="CD55" s="23">
        <f>$L55*AW55</f>
        <v>0</v>
      </c>
      <c r="CE55" s="23">
        <f>$L55*AX55</f>
        <v>1</v>
      </c>
      <c r="CF55" s="23">
        <f>$L55*AY55</f>
        <v>0</v>
      </c>
      <c r="CG55" s="23">
        <f>$L55*AZ55</f>
        <v>0</v>
      </c>
      <c r="CH55" s="23">
        <f>$L55*BA55</f>
        <v>0</v>
      </c>
      <c r="CI55" s="23">
        <f>$L55*BB55</f>
        <v>1</v>
      </c>
      <c r="CJ55" s="23">
        <f>$L55*BC55</f>
        <v>0</v>
      </c>
      <c r="CK55" s="23">
        <f>$L55*BD55</f>
        <v>0</v>
      </c>
      <c r="CL55" s="23">
        <f>$L55*BE55</f>
        <v>0</v>
      </c>
      <c r="CM55" s="23">
        <f>$L55*BF55</f>
        <v>1</v>
      </c>
      <c r="CN55" s="23">
        <f>$L55*BG55</f>
        <v>0</v>
      </c>
      <c r="CO55" s="23">
        <f>$L55*BH55</f>
        <v>0</v>
      </c>
      <c r="CP55" s="23">
        <f>$L55*BI55</f>
        <v>0</v>
      </c>
      <c r="CQ55" s="23">
        <f>$L55*BJ55</f>
        <v>0</v>
      </c>
      <c r="CR55" s="23">
        <f>$L55*BK55</f>
        <v>0</v>
      </c>
      <c r="CS55" s="23">
        <f>$L55*BL55</f>
        <v>0</v>
      </c>
      <c r="CT55" s="23">
        <f>$L55*BM55</f>
        <v>0</v>
      </c>
      <c r="CU55" s="23">
        <f>$L55*BN55</f>
        <v>0</v>
      </c>
      <c r="CV55" s="23">
        <f>$L55*BO55</f>
        <v>0</v>
      </c>
    </row>
    <row r="56" spans="1:100" ht="13.5" x14ac:dyDescent="0.15">
      <c r="A56" s="15">
        <v>173</v>
      </c>
      <c r="B56" s="27" t="s">
        <v>278</v>
      </c>
      <c r="C56" t="s">
        <v>153</v>
      </c>
      <c r="E56" t="s">
        <v>275</v>
      </c>
      <c r="F56" t="s">
        <v>155</v>
      </c>
      <c r="G56" t="s">
        <v>275</v>
      </c>
      <c r="H56" t="s">
        <v>276</v>
      </c>
      <c r="I56" s="6" t="s">
        <v>136</v>
      </c>
      <c r="J56" s="6">
        <v>1</v>
      </c>
      <c r="L56" s="15">
        <v>1</v>
      </c>
      <c r="M56" s="7">
        <v>46149</v>
      </c>
      <c r="N56" s="7">
        <v>46161</v>
      </c>
      <c r="O56" s="7">
        <v>46160</v>
      </c>
      <c r="P56" s="7">
        <v>46160</v>
      </c>
      <c r="S56" s="6" t="s">
        <v>275</v>
      </c>
      <c r="U56" s="6" t="s">
        <v>150</v>
      </c>
      <c r="V56" s="6" t="str">
        <f>TEXT(N56,"YY/MM")</f>
        <v>26/05</v>
      </c>
      <c r="W56">
        <v>21427</v>
      </c>
      <c r="Y56" s="6" t="s">
        <v>157</v>
      </c>
      <c r="Z56" s="6" t="s">
        <v>158</v>
      </c>
      <c r="AA56">
        <v>3240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1</v>
      </c>
      <c r="AP56" s="23">
        <v>0</v>
      </c>
      <c r="AQ56" s="23">
        <v>0</v>
      </c>
      <c r="AR56" s="23">
        <v>1</v>
      </c>
      <c r="AS56" s="23">
        <v>0</v>
      </c>
      <c r="AT56" s="23">
        <v>0</v>
      </c>
      <c r="AU56" s="23">
        <v>1</v>
      </c>
      <c r="AV56" s="23">
        <v>0</v>
      </c>
      <c r="AW56" s="23">
        <v>0</v>
      </c>
      <c r="AX56" s="23">
        <v>1</v>
      </c>
      <c r="AY56" s="23">
        <v>0</v>
      </c>
      <c r="AZ56" s="23">
        <v>0</v>
      </c>
      <c r="BA56" s="23">
        <v>0</v>
      </c>
      <c r="BB56" s="23">
        <v>1</v>
      </c>
      <c r="BC56" s="23">
        <v>0</v>
      </c>
      <c r="BD56" s="23">
        <v>0</v>
      </c>
      <c r="BE56" s="23">
        <v>0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>$L56*AI56</f>
        <v>1</v>
      </c>
      <c r="BQ56" s="23">
        <f>$L56*AJ56</f>
        <v>1</v>
      </c>
      <c r="BR56" s="23">
        <f>$L56*AK56</f>
        <v>0</v>
      </c>
      <c r="BS56" s="23">
        <f>$L56*AL56</f>
        <v>0</v>
      </c>
      <c r="BT56" s="23">
        <f>$L56*AM56</f>
        <v>1</v>
      </c>
      <c r="BU56" s="23">
        <f>$L56*AN56</f>
        <v>0</v>
      </c>
      <c r="BV56" s="23">
        <f>$L56*AO56</f>
        <v>1</v>
      </c>
      <c r="BW56" s="23">
        <f>$L56*AP56</f>
        <v>0</v>
      </c>
      <c r="BX56" s="23">
        <f>$L56*AQ56</f>
        <v>0</v>
      </c>
      <c r="BY56" s="23">
        <f>$L56*AR56</f>
        <v>1</v>
      </c>
      <c r="BZ56" s="23">
        <f>$L56*AS56</f>
        <v>0</v>
      </c>
      <c r="CA56" s="23">
        <f>$L56*AT56</f>
        <v>0</v>
      </c>
      <c r="CB56" s="23">
        <f>$L56*AU56</f>
        <v>1</v>
      </c>
      <c r="CC56" s="23">
        <f>$L56*AV56</f>
        <v>0</v>
      </c>
      <c r="CD56" s="23">
        <f>$L56*AW56</f>
        <v>0</v>
      </c>
      <c r="CE56" s="23">
        <f>$L56*AX56</f>
        <v>1</v>
      </c>
      <c r="CF56" s="23">
        <f>$L56*AY56</f>
        <v>0</v>
      </c>
      <c r="CG56" s="23">
        <f>$L56*AZ56</f>
        <v>0</v>
      </c>
      <c r="CH56" s="23">
        <f>$L56*BA56</f>
        <v>0</v>
      </c>
      <c r="CI56" s="23">
        <f>$L56*BB56</f>
        <v>1</v>
      </c>
      <c r="CJ56" s="23">
        <f>$L56*BC56</f>
        <v>0</v>
      </c>
      <c r="CK56" s="23">
        <f>$L56*BD56</f>
        <v>0</v>
      </c>
      <c r="CL56" s="23">
        <f>$L56*BE56</f>
        <v>0</v>
      </c>
      <c r="CM56" s="23">
        <f>$L56*BF56</f>
        <v>1</v>
      </c>
      <c r="CN56" s="23">
        <f>$L56*BG56</f>
        <v>0</v>
      </c>
      <c r="CO56" s="23">
        <f>$L56*BH56</f>
        <v>0</v>
      </c>
      <c r="CP56" s="23">
        <f>$L56*BI56</f>
        <v>0</v>
      </c>
      <c r="CQ56" s="23">
        <f>$L56*BJ56</f>
        <v>0</v>
      </c>
      <c r="CR56" s="23">
        <f>$L56*BK56</f>
        <v>0</v>
      </c>
      <c r="CS56" s="23">
        <f>$L56*BL56</f>
        <v>0</v>
      </c>
      <c r="CT56" s="23">
        <f>$L56*BM56</f>
        <v>0</v>
      </c>
      <c r="CU56" s="23">
        <f>$L56*BN56</f>
        <v>0</v>
      </c>
      <c r="CV56" s="23">
        <f>$L56*BO56</f>
        <v>0</v>
      </c>
    </row>
    <row r="57" spans="1:100" ht="13.5" x14ac:dyDescent="0.15">
      <c r="A57" s="15">
        <v>182</v>
      </c>
      <c r="B57" s="27" t="s">
        <v>281</v>
      </c>
      <c r="C57" t="s">
        <v>153</v>
      </c>
      <c r="E57" t="s">
        <v>275</v>
      </c>
      <c r="F57" t="s">
        <v>155</v>
      </c>
      <c r="G57" t="s">
        <v>275</v>
      </c>
      <c r="H57" t="s">
        <v>276</v>
      </c>
      <c r="I57" s="6" t="s">
        <v>136</v>
      </c>
      <c r="J57" s="6">
        <v>1</v>
      </c>
      <c r="L57" s="15">
        <v>1</v>
      </c>
      <c r="M57" s="7">
        <v>46150</v>
      </c>
      <c r="N57" s="7">
        <v>46162</v>
      </c>
      <c r="O57" s="7">
        <v>46161</v>
      </c>
      <c r="P57" s="7">
        <v>46161</v>
      </c>
      <c r="S57" s="6" t="s">
        <v>275</v>
      </c>
      <c r="U57" s="6" t="s">
        <v>150</v>
      </c>
      <c r="V57" s="6" t="str">
        <f>TEXT(N57,"YY/MM")</f>
        <v>26/05</v>
      </c>
      <c r="W57">
        <v>21428</v>
      </c>
      <c r="Y57" s="6" t="s">
        <v>157</v>
      </c>
      <c r="Z57" s="6" t="s">
        <v>158</v>
      </c>
      <c r="AA57">
        <v>3241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1</v>
      </c>
      <c r="AP57" s="23">
        <v>0</v>
      </c>
      <c r="AQ57" s="23">
        <v>0</v>
      </c>
      <c r="AR57" s="23">
        <v>1</v>
      </c>
      <c r="AS57" s="23">
        <v>0</v>
      </c>
      <c r="AT57" s="23">
        <v>0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>$L57*AI57</f>
        <v>1</v>
      </c>
      <c r="BQ57" s="23">
        <f>$L57*AJ57</f>
        <v>1</v>
      </c>
      <c r="BR57" s="23">
        <f>$L57*AK57</f>
        <v>0</v>
      </c>
      <c r="BS57" s="23">
        <f>$L57*AL57</f>
        <v>0</v>
      </c>
      <c r="BT57" s="23">
        <f>$L57*AM57</f>
        <v>1</v>
      </c>
      <c r="BU57" s="23">
        <f>$L57*AN57</f>
        <v>0</v>
      </c>
      <c r="BV57" s="23">
        <f>$L57*AO57</f>
        <v>1</v>
      </c>
      <c r="BW57" s="23">
        <f>$L57*AP57</f>
        <v>0</v>
      </c>
      <c r="BX57" s="23">
        <f>$L57*AQ57</f>
        <v>0</v>
      </c>
      <c r="BY57" s="23">
        <f>$L57*AR57</f>
        <v>1</v>
      </c>
      <c r="BZ57" s="23">
        <f>$L57*AS57</f>
        <v>0</v>
      </c>
      <c r="CA57" s="23">
        <f>$L57*AT57</f>
        <v>0</v>
      </c>
      <c r="CB57" s="23">
        <f>$L57*AU57</f>
        <v>1</v>
      </c>
      <c r="CC57" s="23">
        <f>$L57*AV57</f>
        <v>0</v>
      </c>
      <c r="CD57" s="23">
        <f>$L57*AW57</f>
        <v>0</v>
      </c>
      <c r="CE57" s="23">
        <f>$L57*AX57</f>
        <v>1</v>
      </c>
      <c r="CF57" s="23">
        <f>$L57*AY57</f>
        <v>0</v>
      </c>
      <c r="CG57" s="23">
        <f>$L57*AZ57</f>
        <v>0</v>
      </c>
      <c r="CH57" s="23">
        <f>$L57*BA57</f>
        <v>0</v>
      </c>
      <c r="CI57" s="23">
        <f>$L57*BB57</f>
        <v>1</v>
      </c>
      <c r="CJ57" s="23">
        <f>$L57*BC57</f>
        <v>0</v>
      </c>
      <c r="CK57" s="23">
        <f>$L57*BD57</f>
        <v>0</v>
      </c>
      <c r="CL57" s="23">
        <f>$L57*BE57</f>
        <v>0</v>
      </c>
      <c r="CM57" s="23">
        <f>$L57*BF57</f>
        <v>1</v>
      </c>
      <c r="CN57" s="23">
        <f>$L57*BG57</f>
        <v>0</v>
      </c>
      <c r="CO57" s="23">
        <f>$L57*BH57</f>
        <v>0</v>
      </c>
      <c r="CP57" s="23">
        <f>$L57*BI57</f>
        <v>0</v>
      </c>
      <c r="CQ57" s="23">
        <f>$L57*BJ57</f>
        <v>0</v>
      </c>
      <c r="CR57" s="23">
        <f>$L57*BK57</f>
        <v>0</v>
      </c>
      <c r="CS57" s="23">
        <f>$L57*BL57</f>
        <v>0</v>
      </c>
      <c r="CT57" s="23">
        <f>$L57*BM57</f>
        <v>0</v>
      </c>
      <c r="CU57" s="23">
        <f>$L57*BN57</f>
        <v>0</v>
      </c>
      <c r="CV57" s="23">
        <f>$L57*BO57</f>
        <v>0</v>
      </c>
    </row>
    <row r="58" spans="1:100" ht="13.5" x14ac:dyDescent="0.15">
      <c r="A58" s="15">
        <v>184</v>
      </c>
      <c r="B58" s="27" t="s">
        <v>283</v>
      </c>
      <c r="C58" t="s">
        <v>153</v>
      </c>
      <c r="E58" t="s">
        <v>275</v>
      </c>
      <c r="F58" t="s">
        <v>155</v>
      </c>
      <c r="G58" t="s">
        <v>275</v>
      </c>
      <c r="H58" t="s">
        <v>276</v>
      </c>
      <c r="I58" s="6" t="s">
        <v>136</v>
      </c>
      <c r="J58" s="6">
        <v>1</v>
      </c>
      <c r="L58" s="15">
        <v>1</v>
      </c>
      <c r="M58" s="7">
        <v>46150</v>
      </c>
      <c r="N58" s="7">
        <v>46162</v>
      </c>
      <c r="O58" s="7">
        <v>46161</v>
      </c>
      <c r="P58" s="7">
        <v>46161</v>
      </c>
      <c r="S58" s="6" t="s">
        <v>275</v>
      </c>
      <c r="U58" s="6" t="s">
        <v>150</v>
      </c>
      <c r="V58" s="6" t="str">
        <f>TEXT(N58,"YY/MM")</f>
        <v>26/05</v>
      </c>
      <c r="W58">
        <v>21429</v>
      </c>
      <c r="Y58" s="6" t="s">
        <v>157</v>
      </c>
      <c r="Z58" s="6" t="s">
        <v>158</v>
      </c>
      <c r="AA58">
        <v>3242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1</v>
      </c>
      <c r="AP58" s="23">
        <v>0</v>
      </c>
      <c r="AQ58" s="23">
        <v>0</v>
      </c>
      <c r="AR58" s="23">
        <v>1</v>
      </c>
      <c r="AS58" s="23">
        <v>0</v>
      </c>
      <c r="AT58" s="23">
        <v>0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>$L58*AI58</f>
        <v>1</v>
      </c>
      <c r="BQ58" s="23">
        <f>$L58*AJ58</f>
        <v>1</v>
      </c>
      <c r="BR58" s="23">
        <f>$L58*AK58</f>
        <v>0</v>
      </c>
      <c r="BS58" s="23">
        <f>$L58*AL58</f>
        <v>0</v>
      </c>
      <c r="BT58" s="23">
        <f>$L58*AM58</f>
        <v>1</v>
      </c>
      <c r="BU58" s="23">
        <f>$L58*AN58</f>
        <v>0</v>
      </c>
      <c r="BV58" s="23">
        <f>$L58*AO58</f>
        <v>1</v>
      </c>
      <c r="BW58" s="23">
        <f>$L58*AP58</f>
        <v>0</v>
      </c>
      <c r="BX58" s="23">
        <f>$L58*AQ58</f>
        <v>0</v>
      </c>
      <c r="BY58" s="23">
        <f>$L58*AR58</f>
        <v>1</v>
      </c>
      <c r="BZ58" s="23">
        <f>$L58*AS58</f>
        <v>0</v>
      </c>
      <c r="CA58" s="23">
        <f>$L58*AT58</f>
        <v>0</v>
      </c>
      <c r="CB58" s="23">
        <f>$L58*AU58</f>
        <v>1</v>
      </c>
      <c r="CC58" s="23">
        <f>$L58*AV58</f>
        <v>0</v>
      </c>
      <c r="CD58" s="23">
        <f>$L58*AW58</f>
        <v>0</v>
      </c>
      <c r="CE58" s="23">
        <f>$L58*AX58</f>
        <v>1</v>
      </c>
      <c r="CF58" s="23">
        <f>$L58*AY58</f>
        <v>0</v>
      </c>
      <c r="CG58" s="23">
        <f>$L58*AZ58</f>
        <v>0</v>
      </c>
      <c r="CH58" s="23">
        <f>$L58*BA58</f>
        <v>0</v>
      </c>
      <c r="CI58" s="23">
        <f>$L58*BB58</f>
        <v>1</v>
      </c>
      <c r="CJ58" s="23">
        <f>$L58*BC58</f>
        <v>0</v>
      </c>
      <c r="CK58" s="23">
        <f>$L58*BD58</f>
        <v>0</v>
      </c>
      <c r="CL58" s="23">
        <f>$L58*BE58</f>
        <v>0</v>
      </c>
      <c r="CM58" s="23">
        <f>$L58*BF58</f>
        <v>1</v>
      </c>
      <c r="CN58" s="23">
        <f>$L58*BG58</f>
        <v>0</v>
      </c>
      <c r="CO58" s="23">
        <f>$L58*BH58</f>
        <v>0</v>
      </c>
      <c r="CP58" s="23">
        <f>$L58*BI58</f>
        <v>0</v>
      </c>
      <c r="CQ58" s="23">
        <f>$L58*BJ58</f>
        <v>0</v>
      </c>
      <c r="CR58" s="23">
        <f>$L58*BK58</f>
        <v>0</v>
      </c>
      <c r="CS58" s="23">
        <f>$L58*BL58</f>
        <v>0</v>
      </c>
      <c r="CT58" s="23">
        <f>$L58*BM58</f>
        <v>0</v>
      </c>
      <c r="CU58" s="23">
        <f>$L58*BN58</f>
        <v>0</v>
      </c>
      <c r="CV58" s="23">
        <f>$L58*BO58</f>
        <v>0</v>
      </c>
    </row>
    <row r="59" spans="1:100" ht="13.5" x14ac:dyDescent="0.15">
      <c r="A59" s="15">
        <v>183</v>
      </c>
      <c r="B59" s="27" t="s">
        <v>282</v>
      </c>
      <c r="C59" t="s">
        <v>153</v>
      </c>
      <c r="E59" t="s">
        <v>275</v>
      </c>
      <c r="F59" t="s">
        <v>155</v>
      </c>
      <c r="G59" t="s">
        <v>275</v>
      </c>
      <c r="H59" t="s">
        <v>276</v>
      </c>
      <c r="I59" s="6" t="s">
        <v>136</v>
      </c>
      <c r="J59" s="6">
        <v>1</v>
      </c>
      <c r="L59" s="15">
        <v>1</v>
      </c>
      <c r="M59" s="7">
        <v>46150</v>
      </c>
      <c r="N59" s="7">
        <v>46162</v>
      </c>
      <c r="O59" s="7">
        <v>46161</v>
      </c>
      <c r="P59" s="7">
        <v>46161</v>
      </c>
      <c r="S59" s="6" t="s">
        <v>275</v>
      </c>
      <c r="U59" s="6" t="s">
        <v>150</v>
      </c>
      <c r="V59" s="6" t="str">
        <f>TEXT(N59,"YY/MM")</f>
        <v>26/05</v>
      </c>
      <c r="W59">
        <v>21430</v>
      </c>
      <c r="Y59" s="6" t="s">
        <v>157</v>
      </c>
      <c r="Z59" s="6" t="s">
        <v>158</v>
      </c>
      <c r="AA59">
        <v>3243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1</v>
      </c>
      <c r="AP59" s="23">
        <v>0</v>
      </c>
      <c r="AQ59" s="23">
        <v>0</v>
      </c>
      <c r="AR59" s="23">
        <v>1</v>
      </c>
      <c r="AS59" s="23">
        <v>0</v>
      </c>
      <c r="AT59" s="23">
        <v>0</v>
      </c>
      <c r="AU59" s="23">
        <v>1</v>
      </c>
      <c r="AV59" s="23">
        <v>0</v>
      </c>
      <c r="AW59" s="23">
        <v>0</v>
      </c>
      <c r="AX59" s="23">
        <v>1</v>
      </c>
      <c r="AY59" s="23">
        <v>0</v>
      </c>
      <c r="AZ59" s="23">
        <v>0</v>
      </c>
      <c r="BA59" s="23">
        <v>0</v>
      </c>
      <c r="BB59" s="23">
        <v>1</v>
      </c>
      <c r="BC59" s="23">
        <v>0</v>
      </c>
      <c r="BD59" s="23">
        <v>0</v>
      </c>
      <c r="BE59" s="23">
        <v>0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>$L59*AI59</f>
        <v>1</v>
      </c>
      <c r="BQ59" s="23">
        <f>$L59*AJ59</f>
        <v>1</v>
      </c>
      <c r="BR59" s="23">
        <f>$L59*AK59</f>
        <v>0</v>
      </c>
      <c r="BS59" s="23">
        <f>$L59*AL59</f>
        <v>0</v>
      </c>
      <c r="BT59" s="23">
        <f>$L59*AM59</f>
        <v>1</v>
      </c>
      <c r="BU59" s="23">
        <f>$L59*AN59</f>
        <v>0</v>
      </c>
      <c r="BV59" s="23">
        <f>$L59*AO59</f>
        <v>1</v>
      </c>
      <c r="BW59" s="23">
        <f>$L59*AP59</f>
        <v>0</v>
      </c>
      <c r="BX59" s="23">
        <f>$L59*AQ59</f>
        <v>0</v>
      </c>
      <c r="BY59" s="23">
        <f>$L59*AR59</f>
        <v>1</v>
      </c>
      <c r="BZ59" s="23">
        <f>$L59*AS59</f>
        <v>0</v>
      </c>
      <c r="CA59" s="23">
        <f>$L59*AT59</f>
        <v>0</v>
      </c>
      <c r="CB59" s="23">
        <f>$L59*AU59</f>
        <v>1</v>
      </c>
      <c r="CC59" s="23">
        <f>$L59*AV59</f>
        <v>0</v>
      </c>
      <c r="CD59" s="23">
        <f>$L59*AW59</f>
        <v>0</v>
      </c>
      <c r="CE59" s="23">
        <f>$L59*AX59</f>
        <v>1</v>
      </c>
      <c r="CF59" s="23">
        <f>$L59*AY59</f>
        <v>0</v>
      </c>
      <c r="CG59" s="23">
        <f>$L59*AZ59</f>
        <v>0</v>
      </c>
      <c r="CH59" s="23">
        <f>$L59*BA59</f>
        <v>0</v>
      </c>
      <c r="CI59" s="23">
        <f>$L59*BB59</f>
        <v>1</v>
      </c>
      <c r="CJ59" s="23">
        <f>$L59*BC59</f>
        <v>0</v>
      </c>
      <c r="CK59" s="23">
        <f>$L59*BD59</f>
        <v>0</v>
      </c>
      <c r="CL59" s="23">
        <f>$L59*BE59</f>
        <v>0</v>
      </c>
      <c r="CM59" s="23">
        <f>$L59*BF59</f>
        <v>1</v>
      </c>
      <c r="CN59" s="23">
        <f>$L59*BG59</f>
        <v>0</v>
      </c>
      <c r="CO59" s="23">
        <f>$L59*BH59</f>
        <v>0</v>
      </c>
      <c r="CP59" s="23">
        <f>$L59*BI59</f>
        <v>0</v>
      </c>
      <c r="CQ59" s="23">
        <f>$L59*BJ59</f>
        <v>0</v>
      </c>
      <c r="CR59" s="23">
        <f>$L59*BK59</f>
        <v>0</v>
      </c>
      <c r="CS59" s="23">
        <f>$L59*BL59</f>
        <v>0</v>
      </c>
      <c r="CT59" s="23">
        <f>$L59*BM59</f>
        <v>0</v>
      </c>
      <c r="CU59" s="23">
        <f>$L59*BN59</f>
        <v>0</v>
      </c>
      <c r="CV59" s="23">
        <f>$L59*BO59</f>
        <v>0</v>
      </c>
    </row>
    <row r="60" spans="1:100" ht="13.5" x14ac:dyDescent="0.15">
      <c r="A60" s="15">
        <v>190</v>
      </c>
      <c r="B60" s="27" t="s">
        <v>284</v>
      </c>
      <c r="C60" t="s">
        <v>153</v>
      </c>
      <c r="E60" t="s">
        <v>275</v>
      </c>
      <c r="F60" t="s">
        <v>155</v>
      </c>
      <c r="G60" t="s">
        <v>275</v>
      </c>
      <c r="H60" t="s">
        <v>276</v>
      </c>
      <c r="I60" s="6" t="s">
        <v>136</v>
      </c>
      <c r="J60" s="6">
        <v>1</v>
      </c>
      <c r="L60" s="15">
        <v>1</v>
      </c>
      <c r="M60" s="7">
        <v>46153</v>
      </c>
      <c r="N60" s="7">
        <v>46163</v>
      </c>
      <c r="O60" s="7">
        <v>46162</v>
      </c>
      <c r="P60" s="7">
        <v>46162</v>
      </c>
      <c r="S60" s="6" t="s">
        <v>275</v>
      </c>
      <c r="U60" s="6" t="s">
        <v>150</v>
      </c>
      <c r="V60" s="6" t="str">
        <f>TEXT(N60,"YY/MM")</f>
        <v>26/05</v>
      </c>
      <c r="W60">
        <v>21431</v>
      </c>
      <c r="Y60" s="6" t="s">
        <v>157</v>
      </c>
      <c r="Z60" s="6" t="s">
        <v>158</v>
      </c>
      <c r="AA60">
        <v>3244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1</v>
      </c>
      <c r="AP60" s="23">
        <v>0</v>
      </c>
      <c r="AQ60" s="23">
        <v>0</v>
      </c>
      <c r="AR60" s="23">
        <v>1</v>
      </c>
      <c r="AS60" s="23">
        <v>0</v>
      </c>
      <c r="AT60" s="23">
        <v>0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>$L60*AI60</f>
        <v>1</v>
      </c>
      <c r="BQ60" s="23">
        <f>$L60*AJ60</f>
        <v>1</v>
      </c>
      <c r="BR60" s="23">
        <f>$L60*AK60</f>
        <v>0</v>
      </c>
      <c r="BS60" s="23">
        <f>$L60*AL60</f>
        <v>0</v>
      </c>
      <c r="BT60" s="23">
        <f>$L60*AM60</f>
        <v>1</v>
      </c>
      <c r="BU60" s="23">
        <f>$L60*AN60</f>
        <v>0</v>
      </c>
      <c r="BV60" s="23">
        <f>$L60*AO60</f>
        <v>1</v>
      </c>
      <c r="BW60" s="23">
        <f>$L60*AP60</f>
        <v>0</v>
      </c>
      <c r="BX60" s="23">
        <f>$L60*AQ60</f>
        <v>0</v>
      </c>
      <c r="BY60" s="23">
        <f>$L60*AR60</f>
        <v>1</v>
      </c>
      <c r="BZ60" s="23">
        <f>$L60*AS60</f>
        <v>0</v>
      </c>
      <c r="CA60" s="23">
        <f>$L60*AT60</f>
        <v>0</v>
      </c>
      <c r="CB60" s="23">
        <f>$L60*AU60</f>
        <v>1</v>
      </c>
      <c r="CC60" s="23">
        <f>$L60*AV60</f>
        <v>0</v>
      </c>
      <c r="CD60" s="23">
        <f>$L60*AW60</f>
        <v>0</v>
      </c>
      <c r="CE60" s="23">
        <f>$L60*AX60</f>
        <v>1</v>
      </c>
      <c r="CF60" s="23">
        <f>$L60*AY60</f>
        <v>0</v>
      </c>
      <c r="CG60" s="23">
        <f>$L60*AZ60</f>
        <v>0</v>
      </c>
      <c r="CH60" s="23">
        <f>$L60*BA60</f>
        <v>0</v>
      </c>
      <c r="CI60" s="23">
        <f>$L60*BB60</f>
        <v>1</v>
      </c>
      <c r="CJ60" s="23">
        <f>$L60*BC60</f>
        <v>0</v>
      </c>
      <c r="CK60" s="23">
        <f>$L60*BD60</f>
        <v>0</v>
      </c>
      <c r="CL60" s="23">
        <f>$L60*BE60</f>
        <v>0</v>
      </c>
      <c r="CM60" s="23">
        <f>$L60*BF60</f>
        <v>1</v>
      </c>
      <c r="CN60" s="23">
        <f>$L60*BG60</f>
        <v>0</v>
      </c>
      <c r="CO60" s="23">
        <f>$L60*BH60</f>
        <v>0</v>
      </c>
      <c r="CP60" s="23">
        <f>$L60*BI60</f>
        <v>0</v>
      </c>
      <c r="CQ60" s="23">
        <f>$L60*BJ60</f>
        <v>0</v>
      </c>
      <c r="CR60" s="23">
        <f>$L60*BK60</f>
        <v>0</v>
      </c>
      <c r="CS60" s="23">
        <f>$L60*BL60</f>
        <v>0</v>
      </c>
      <c r="CT60" s="23">
        <f>$L60*BM60</f>
        <v>0</v>
      </c>
      <c r="CU60" s="23">
        <f>$L60*BN60</f>
        <v>0</v>
      </c>
      <c r="CV60" s="23">
        <f>$L60*BO60</f>
        <v>0</v>
      </c>
    </row>
    <row r="61" spans="1:100" ht="13.5" x14ac:dyDescent="0.15">
      <c r="A61" s="15">
        <v>192</v>
      </c>
      <c r="B61" s="27" t="s">
        <v>288</v>
      </c>
      <c r="C61" t="s">
        <v>153</v>
      </c>
      <c r="E61" t="s">
        <v>286</v>
      </c>
      <c r="F61" t="s">
        <v>155</v>
      </c>
      <c r="G61" t="s">
        <v>286</v>
      </c>
      <c r="H61" t="s">
        <v>287</v>
      </c>
      <c r="I61" s="6" t="s">
        <v>136</v>
      </c>
      <c r="J61" s="6">
        <v>1</v>
      </c>
      <c r="L61" s="15">
        <v>1</v>
      </c>
      <c r="M61" s="7">
        <v>46153</v>
      </c>
      <c r="N61" s="7">
        <v>46163</v>
      </c>
      <c r="O61" s="7">
        <v>46162</v>
      </c>
      <c r="P61" s="7">
        <v>46162</v>
      </c>
      <c r="S61" s="6" t="s">
        <v>286</v>
      </c>
      <c r="U61" s="6" t="s">
        <v>150</v>
      </c>
      <c r="V61" s="6" t="str">
        <f>TEXT(N61,"YY/MM")</f>
        <v>26/05</v>
      </c>
      <c r="W61">
        <v>21432</v>
      </c>
      <c r="Y61" s="6" t="s">
        <v>157</v>
      </c>
      <c r="Z61" s="6" t="s">
        <v>158</v>
      </c>
      <c r="AA61">
        <v>3245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1</v>
      </c>
      <c r="AP61" s="23">
        <v>0</v>
      </c>
      <c r="AQ61" s="23">
        <v>0</v>
      </c>
      <c r="AR61" s="23">
        <v>0</v>
      </c>
      <c r="AS61" s="23">
        <v>0</v>
      </c>
      <c r="AT61" s="23">
        <v>1</v>
      </c>
      <c r="AU61" s="23">
        <v>0</v>
      </c>
      <c r="AV61" s="23">
        <v>0</v>
      </c>
      <c r="AW61" s="23">
        <v>1</v>
      </c>
      <c r="AX61" s="23">
        <v>0</v>
      </c>
      <c r="AY61" s="23">
        <v>0</v>
      </c>
      <c r="AZ61" s="23">
        <v>0</v>
      </c>
      <c r="BA61" s="23">
        <v>1</v>
      </c>
      <c r="BB61" s="23">
        <v>0</v>
      </c>
      <c r="BC61" s="23">
        <v>0</v>
      </c>
      <c r="BD61" s="23">
        <v>0</v>
      </c>
      <c r="BE61" s="23">
        <v>1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>$L61*AI61</f>
        <v>1</v>
      </c>
      <c r="BQ61" s="23">
        <f>$L61*AJ61</f>
        <v>1</v>
      </c>
      <c r="BR61" s="23">
        <f>$L61*AK61</f>
        <v>0</v>
      </c>
      <c r="BS61" s="23">
        <f>$L61*AL61</f>
        <v>0</v>
      </c>
      <c r="BT61" s="23">
        <f>$L61*AM61</f>
        <v>1</v>
      </c>
      <c r="BU61" s="23">
        <f>$L61*AN61</f>
        <v>0</v>
      </c>
      <c r="BV61" s="23">
        <f>$L61*AO61</f>
        <v>1</v>
      </c>
      <c r="BW61" s="23">
        <f>$L61*AP61</f>
        <v>0</v>
      </c>
      <c r="BX61" s="23">
        <f>$L61*AQ61</f>
        <v>0</v>
      </c>
      <c r="BY61" s="23">
        <f>$L61*AR61</f>
        <v>0</v>
      </c>
      <c r="BZ61" s="23">
        <f>$L61*AS61</f>
        <v>0</v>
      </c>
      <c r="CA61" s="23">
        <f>$L61*AT61</f>
        <v>1</v>
      </c>
      <c r="CB61" s="23">
        <f>$L61*AU61</f>
        <v>0</v>
      </c>
      <c r="CC61" s="23">
        <f>$L61*AV61</f>
        <v>0</v>
      </c>
      <c r="CD61" s="23">
        <f>$L61*AW61</f>
        <v>1</v>
      </c>
      <c r="CE61" s="23">
        <f>$L61*AX61</f>
        <v>0</v>
      </c>
      <c r="CF61" s="23">
        <f>$L61*AY61</f>
        <v>0</v>
      </c>
      <c r="CG61" s="23">
        <f>$L61*AZ61</f>
        <v>0</v>
      </c>
      <c r="CH61" s="23">
        <f>$L61*BA61</f>
        <v>1</v>
      </c>
      <c r="CI61" s="23">
        <f>$L61*BB61</f>
        <v>0</v>
      </c>
      <c r="CJ61" s="23">
        <f>$L61*BC61</f>
        <v>0</v>
      </c>
      <c r="CK61" s="23">
        <f>$L61*BD61</f>
        <v>0</v>
      </c>
      <c r="CL61" s="23">
        <f>$L61*BE61</f>
        <v>1</v>
      </c>
      <c r="CM61" s="23">
        <f>$L61*BF61</f>
        <v>1</v>
      </c>
      <c r="CN61" s="23">
        <f>$L61*BG61</f>
        <v>0</v>
      </c>
      <c r="CO61" s="23">
        <f>$L61*BH61</f>
        <v>0</v>
      </c>
      <c r="CP61" s="23">
        <f>$L61*BI61</f>
        <v>0</v>
      </c>
      <c r="CQ61" s="23">
        <f>$L61*BJ61</f>
        <v>0</v>
      </c>
      <c r="CR61" s="23">
        <f>$L61*BK61</f>
        <v>0</v>
      </c>
      <c r="CS61" s="23">
        <f>$L61*BL61</f>
        <v>0</v>
      </c>
      <c r="CT61" s="23">
        <f>$L61*BM61</f>
        <v>0</v>
      </c>
      <c r="CU61" s="23">
        <f>$L61*BN61</f>
        <v>0</v>
      </c>
      <c r="CV61" s="23">
        <f>$L61*BO61</f>
        <v>0</v>
      </c>
    </row>
    <row r="62" spans="1:100" ht="13.5" x14ac:dyDescent="0.15">
      <c r="A62" s="15">
        <v>191</v>
      </c>
      <c r="B62" s="27" t="s">
        <v>285</v>
      </c>
      <c r="C62" t="s">
        <v>153</v>
      </c>
      <c r="E62" t="s">
        <v>286</v>
      </c>
      <c r="F62" t="s">
        <v>155</v>
      </c>
      <c r="G62" t="s">
        <v>286</v>
      </c>
      <c r="H62" t="s">
        <v>287</v>
      </c>
      <c r="I62" s="6" t="s">
        <v>136</v>
      </c>
      <c r="J62" s="6">
        <v>1</v>
      </c>
      <c r="L62" s="15">
        <v>1</v>
      </c>
      <c r="M62" s="7">
        <v>46153</v>
      </c>
      <c r="N62" s="7">
        <v>46163</v>
      </c>
      <c r="O62" s="7">
        <v>46162</v>
      </c>
      <c r="P62" s="7">
        <v>46162</v>
      </c>
      <c r="S62" s="6" t="s">
        <v>286</v>
      </c>
      <c r="U62" s="6" t="s">
        <v>150</v>
      </c>
      <c r="V62" s="6" t="str">
        <f>TEXT(N62,"YY/MM")</f>
        <v>26/05</v>
      </c>
      <c r="W62">
        <v>21433</v>
      </c>
      <c r="Y62" s="6" t="s">
        <v>157</v>
      </c>
      <c r="Z62" s="6" t="s">
        <v>158</v>
      </c>
      <c r="AA62">
        <v>3246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1</v>
      </c>
      <c r="AP62" s="23">
        <v>0</v>
      </c>
      <c r="AQ62" s="23">
        <v>0</v>
      </c>
      <c r="AR62" s="23">
        <v>0</v>
      </c>
      <c r="AS62" s="23">
        <v>0</v>
      </c>
      <c r="AT62" s="23">
        <v>1</v>
      </c>
      <c r="AU62" s="23">
        <v>0</v>
      </c>
      <c r="AV62" s="23">
        <v>0</v>
      </c>
      <c r="AW62" s="23">
        <v>1</v>
      </c>
      <c r="AX62" s="23">
        <v>0</v>
      </c>
      <c r="AY62" s="23">
        <v>0</v>
      </c>
      <c r="AZ62" s="23">
        <v>0</v>
      </c>
      <c r="BA62" s="23">
        <v>1</v>
      </c>
      <c r="BB62" s="23">
        <v>0</v>
      </c>
      <c r="BC62" s="23">
        <v>0</v>
      </c>
      <c r="BD62" s="23">
        <v>0</v>
      </c>
      <c r="BE62" s="23">
        <v>1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>$L62*AI62</f>
        <v>1</v>
      </c>
      <c r="BQ62" s="23">
        <f>$L62*AJ62</f>
        <v>1</v>
      </c>
      <c r="BR62" s="23">
        <f>$L62*AK62</f>
        <v>0</v>
      </c>
      <c r="BS62" s="23">
        <f>$L62*AL62</f>
        <v>0</v>
      </c>
      <c r="BT62" s="23">
        <f>$L62*AM62</f>
        <v>1</v>
      </c>
      <c r="BU62" s="23">
        <f>$L62*AN62</f>
        <v>0</v>
      </c>
      <c r="BV62" s="23">
        <f>$L62*AO62</f>
        <v>1</v>
      </c>
      <c r="BW62" s="23">
        <f>$L62*AP62</f>
        <v>0</v>
      </c>
      <c r="BX62" s="23">
        <f>$L62*AQ62</f>
        <v>0</v>
      </c>
      <c r="BY62" s="23">
        <f>$L62*AR62</f>
        <v>0</v>
      </c>
      <c r="BZ62" s="23">
        <f>$L62*AS62</f>
        <v>0</v>
      </c>
      <c r="CA62" s="23">
        <f>$L62*AT62</f>
        <v>1</v>
      </c>
      <c r="CB62" s="23">
        <f>$L62*AU62</f>
        <v>0</v>
      </c>
      <c r="CC62" s="23">
        <f>$L62*AV62</f>
        <v>0</v>
      </c>
      <c r="CD62" s="23">
        <f>$L62*AW62</f>
        <v>1</v>
      </c>
      <c r="CE62" s="23">
        <f>$L62*AX62</f>
        <v>0</v>
      </c>
      <c r="CF62" s="23">
        <f>$L62*AY62</f>
        <v>0</v>
      </c>
      <c r="CG62" s="23">
        <f>$L62*AZ62</f>
        <v>0</v>
      </c>
      <c r="CH62" s="23">
        <f>$L62*BA62</f>
        <v>1</v>
      </c>
      <c r="CI62" s="23">
        <f>$L62*BB62</f>
        <v>0</v>
      </c>
      <c r="CJ62" s="23">
        <f>$L62*BC62</f>
        <v>0</v>
      </c>
      <c r="CK62" s="23">
        <f>$L62*BD62</f>
        <v>0</v>
      </c>
      <c r="CL62" s="23">
        <f>$L62*BE62</f>
        <v>1</v>
      </c>
      <c r="CM62" s="23">
        <f>$L62*BF62</f>
        <v>1</v>
      </c>
      <c r="CN62" s="23">
        <f>$L62*BG62</f>
        <v>0</v>
      </c>
      <c r="CO62" s="23">
        <f>$L62*BH62</f>
        <v>0</v>
      </c>
      <c r="CP62" s="23">
        <f>$L62*BI62</f>
        <v>0</v>
      </c>
      <c r="CQ62" s="23">
        <f>$L62*BJ62</f>
        <v>0</v>
      </c>
      <c r="CR62" s="23">
        <f>$L62*BK62</f>
        <v>0</v>
      </c>
      <c r="CS62" s="23">
        <f>$L62*BL62</f>
        <v>0</v>
      </c>
      <c r="CT62" s="23">
        <f>$L62*BM62</f>
        <v>0</v>
      </c>
      <c r="CU62" s="23">
        <f>$L62*BN62</f>
        <v>0</v>
      </c>
      <c r="CV62" s="23">
        <f>$L62*BO62</f>
        <v>0</v>
      </c>
    </row>
    <row r="63" spans="1:100" ht="13.5" x14ac:dyDescent="0.15">
      <c r="A63" s="15">
        <v>198</v>
      </c>
      <c r="B63" s="27" t="s">
        <v>290</v>
      </c>
      <c r="C63" t="s">
        <v>153</v>
      </c>
      <c r="E63" t="s">
        <v>286</v>
      </c>
      <c r="F63" t="s">
        <v>155</v>
      </c>
      <c r="G63" t="s">
        <v>286</v>
      </c>
      <c r="H63" t="s">
        <v>287</v>
      </c>
      <c r="I63" s="6" t="s">
        <v>136</v>
      </c>
      <c r="J63" s="6">
        <v>1</v>
      </c>
      <c r="L63" s="15">
        <v>1</v>
      </c>
      <c r="M63" s="7">
        <v>46154</v>
      </c>
      <c r="N63" s="7">
        <v>46164</v>
      </c>
      <c r="O63" s="7">
        <v>46163</v>
      </c>
      <c r="P63" s="7">
        <v>46163</v>
      </c>
      <c r="S63" s="6" t="s">
        <v>286</v>
      </c>
      <c r="U63" s="6" t="s">
        <v>150</v>
      </c>
      <c r="V63" s="6" t="str">
        <f>TEXT(N63,"YY/MM")</f>
        <v>26/05</v>
      </c>
      <c r="W63">
        <v>21434</v>
      </c>
      <c r="Y63" s="6" t="s">
        <v>157</v>
      </c>
      <c r="Z63" s="6" t="s">
        <v>158</v>
      </c>
      <c r="AA63">
        <v>3247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1</v>
      </c>
      <c r="AP63" s="23">
        <v>0</v>
      </c>
      <c r="AQ63" s="23">
        <v>0</v>
      </c>
      <c r="AR63" s="23">
        <v>0</v>
      </c>
      <c r="AS63" s="23">
        <v>0</v>
      </c>
      <c r="AT63" s="23">
        <v>1</v>
      </c>
      <c r="AU63" s="23">
        <v>0</v>
      </c>
      <c r="AV63" s="23">
        <v>0</v>
      </c>
      <c r="AW63" s="23">
        <v>1</v>
      </c>
      <c r="AX63" s="23">
        <v>0</v>
      </c>
      <c r="AY63" s="23">
        <v>0</v>
      </c>
      <c r="AZ63" s="23">
        <v>0</v>
      </c>
      <c r="BA63" s="23">
        <v>1</v>
      </c>
      <c r="BB63" s="23">
        <v>0</v>
      </c>
      <c r="BC63" s="23">
        <v>0</v>
      </c>
      <c r="BD63" s="23">
        <v>0</v>
      </c>
      <c r="BE63" s="23">
        <v>1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>$L63*AI63</f>
        <v>1</v>
      </c>
      <c r="BQ63" s="23">
        <f>$L63*AJ63</f>
        <v>1</v>
      </c>
      <c r="BR63" s="23">
        <f>$L63*AK63</f>
        <v>0</v>
      </c>
      <c r="BS63" s="23">
        <f>$L63*AL63</f>
        <v>0</v>
      </c>
      <c r="BT63" s="23">
        <f>$L63*AM63</f>
        <v>1</v>
      </c>
      <c r="BU63" s="23">
        <f>$L63*AN63</f>
        <v>0</v>
      </c>
      <c r="BV63" s="23">
        <f>$L63*AO63</f>
        <v>1</v>
      </c>
      <c r="BW63" s="23">
        <f>$L63*AP63</f>
        <v>0</v>
      </c>
      <c r="BX63" s="23">
        <f>$L63*AQ63</f>
        <v>0</v>
      </c>
      <c r="BY63" s="23">
        <f>$L63*AR63</f>
        <v>0</v>
      </c>
      <c r="BZ63" s="23">
        <f>$L63*AS63</f>
        <v>0</v>
      </c>
      <c r="CA63" s="23">
        <f>$L63*AT63</f>
        <v>1</v>
      </c>
      <c r="CB63" s="23">
        <f>$L63*AU63</f>
        <v>0</v>
      </c>
      <c r="CC63" s="23">
        <f>$L63*AV63</f>
        <v>0</v>
      </c>
      <c r="CD63" s="23">
        <f>$L63*AW63</f>
        <v>1</v>
      </c>
      <c r="CE63" s="23">
        <f>$L63*AX63</f>
        <v>0</v>
      </c>
      <c r="CF63" s="23">
        <f>$L63*AY63</f>
        <v>0</v>
      </c>
      <c r="CG63" s="23">
        <f>$L63*AZ63</f>
        <v>0</v>
      </c>
      <c r="CH63" s="23">
        <f>$L63*BA63</f>
        <v>1</v>
      </c>
      <c r="CI63" s="23">
        <f>$L63*BB63</f>
        <v>0</v>
      </c>
      <c r="CJ63" s="23">
        <f>$L63*BC63</f>
        <v>0</v>
      </c>
      <c r="CK63" s="23">
        <f>$L63*BD63</f>
        <v>0</v>
      </c>
      <c r="CL63" s="23">
        <f>$L63*BE63</f>
        <v>1</v>
      </c>
      <c r="CM63" s="23">
        <f>$L63*BF63</f>
        <v>1</v>
      </c>
      <c r="CN63" s="23">
        <f>$L63*BG63</f>
        <v>0</v>
      </c>
      <c r="CO63" s="23">
        <f>$L63*BH63</f>
        <v>0</v>
      </c>
      <c r="CP63" s="23">
        <f>$L63*BI63</f>
        <v>0</v>
      </c>
      <c r="CQ63" s="23">
        <f>$L63*BJ63</f>
        <v>0</v>
      </c>
      <c r="CR63" s="23">
        <f>$L63*BK63</f>
        <v>0</v>
      </c>
      <c r="CS63" s="23">
        <f>$L63*BL63</f>
        <v>0</v>
      </c>
      <c r="CT63" s="23">
        <f>$L63*BM63</f>
        <v>0</v>
      </c>
      <c r="CU63" s="23">
        <f>$L63*BN63</f>
        <v>0</v>
      </c>
      <c r="CV63" s="23">
        <f>$L63*BO63</f>
        <v>0</v>
      </c>
    </row>
    <row r="64" spans="1:100" ht="13.5" x14ac:dyDescent="0.15">
      <c r="A64" s="15">
        <v>199</v>
      </c>
      <c r="B64" s="27" t="s">
        <v>291</v>
      </c>
      <c r="C64" t="s">
        <v>153</v>
      </c>
      <c r="E64" t="s">
        <v>286</v>
      </c>
      <c r="F64" t="s">
        <v>155</v>
      </c>
      <c r="G64" t="s">
        <v>286</v>
      </c>
      <c r="H64" t="s">
        <v>287</v>
      </c>
      <c r="I64" s="6" t="s">
        <v>136</v>
      </c>
      <c r="J64" s="6">
        <v>1</v>
      </c>
      <c r="L64" s="15">
        <v>1</v>
      </c>
      <c r="M64" s="7">
        <v>46154</v>
      </c>
      <c r="N64" s="7">
        <v>46164</v>
      </c>
      <c r="O64" s="7">
        <v>46163</v>
      </c>
      <c r="P64" s="7">
        <v>46163</v>
      </c>
      <c r="S64" s="6" t="s">
        <v>286</v>
      </c>
      <c r="U64" s="6" t="s">
        <v>150</v>
      </c>
      <c r="V64" s="6" t="str">
        <f>TEXT(N64,"YY/MM")</f>
        <v>26/05</v>
      </c>
      <c r="W64">
        <v>21435</v>
      </c>
      <c r="Y64" s="6" t="s">
        <v>157</v>
      </c>
      <c r="Z64" s="6" t="s">
        <v>158</v>
      </c>
      <c r="AA64">
        <v>3248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1</v>
      </c>
      <c r="AP64" s="23">
        <v>0</v>
      </c>
      <c r="AQ64" s="23">
        <v>0</v>
      </c>
      <c r="AR64" s="23">
        <v>0</v>
      </c>
      <c r="AS64" s="23">
        <v>0</v>
      </c>
      <c r="AT64" s="23">
        <v>1</v>
      </c>
      <c r="AU64" s="23">
        <v>0</v>
      </c>
      <c r="AV64" s="23">
        <v>0</v>
      </c>
      <c r="AW64" s="23">
        <v>1</v>
      </c>
      <c r="AX64" s="23">
        <v>0</v>
      </c>
      <c r="AY64" s="23">
        <v>0</v>
      </c>
      <c r="AZ64" s="23">
        <v>0</v>
      </c>
      <c r="BA64" s="23">
        <v>1</v>
      </c>
      <c r="BB64" s="23">
        <v>0</v>
      </c>
      <c r="BC64" s="23">
        <v>0</v>
      </c>
      <c r="BD64" s="23">
        <v>0</v>
      </c>
      <c r="BE64" s="23">
        <v>1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>$L64*AI64</f>
        <v>1</v>
      </c>
      <c r="BQ64" s="23">
        <f>$L64*AJ64</f>
        <v>1</v>
      </c>
      <c r="BR64" s="23">
        <f>$L64*AK64</f>
        <v>0</v>
      </c>
      <c r="BS64" s="23">
        <f>$L64*AL64</f>
        <v>0</v>
      </c>
      <c r="BT64" s="23">
        <f>$L64*AM64</f>
        <v>1</v>
      </c>
      <c r="BU64" s="23">
        <f>$L64*AN64</f>
        <v>0</v>
      </c>
      <c r="BV64" s="23">
        <f>$L64*AO64</f>
        <v>1</v>
      </c>
      <c r="BW64" s="23">
        <f>$L64*AP64</f>
        <v>0</v>
      </c>
      <c r="BX64" s="23">
        <f>$L64*AQ64</f>
        <v>0</v>
      </c>
      <c r="BY64" s="23">
        <f>$L64*AR64</f>
        <v>0</v>
      </c>
      <c r="BZ64" s="23">
        <f>$L64*AS64</f>
        <v>0</v>
      </c>
      <c r="CA64" s="23">
        <f>$L64*AT64</f>
        <v>1</v>
      </c>
      <c r="CB64" s="23">
        <f>$L64*AU64</f>
        <v>0</v>
      </c>
      <c r="CC64" s="23">
        <f>$L64*AV64</f>
        <v>0</v>
      </c>
      <c r="CD64" s="23">
        <f>$L64*AW64</f>
        <v>1</v>
      </c>
      <c r="CE64" s="23">
        <f>$L64*AX64</f>
        <v>0</v>
      </c>
      <c r="CF64" s="23">
        <f>$L64*AY64</f>
        <v>0</v>
      </c>
      <c r="CG64" s="23">
        <f>$L64*AZ64</f>
        <v>0</v>
      </c>
      <c r="CH64" s="23">
        <f>$L64*BA64</f>
        <v>1</v>
      </c>
      <c r="CI64" s="23">
        <f>$L64*BB64</f>
        <v>0</v>
      </c>
      <c r="CJ64" s="23">
        <f>$L64*BC64</f>
        <v>0</v>
      </c>
      <c r="CK64" s="23">
        <f>$L64*BD64</f>
        <v>0</v>
      </c>
      <c r="CL64" s="23">
        <f>$L64*BE64</f>
        <v>1</v>
      </c>
      <c r="CM64" s="23">
        <f>$L64*BF64</f>
        <v>1</v>
      </c>
      <c r="CN64" s="23">
        <f>$L64*BG64</f>
        <v>0</v>
      </c>
      <c r="CO64" s="23">
        <f>$L64*BH64</f>
        <v>0</v>
      </c>
      <c r="CP64" s="23">
        <f>$L64*BI64</f>
        <v>0</v>
      </c>
      <c r="CQ64" s="23">
        <f>$L64*BJ64</f>
        <v>0</v>
      </c>
      <c r="CR64" s="23">
        <f>$L64*BK64</f>
        <v>0</v>
      </c>
      <c r="CS64" s="23">
        <f>$L64*BL64</f>
        <v>0</v>
      </c>
      <c r="CT64" s="23">
        <f>$L64*BM64</f>
        <v>0</v>
      </c>
      <c r="CU64" s="23">
        <f>$L64*BN64</f>
        <v>0</v>
      </c>
      <c r="CV64" s="23">
        <f>$L64*BO64</f>
        <v>0</v>
      </c>
    </row>
    <row r="65" spans="1:100" ht="13.5" x14ac:dyDescent="0.15">
      <c r="A65" s="15">
        <v>200</v>
      </c>
      <c r="B65" s="27" t="s">
        <v>289</v>
      </c>
      <c r="C65" t="s">
        <v>153</v>
      </c>
      <c r="E65" t="s">
        <v>286</v>
      </c>
      <c r="F65" t="s">
        <v>155</v>
      </c>
      <c r="G65" t="s">
        <v>286</v>
      </c>
      <c r="H65" t="s">
        <v>287</v>
      </c>
      <c r="I65" s="6" t="s">
        <v>136</v>
      </c>
      <c r="J65" s="6">
        <v>1</v>
      </c>
      <c r="L65" s="15">
        <v>1</v>
      </c>
      <c r="M65" s="7">
        <v>46154</v>
      </c>
      <c r="N65" s="7">
        <v>46164</v>
      </c>
      <c r="O65" s="7">
        <v>46163</v>
      </c>
      <c r="P65" s="7">
        <v>46163</v>
      </c>
      <c r="S65" s="6" t="s">
        <v>286</v>
      </c>
      <c r="U65" s="6" t="s">
        <v>150</v>
      </c>
      <c r="V65" s="6" t="str">
        <f>TEXT(N65,"YY/MM")</f>
        <v>26/05</v>
      </c>
      <c r="W65">
        <v>21436</v>
      </c>
      <c r="Y65" s="6" t="s">
        <v>157</v>
      </c>
      <c r="Z65" s="6" t="s">
        <v>158</v>
      </c>
      <c r="AA65">
        <v>3249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1</v>
      </c>
      <c r="AP65" s="23">
        <v>0</v>
      </c>
      <c r="AQ65" s="23">
        <v>0</v>
      </c>
      <c r="AR65" s="23">
        <v>0</v>
      </c>
      <c r="AS65" s="23">
        <v>0</v>
      </c>
      <c r="AT65" s="23">
        <v>1</v>
      </c>
      <c r="AU65" s="23">
        <v>0</v>
      </c>
      <c r="AV65" s="23">
        <v>0</v>
      </c>
      <c r="AW65" s="23">
        <v>1</v>
      </c>
      <c r="AX65" s="23">
        <v>0</v>
      </c>
      <c r="AY65" s="23">
        <v>0</v>
      </c>
      <c r="AZ65" s="23">
        <v>0</v>
      </c>
      <c r="BA65" s="23">
        <v>1</v>
      </c>
      <c r="BB65" s="23">
        <v>0</v>
      </c>
      <c r="BC65" s="23">
        <v>0</v>
      </c>
      <c r="BD65" s="23">
        <v>0</v>
      </c>
      <c r="BE65" s="23">
        <v>1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>$L65*AI65</f>
        <v>1</v>
      </c>
      <c r="BQ65" s="23">
        <f>$L65*AJ65</f>
        <v>1</v>
      </c>
      <c r="BR65" s="23">
        <f>$L65*AK65</f>
        <v>0</v>
      </c>
      <c r="BS65" s="23">
        <f>$L65*AL65</f>
        <v>0</v>
      </c>
      <c r="BT65" s="23">
        <f>$L65*AM65</f>
        <v>1</v>
      </c>
      <c r="BU65" s="23">
        <f>$L65*AN65</f>
        <v>0</v>
      </c>
      <c r="BV65" s="23">
        <f>$L65*AO65</f>
        <v>1</v>
      </c>
      <c r="BW65" s="23">
        <f>$L65*AP65</f>
        <v>0</v>
      </c>
      <c r="BX65" s="23">
        <f>$L65*AQ65</f>
        <v>0</v>
      </c>
      <c r="BY65" s="23">
        <f>$L65*AR65</f>
        <v>0</v>
      </c>
      <c r="BZ65" s="23">
        <f>$L65*AS65</f>
        <v>0</v>
      </c>
      <c r="CA65" s="23">
        <f>$L65*AT65</f>
        <v>1</v>
      </c>
      <c r="CB65" s="23">
        <f>$L65*AU65</f>
        <v>0</v>
      </c>
      <c r="CC65" s="23">
        <f>$L65*AV65</f>
        <v>0</v>
      </c>
      <c r="CD65" s="23">
        <f>$L65*AW65</f>
        <v>1</v>
      </c>
      <c r="CE65" s="23">
        <f>$L65*AX65</f>
        <v>0</v>
      </c>
      <c r="CF65" s="23">
        <f>$L65*AY65</f>
        <v>0</v>
      </c>
      <c r="CG65" s="23">
        <f>$L65*AZ65</f>
        <v>0</v>
      </c>
      <c r="CH65" s="23">
        <f>$L65*BA65</f>
        <v>1</v>
      </c>
      <c r="CI65" s="23">
        <f>$L65*BB65</f>
        <v>0</v>
      </c>
      <c r="CJ65" s="23">
        <f>$L65*BC65</f>
        <v>0</v>
      </c>
      <c r="CK65" s="23">
        <f>$L65*BD65</f>
        <v>0</v>
      </c>
      <c r="CL65" s="23">
        <f>$L65*BE65</f>
        <v>1</v>
      </c>
      <c r="CM65" s="23">
        <f>$L65*BF65</f>
        <v>1</v>
      </c>
      <c r="CN65" s="23">
        <f>$L65*BG65</f>
        <v>0</v>
      </c>
      <c r="CO65" s="23">
        <f>$L65*BH65</f>
        <v>0</v>
      </c>
      <c r="CP65" s="23">
        <f>$L65*BI65</f>
        <v>0</v>
      </c>
      <c r="CQ65" s="23">
        <f>$L65*BJ65</f>
        <v>0</v>
      </c>
      <c r="CR65" s="23">
        <f>$L65*BK65</f>
        <v>0</v>
      </c>
      <c r="CS65" s="23">
        <f>$L65*BL65</f>
        <v>0</v>
      </c>
      <c r="CT65" s="23">
        <f>$L65*BM65</f>
        <v>0</v>
      </c>
      <c r="CU65" s="23">
        <f>$L65*BN65</f>
        <v>0</v>
      </c>
      <c r="CV65" s="23">
        <f>$L65*BO65</f>
        <v>0</v>
      </c>
    </row>
    <row r="66" spans="1:100" ht="13.5" x14ac:dyDescent="0.15">
      <c r="A66" s="15">
        <v>237</v>
      </c>
      <c r="B66" s="27" t="s">
        <v>292</v>
      </c>
      <c r="C66" t="s">
        <v>197</v>
      </c>
      <c r="D66" t="s">
        <v>293</v>
      </c>
      <c r="E66" t="s">
        <v>212</v>
      </c>
      <c r="F66" t="s">
        <v>155</v>
      </c>
      <c r="G66" t="s">
        <v>199</v>
      </c>
      <c r="H66" t="s">
        <v>200</v>
      </c>
      <c r="I66" s="6" t="s">
        <v>136</v>
      </c>
      <c r="J66" s="6">
        <v>0</v>
      </c>
      <c r="K66" t="s">
        <v>201</v>
      </c>
      <c r="L66" s="15">
        <v>1</v>
      </c>
      <c r="M66" s="7">
        <v>46163</v>
      </c>
      <c r="N66" s="7">
        <v>46175</v>
      </c>
      <c r="O66" s="7">
        <v>46174</v>
      </c>
      <c r="P66" s="7">
        <v>46174</v>
      </c>
      <c r="S66" s="6" t="s">
        <v>199</v>
      </c>
      <c r="U66" s="6" t="s">
        <v>150</v>
      </c>
      <c r="V66" s="6" t="str">
        <f>TEXT(N66,"YY/MM")</f>
        <v>26/06</v>
      </c>
      <c r="W66">
        <v>21437</v>
      </c>
      <c r="Y66" s="6" t="s">
        <v>203</v>
      </c>
      <c r="Z66" s="6" t="s">
        <v>152</v>
      </c>
      <c r="AE66">
        <v>1272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0</v>
      </c>
      <c r="AP66" s="23">
        <v>1</v>
      </c>
      <c r="AQ66" s="23">
        <v>0</v>
      </c>
      <c r="AR66" s="23">
        <v>0</v>
      </c>
      <c r="AS66" s="23">
        <v>1</v>
      </c>
      <c r="AT66" s="23">
        <v>0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>$L66*AI66</f>
        <v>1</v>
      </c>
      <c r="BQ66" s="23">
        <f>$L66*AJ66</f>
        <v>1</v>
      </c>
      <c r="BR66" s="23">
        <f>$L66*AK66</f>
        <v>0</v>
      </c>
      <c r="BS66" s="23">
        <f>$L66*AL66</f>
        <v>0</v>
      </c>
      <c r="BT66" s="23">
        <f>$L66*AM66</f>
        <v>1</v>
      </c>
      <c r="BU66" s="23">
        <f>$L66*AN66</f>
        <v>0</v>
      </c>
      <c r="BV66" s="23">
        <f>$L66*AO66</f>
        <v>0</v>
      </c>
      <c r="BW66" s="23">
        <f>$L66*AP66</f>
        <v>1</v>
      </c>
      <c r="BX66" s="23">
        <f>$L66*AQ66</f>
        <v>0</v>
      </c>
      <c r="BY66" s="23">
        <f>$L66*AR66</f>
        <v>0</v>
      </c>
      <c r="BZ66" s="23">
        <f>$L66*AS66</f>
        <v>1</v>
      </c>
      <c r="CA66" s="23">
        <f>$L66*AT66</f>
        <v>0</v>
      </c>
      <c r="CB66" s="23">
        <f>$L66*AU66</f>
        <v>1</v>
      </c>
      <c r="CC66" s="23">
        <f>$L66*AV66</f>
        <v>0</v>
      </c>
      <c r="CD66" s="23">
        <f>$L66*AW66</f>
        <v>0</v>
      </c>
      <c r="CE66" s="23">
        <f>$L66*AX66</f>
        <v>1</v>
      </c>
      <c r="CF66" s="23">
        <f>$L66*AY66</f>
        <v>0</v>
      </c>
      <c r="CG66" s="23">
        <f>$L66*AZ66</f>
        <v>0</v>
      </c>
      <c r="CH66" s="23">
        <f>$L66*BA66</f>
        <v>0</v>
      </c>
      <c r="CI66" s="23">
        <f>$L66*BB66</f>
        <v>1</v>
      </c>
      <c r="CJ66" s="23">
        <f>$L66*BC66</f>
        <v>0</v>
      </c>
      <c r="CK66" s="23">
        <f>$L66*BD66</f>
        <v>0</v>
      </c>
      <c r="CL66" s="23">
        <f>$L66*BE66</f>
        <v>0</v>
      </c>
      <c r="CM66" s="23">
        <f>$L66*BF66</f>
        <v>1</v>
      </c>
      <c r="CN66" s="23">
        <f>$L66*BG66</f>
        <v>0</v>
      </c>
      <c r="CO66" s="23">
        <f>$L66*BH66</f>
        <v>0</v>
      </c>
      <c r="CP66" s="23">
        <f>$L66*BI66</f>
        <v>0</v>
      </c>
      <c r="CQ66" s="23">
        <f>$L66*BJ66</f>
        <v>0</v>
      </c>
      <c r="CR66" s="23">
        <f>$L66*BK66</f>
        <v>0</v>
      </c>
      <c r="CS66" s="23">
        <f>$L66*BL66</f>
        <v>0</v>
      </c>
      <c r="CT66" s="23">
        <f>$L66*BM66</f>
        <v>0</v>
      </c>
      <c r="CU66" s="23">
        <f>$L66*BN66</f>
        <v>0</v>
      </c>
      <c r="CV66" s="23">
        <f>$L66*BO66</f>
        <v>0</v>
      </c>
    </row>
    <row r="67" spans="1:100" ht="13.5" x14ac:dyDescent="0.15">
      <c r="A67" s="15">
        <v>243</v>
      </c>
      <c r="B67" s="27" t="s">
        <v>294</v>
      </c>
      <c r="C67" t="s">
        <v>197</v>
      </c>
      <c r="D67" t="s">
        <v>254</v>
      </c>
      <c r="E67" t="s">
        <v>212</v>
      </c>
      <c r="F67" t="s">
        <v>155</v>
      </c>
      <c r="G67" t="s">
        <v>199</v>
      </c>
      <c r="H67" t="s">
        <v>200</v>
      </c>
      <c r="I67" s="6" t="s">
        <v>136</v>
      </c>
      <c r="J67" s="6">
        <v>0</v>
      </c>
      <c r="K67" t="s">
        <v>201</v>
      </c>
      <c r="L67" s="15">
        <v>1</v>
      </c>
      <c r="M67" s="7">
        <v>46164</v>
      </c>
      <c r="N67" s="7">
        <v>46176</v>
      </c>
      <c r="O67" s="7">
        <v>46175</v>
      </c>
      <c r="P67" s="7">
        <v>46175</v>
      </c>
      <c r="S67" s="6" t="s">
        <v>199</v>
      </c>
      <c r="U67" s="6" t="s">
        <v>150</v>
      </c>
      <c r="V67" s="6" t="str">
        <f>TEXT(N67,"YY/MM")</f>
        <v>26/06</v>
      </c>
      <c r="W67">
        <v>21438</v>
      </c>
      <c r="Y67" s="6" t="s">
        <v>203</v>
      </c>
      <c r="Z67" s="6" t="s">
        <v>152</v>
      </c>
      <c r="AE67">
        <v>1273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0</v>
      </c>
      <c r="AP67" s="23">
        <v>1</v>
      </c>
      <c r="AQ67" s="23">
        <v>0</v>
      </c>
      <c r="AR67" s="23">
        <v>0</v>
      </c>
      <c r="AS67" s="23">
        <v>1</v>
      </c>
      <c r="AT67" s="23">
        <v>0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>$L67*AI67</f>
        <v>1</v>
      </c>
      <c r="BQ67" s="23">
        <f>$L67*AJ67</f>
        <v>1</v>
      </c>
      <c r="BR67" s="23">
        <f>$L67*AK67</f>
        <v>0</v>
      </c>
      <c r="BS67" s="23">
        <f>$L67*AL67</f>
        <v>0</v>
      </c>
      <c r="BT67" s="23">
        <f>$L67*AM67</f>
        <v>1</v>
      </c>
      <c r="BU67" s="23">
        <f>$L67*AN67</f>
        <v>0</v>
      </c>
      <c r="BV67" s="23">
        <f>$L67*AO67</f>
        <v>0</v>
      </c>
      <c r="BW67" s="23">
        <f>$L67*AP67</f>
        <v>1</v>
      </c>
      <c r="BX67" s="23">
        <f>$L67*AQ67</f>
        <v>0</v>
      </c>
      <c r="BY67" s="23">
        <f>$L67*AR67</f>
        <v>0</v>
      </c>
      <c r="BZ67" s="23">
        <f>$L67*AS67</f>
        <v>1</v>
      </c>
      <c r="CA67" s="23">
        <f>$L67*AT67</f>
        <v>0</v>
      </c>
      <c r="CB67" s="23">
        <f>$L67*AU67</f>
        <v>1</v>
      </c>
      <c r="CC67" s="23">
        <f>$L67*AV67</f>
        <v>0</v>
      </c>
      <c r="CD67" s="23">
        <f>$L67*AW67</f>
        <v>0</v>
      </c>
      <c r="CE67" s="23">
        <f>$L67*AX67</f>
        <v>1</v>
      </c>
      <c r="CF67" s="23">
        <f>$L67*AY67</f>
        <v>0</v>
      </c>
      <c r="CG67" s="23">
        <f>$L67*AZ67</f>
        <v>0</v>
      </c>
      <c r="CH67" s="23">
        <f>$L67*BA67</f>
        <v>0</v>
      </c>
      <c r="CI67" s="23">
        <f>$L67*BB67</f>
        <v>1</v>
      </c>
      <c r="CJ67" s="23">
        <f>$L67*BC67</f>
        <v>0</v>
      </c>
      <c r="CK67" s="23">
        <f>$L67*BD67</f>
        <v>0</v>
      </c>
      <c r="CL67" s="23">
        <f>$L67*BE67</f>
        <v>0</v>
      </c>
      <c r="CM67" s="23">
        <f>$L67*BF67</f>
        <v>1</v>
      </c>
      <c r="CN67" s="23">
        <f>$L67*BG67</f>
        <v>0</v>
      </c>
      <c r="CO67" s="23">
        <f>$L67*BH67</f>
        <v>0</v>
      </c>
      <c r="CP67" s="23">
        <f>$L67*BI67</f>
        <v>0</v>
      </c>
      <c r="CQ67" s="23">
        <f>$L67*BJ67</f>
        <v>0</v>
      </c>
      <c r="CR67" s="23">
        <f>$L67*BK67</f>
        <v>0</v>
      </c>
      <c r="CS67" s="23">
        <f>$L67*BL67</f>
        <v>0</v>
      </c>
      <c r="CT67" s="23">
        <f>$L67*BM67</f>
        <v>0</v>
      </c>
      <c r="CU67" s="23">
        <f>$L67*BN67</f>
        <v>0</v>
      </c>
      <c r="CV67" s="23">
        <f>$L67*BO67</f>
        <v>0</v>
      </c>
    </row>
    <row r="68" spans="1:100" ht="13.5" x14ac:dyDescent="0.15">
      <c r="A68" s="15">
        <v>250</v>
      </c>
      <c r="B68" s="27" t="s">
        <v>295</v>
      </c>
      <c r="C68" t="s">
        <v>153</v>
      </c>
      <c r="E68" t="s">
        <v>154</v>
      </c>
      <c r="F68" t="s">
        <v>155</v>
      </c>
      <c r="G68" t="s">
        <v>154</v>
      </c>
      <c r="H68" t="s">
        <v>156</v>
      </c>
      <c r="I68" s="6" t="s">
        <v>136</v>
      </c>
      <c r="J68" s="6">
        <v>1</v>
      </c>
      <c r="L68" s="15">
        <v>1</v>
      </c>
      <c r="M68" s="7">
        <v>46167</v>
      </c>
      <c r="N68" s="7">
        <v>46177</v>
      </c>
      <c r="O68" s="7">
        <v>46176</v>
      </c>
      <c r="P68" s="7">
        <v>46176</v>
      </c>
      <c r="S68" s="6" t="s">
        <v>154</v>
      </c>
      <c r="U68" s="6" t="s">
        <v>150</v>
      </c>
      <c r="V68" s="6" t="str">
        <f>TEXT(N68,"YY/MM")</f>
        <v>26/06</v>
      </c>
      <c r="W68">
        <v>21439</v>
      </c>
      <c r="Y68" s="6" t="s">
        <v>157</v>
      </c>
      <c r="Z68" s="6" t="s">
        <v>158</v>
      </c>
      <c r="AA68">
        <v>3250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1</v>
      </c>
      <c r="AP68" s="23">
        <v>0</v>
      </c>
      <c r="AQ68" s="23">
        <v>0</v>
      </c>
      <c r="AR68" s="23">
        <v>0</v>
      </c>
      <c r="AS68" s="23">
        <v>0</v>
      </c>
      <c r="AT68" s="23">
        <v>1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>$L68*AI68</f>
        <v>1</v>
      </c>
      <c r="BQ68" s="23">
        <f>$L68*AJ68</f>
        <v>1</v>
      </c>
      <c r="BR68" s="23">
        <f>$L68*AK68</f>
        <v>0</v>
      </c>
      <c r="BS68" s="23">
        <f>$L68*AL68</f>
        <v>0</v>
      </c>
      <c r="BT68" s="23">
        <f>$L68*AM68</f>
        <v>1</v>
      </c>
      <c r="BU68" s="23">
        <f>$L68*AN68</f>
        <v>0</v>
      </c>
      <c r="BV68" s="23">
        <f>$L68*AO68</f>
        <v>1</v>
      </c>
      <c r="BW68" s="23">
        <f>$L68*AP68</f>
        <v>0</v>
      </c>
      <c r="BX68" s="23">
        <f>$L68*AQ68</f>
        <v>0</v>
      </c>
      <c r="BY68" s="23">
        <f>$L68*AR68</f>
        <v>0</v>
      </c>
      <c r="BZ68" s="23">
        <f>$L68*AS68</f>
        <v>0</v>
      </c>
      <c r="CA68" s="23">
        <f>$L68*AT68</f>
        <v>1</v>
      </c>
      <c r="CB68" s="23">
        <f>$L68*AU68</f>
        <v>1</v>
      </c>
      <c r="CC68" s="23">
        <f>$L68*AV68</f>
        <v>0</v>
      </c>
      <c r="CD68" s="23">
        <f>$L68*AW68</f>
        <v>0</v>
      </c>
      <c r="CE68" s="23">
        <f>$L68*AX68</f>
        <v>1</v>
      </c>
      <c r="CF68" s="23">
        <f>$L68*AY68</f>
        <v>0</v>
      </c>
      <c r="CG68" s="23">
        <f>$L68*AZ68</f>
        <v>0</v>
      </c>
      <c r="CH68" s="23">
        <f>$L68*BA68</f>
        <v>0</v>
      </c>
      <c r="CI68" s="23">
        <f>$L68*BB68</f>
        <v>1</v>
      </c>
      <c r="CJ68" s="23">
        <f>$L68*BC68</f>
        <v>0</v>
      </c>
      <c r="CK68" s="23">
        <f>$L68*BD68</f>
        <v>0</v>
      </c>
      <c r="CL68" s="23">
        <f>$L68*BE68</f>
        <v>0</v>
      </c>
      <c r="CM68" s="23">
        <f>$L68*BF68</f>
        <v>1</v>
      </c>
      <c r="CN68" s="23">
        <f>$L68*BG68</f>
        <v>0</v>
      </c>
      <c r="CO68" s="23">
        <f>$L68*BH68</f>
        <v>0</v>
      </c>
      <c r="CP68" s="23">
        <f>$L68*BI68</f>
        <v>0</v>
      </c>
      <c r="CQ68" s="23">
        <f>$L68*BJ68</f>
        <v>0</v>
      </c>
      <c r="CR68" s="23">
        <f>$L68*BK68</f>
        <v>0</v>
      </c>
      <c r="CS68" s="23">
        <f>$L68*BL68</f>
        <v>0</v>
      </c>
      <c r="CT68" s="23">
        <f>$L68*BM68</f>
        <v>0</v>
      </c>
      <c r="CU68" s="23">
        <f>$L68*BN68</f>
        <v>0</v>
      </c>
      <c r="CV68" s="23">
        <f>$L68*BO68</f>
        <v>0</v>
      </c>
    </row>
    <row r="69" spans="1:100" ht="13.5" x14ac:dyDescent="0.15">
      <c r="A69" s="15">
        <v>256</v>
      </c>
      <c r="B69" s="27" t="s">
        <v>296</v>
      </c>
      <c r="C69" t="s">
        <v>153</v>
      </c>
      <c r="E69" t="s">
        <v>154</v>
      </c>
      <c r="F69" t="s">
        <v>155</v>
      </c>
      <c r="G69" t="s">
        <v>154</v>
      </c>
      <c r="H69" t="s">
        <v>156</v>
      </c>
      <c r="I69" s="6" t="s">
        <v>136</v>
      </c>
      <c r="J69" s="6">
        <v>1</v>
      </c>
      <c r="L69" s="15">
        <v>1</v>
      </c>
      <c r="M69" s="7">
        <v>46168</v>
      </c>
      <c r="N69" s="7">
        <v>46178</v>
      </c>
      <c r="O69" s="7">
        <v>46177</v>
      </c>
      <c r="P69" s="7">
        <v>46177</v>
      </c>
      <c r="S69" s="6" t="s">
        <v>154</v>
      </c>
      <c r="U69" s="6" t="s">
        <v>150</v>
      </c>
      <c r="V69" s="6" t="str">
        <f>TEXT(N69,"YY/MM")</f>
        <v>26/06</v>
      </c>
      <c r="W69">
        <v>21440</v>
      </c>
      <c r="Y69" s="6" t="s">
        <v>157</v>
      </c>
      <c r="Z69" s="6" t="s">
        <v>158</v>
      </c>
      <c r="AA69">
        <v>3251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1</v>
      </c>
      <c r="AP69" s="23">
        <v>0</v>
      </c>
      <c r="AQ69" s="23">
        <v>0</v>
      </c>
      <c r="AR69" s="23">
        <v>0</v>
      </c>
      <c r="AS69" s="23">
        <v>0</v>
      </c>
      <c r="AT69" s="23">
        <v>1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>$L69*AI69</f>
        <v>1</v>
      </c>
      <c r="BQ69" s="23">
        <f>$L69*AJ69</f>
        <v>1</v>
      </c>
      <c r="BR69" s="23">
        <f>$L69*AK69</f>
        <v>0</v>
      </c>
      <c r="BS69" s="23">
        <f>$L69*AL69</f>
        <v>0</v>
      </c>
      <c r="BT69" s="23">
        <f>$L69*AM69</f>
        <v>1</v>
      </c>
      <c r="BU69" s="23">
        <f>$L69*AN69</f>
        <v>0</v>
      </c>
      <c r="BV69" s="23">
        <f>$L69*AO69</f>
        <v>1</v>
      </c>
      <c r="BW69" s="23">
        <f>$L69*AP69</f>
        <v>0</v>
      </c>
      <c r="BX69" s="23">
        <f>$L69*AQ69</f>
        <v>0</v>
      </c>
      <c r="BY69" s="23">
        <f>$L69*AR69</f>
        <v>0</v>
      </c>
      <c r="BZ69" s="23">
        <f>$L69*AS69</f>
        <v>0</v>
      </c>
      <c r="CA69" s="23">
        <f>$L69*AT69</f>
        <v>1</v>
      </c>
      <c r="CB69" s="23">
        <f>$L69*AU69</f>
        <v>1</v>
      </c>
      <c r="CC69" s="23">
        <f>$L69*AV69</f>
        <v>0</v>
      </c>
      <c r="CD69" s="23">
        <f>$L69*AW69</f>
        <v>0</v>
      </c>
      <c r="CE69" s="23">
        <f>$L69*AX69</f>
        <v>1</v>
      </c>
      <c r="CF69" s="23">
        <f>$L69*AY69</f>
        <v>0</v>
      </c>
      <c r="CG69" s="23">
        <f>$L69*AZ69</f>
        <v>0</v>
      </c>
      <c r="CH69" s="23">
        <f>$L69*BA69</f>
        <v>0</v>
      </c>
      <c r="CI69" s="23">
        <f>$L69*BB69</f>
        <v>1</v>
      </c>
      <c r="CJ69" s="23">
        <f>$L69*BC69</f>
        <v>0</v>
      </c>
      <c r="CK69" s="23">
        <f>$L69*BD69</f>
        <v>0</v>
      </c>
      <c r="CL69" s="23">
        <f>$L69*BE69</f>
        <v>0</v>
      </c>
      <c r="CM69" s="23">
        <f>$L69*BF69</f>
        <v>1</v>
      </c>
      <c r="CN69" s="23">
        <f>$L69*BG69</f>
        <v>0</v>
      </c>
      <c r="CO69" s="23">
        <f>$L69*BH69</f>
        <v>0</v>
      </c>
      <c r="CP69" s="23">
        <f>$L69*BI69</f>
        <v>0</v>
      </c>
      <c r="CQ69" s="23">
        <f>$L69*BJ69</f>
        <v>0</v>
      </c>
      <c r="CR69" s="23">
        <f>$L69*BK69</f>
        <v>0</v>
      </c>
      <c r="CS69" s="23">
        <f>$L69*BL69</f>
        <v>0</v>
      </c>
      <c r="CT69" s="23">
        <f>$L69*BM69</f>
        <v>0</v>
      </c>
      <c r="CU69" s="23">
        <f>$L69*BN69</f>
        <v>0</v>
      </c>
      <c r="CV69" s="23">
        <f>$L69*BO69</f>
        <v>0</v>
      </c>
    </row>
    <row r="70" spans="1:100" ht="13.5" x14ac:dyDescent="0.15">
      <c r="A70" s="15">
        <v>263</v>
      </c>
      <c r="B70" s="27" t="s">
        <v>298</v>
      </c>
      <c r="C70" t="s">
        <v>153</v>
      </c>
      <c r="E70" t="s">
        <v>154</v>
      </c>
      <c r="F70" t="s">
        <v>155</v>
      </c>
      <c r="G70" t="s">
        <v>154</v>
      </c>
      <c r="H70" t="s">
        <v>156</v>
      </c>
      <c r="I70" s="6" t="s">
        <v>136</v>
      </c>
      <c r="J70" s="6">
        <v>1</v>
      </c>
      <c r="L70" s="15">
        <v>1</v>
      </c>
      <c r="M70" s="7">
        <v>46169</v>
      </c>
      <c r="N70" s="7">
        <v>46181</v>
      </c>
      <c r="O70" s="7">
        <v>46178</v>
      </c>
      <c r="P70" s="7">
        <v>46178</v>
      </c>
      <c r="S70" s="6" t="s">
        <v>154</v>
      </c>
      <c r="U70" s="6" t="s">
        <v>150</v>
      </c>
      <c r="V70" s="6" t="str">
        <f>TEXT(N70,"YY/MM")</f>
        <v>26/06</v>
      </c>
      <c r="W70">
        <v>21441</v>
      </c>
      <c r="Y70" s="6" t="s">
        <v>157</v>
      </c>
      <c r="Z70" s="6" t="s">
        <v>158</v>
      </c>
      <c r="AA70">
        <v>3252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1</v>
      </c>
      <c r="AP70" s="23">
        <v>0</v>
      </c>
      <c r="AQ70" s="23">
        <v>0</v>
      </c>
      <c r="AR70" s="23">
        <v>0</v>
      </c>
      <c r="AS70" s="23">
        <v>0</v>
      </c>
      <c r="AT70" s="23">
        <v>1</v>
      </c>
      <c r="AU70" s="23">
        <v>1</v>
      </c>
      <c r="AV70" s="23">
        <v>0</v>
      </c>
      <c r="AW70" s="23">
        <v>0</v>
      </c>
      <c r="AX70" s="23">
        <v>1</v>
      </c>
      <c r="AY70" s="23">
        <v>0</v>
      </c>
      <c r="AZ70" s="23">
        <v>0</v>
      </c>
      <c r="BA70" s="23">
        <v>0</v>
      </c>
      <c r="BB70" s="23">
        <v>1</v>
      </c>
      <c r="BC70" s="23">
        <v>0</v>
      </c>
      <c r="BD70" s="23">
        <v>0</v>
      </c>
      <c r="BE70" s="23">
        <v>0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>$L70*AI70</f>
        <v>1</v>
      </c>
      <c r="BQ70" s="23">
        <f>$L70*AJ70</f>
        <v>1</v>
      </c>
      <c r="BR70" s="23">
        <f>$L70*AK70</f>
        <v>0</v>
      </c>
      <c r="BS70" s="23">
        <f>$L70*AL70</f>
        <v>0</v>
      </c>
      <c r="BT70" s="23">
        <f>$L70*AM70</f>
        <v>1</v>
      </c>
      <c r="BU70" s="23">
        <f>$L70*AN70</f>
        <v>0</v>
      </c>
      <c r="BV70" s="23">
        <f>$L70*AO70</f>
        <v>1</v>
      </c>
      <c r="BW70" s="23">
        <f>$L70*AP70</f>
        <v>0</v>
      </c>
      <c r="BX70" s="23">
        <f>$L70*AQ70</f>
        <v>0</v>
      </c>
      <c r="BY70" s="23">
        <f>$L70*AR70</f>
        <v>0</v>
      </c>
      <c r="BZ70" s="23">
        <f>$L70*AS70</f>
        <v>0</v>
      </c>
      <c r="CA70" s="23">
        <f>$L70*AT70</f>
        <v>1</v>
      </c>
      <c r="CB70" s="23">
        <f>$L70*AU70</f>
        <v>1</v>
      </c>
      <c r="CC70" s="23">
        <f>$L70*AV70</f>
        <v>0</v>
      </c>
      <c r="CD70" s="23">
        <f>$L70*AW70</f>
        <v>0</v>
      </c>
      <c r="CE70" s="23">
        <f>$L70*AX70</f>
        <v>1</v>
      </c>
      <c r="CF70" s="23">
        <f>$L70*AY70</f>
        <v>0</v>
      </c>
      <c r="CG70" s="23">
        <f>$L70*AZ70</f>
        <v>0</v>
      </c>
      <c r="CH70" s="23">
        <f>$L70*BA70</f>
        <v>0</v>
      </c>
      <c r="CI70" s="23">
        <f>$L70*BB70</f>
        <v>1</v>
      </c>
      <c r="CJ70" s="23">
        <f>$L70*BC70</f>
        <v>0</v>
      </c>
      <c r="CK70" s="23">
        <f>$L70*BD70</f>
        <v>0</v>
      </c>
      <c r="CL70" s="23">
        <f>$L70*BE70</f>
        <v>0</v>
      </c>
      <c r="CM70" s="23">
        <f>$L70*BF70</f>
        <v>1</v>
      </c>
      <c r="CN70" s="23">
        <f>$L70*BG70</f>
        <v>0</v>
      </c>
      <c r="CO70" s="23">
        <f>$L70*BH70</f>
        <v>0</v>
      </c>
      <c r="CP70" s="23">
        <f>$L70*BI70</f>
        <v>0</v>
      </c>
      <c r="CQ70" s="23">
        <f>$L70*BJ70</f>
        <v>0</v>
      </c>
      <c r="CR70" s="23">
        <f>$L70*BK70</f>
        <v>0</v>
      </c>
      <c r="CS70" s="23">
        <f>$L70*BL70</f>
        <v>0</v>
      </c>
      <c r="CT70" s="23">
        <f>$L70*BM70</f>
        <v>0</v>
      </c>
      <c r="CU70" s="23">
        <f>$L70*BN70</f>
        <v>0</v>
      </c>
      <c r="CV70" s="23">
        <f>$L70*BO70</f>
        <v>0</v>
      </c>
    </row>
    <row r="71" spans="1:100" ht="13.5" x14ac:dyDescent="0.15">
      <c r="A71" s="15">
        <v>262</v>
      </c>
      <c r="B71" s="27" t="s">
        <v>297</v>
      </c>
      <c r="C71" t="s">
        <v>153</v>
      </c>
      <c r="E71" t="s">
        <v>154</v>
      </c>
      <c r="F71" t="s">
        <v>155</v>
      </c>
      <c r="G71" t="s">
        <v>154</v>
      </c>
      <c r="H71" t="s">
        <v>156</v>
      </c>
      <c r="I71" s="6" t="s">
        <v>136</v>
      </c>
      <c r="J71" s="6">
        <v>1</v>
      </c>
      <c r="L71" s="15">
        <v>1</v>
      </c>
      <c r="M71" s="7">
        <v>46169</v>
      </c>
      <c r="N71" s="7">
        <v>46181</v>
      </c>
      <c r="O71" s="7">
        <v>46178</v>
      </c>
      <c r="P71" s="7">
        <v>46178</v>
      </c>
      <c r="S71" s="6" t="s">
        <v>154</v>
      </c>
      <c r="U71" s="6" t="s">
        <v>150</v>
      </c>
      <c r="V71" s="6" t="str">
        <f>TEXT(N71,"YY/MM")</f>
        <v>26/06</v>
      </c>
      <c r="W71">
        <v>21442</v>
      </c>
      <c r="Y71" s="6" t="s">
        <v>157</v>
      </c>
      <c r="Z71" s="6" t="s">
        <v>158</v>
      </c>
      <c r="AA71">
        <v>3253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1</v>
      </c>
      <c r="AP71" s="23">
        <v>0</v>
      </c>
      <c r="AQ71" s="23">
        <v>0</v>
      </c>
      <c r="AR71" s="23">
        <v>0</v>
      </c>
      <c r="AS71" s="23">
        <v>0</v>
      </c>
      <c r="AT71" s="23">
        <v>1</v>
      </c>
      <c r="AU71" s="23">
        <v>1</v>
      </c>
      <c r="AV71" s="23">
        <v>0</v>
      </c>
      <c r="AW71" s="23">
        <v>0</v>
      </c>
      <c r="AX71" s="23">
        <v>1</v>
      </c>
      <c r="AY71" s="23">
        <v>0</v>
      </c>
      <c r="AZ71" s="23">
        <v>0</v>
      </c>
      <c r="BA71" s="23">
        <v>0</v>
      </c>
      <c r="BB71" s="23">
        <v>1</v>
      </c>
      <c r="BC71" s="23">
        <v>0</v>
      </c>
      <c r="BD71" s="23">
        <v>0</v>
      </c>
      <c r="BE71" s="23">
        <v>0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>$L71*AI71</f>
        <v>1</v>
      </c>
      <c r="BQ71" s="23">
        <f>$L71*AJ71</f>
        <v>1</v>
      </c>
      <c r="BR71" s="23">
        <f>$L71*AK71</f>
        <v>0</v>
      </c>
      <c r="BS71" s="23">
        <f>$L71*AL71</f>
        <v>0</v>
      </c>
      <c r="BT71" s="23">
        <f>$L71*AM71</f>
        <v>1</v>
      </c>
      <c r="BU71" s="23">
        <f>$L71*AN71</f>
        <v>0</v>
      </c>
      <c r="BV71" s="23">
        <f>$L71*AO71</f>
        <v>1</v>
      </c>
      <c r="BW71" s="23">
        <f>$L71*AP71</f>
        <v>0</v>
      </c>
      <c r="BX71" s="23">
        <f>$L71*AQ71</f>
        <v>0</v>
      </c>
      <c r="BY71" s="23">
        <f>$L71*AR71</f>
        <v>0</v>
      </c>
      <c r="BZ71" s="23">
        <f>$L71*AS71</f>
        <v>0</v>
      </c>
      <c r="CA71" s="23">
        <f>$L71*AT71</f>
        <v>1</v>
      </c>
      <c r="CB71" s="23">
        <f>$L71*AU71</f>
        <v>1</v>
      </c>
      <c r="CC71" s="23">
        <f>$L71*AV71</f>
        <v>0</v>
      </c>
      <c r="CD71" s="23">
        <f>$L71*AW71</f>
        <v>0</v>
      </c>
      <c r="CE71" s="23">
        <f>$L71*AX71</f>
        <v>1</v>
      </c>
      <c r="CF71" s="23">
        <f>$L71*AY71</f>
        <v>0</v>
      </c>
      <c r="CG71" s="23">
        <f>$L71*AZ71</f>
        <v>0</v>
      </c>
      <c r="CH71" s="23">
        <f>$L71*BA71</f>
        <v>0</v>
      </c>
      <c r="CI71" s="23">
        <f>$L71*BB71</f>
        <v>1</v>
      </c>
      <c r="CJ71" s="23">
        <f>$L71*BC71</f>
        <v>0</v>
      </c>
      <c r="CK71" s="23">
        <f>$L71*BD71</f>
        <v>0</v>
      </c>
      <c r="CL71" s="23">
        <f>$L71*BE71</f>
        <v>0</v>
      </c>
      <c r="CM71" s="23">
        <f>$L71*BF71</f>
        <v>1</v>
      </c>
      <c r="CN71" s="23">
        <f>$L71*BG71</f>
        <v>0</v>
      </c>
      <c r="CO71" s="23">
        <f>$L71*BH71</f>
        <v>0</v>
      </c>
      <c r="CP71" s="23">
        <f>$L71*BI71</f>
        <v>0</v>
      </c>
      <c r="CQ71" s="23">
        <f>$L71*BJ71</f>
        <v>0</v>
      </c>
      <c r="CR71" s="23">
        <f>$L71*BK71</f>
        <v>0</v>
      </c>
      <c r="CS71" s="23">
        <f>$L71*BL71</f>
        <v>0</v>
      </c>
      <c r="CT71" s="23">
        <f>$L71*BM71</f>
        <v>0</v>
      </c>
      <c r="CU71" s="23">
        <f>$L71*BN71</f>
        <v>0</v>
      </c>
      <c r="CV71" s="23">
        <f>$L71*BO71</f>
        <v>0</v>
      </c>
    </row>
    <row r="72" spans="1:100" ht="13.5" x14ac:dyDescent="0.15">
      <c r="A72" s="15">
        <v>274</v>
      </c>
      <c r="B72" s="27" t="s">
        <v>299</v>
      </c>
      <c r="C72" t="s">
        <v>153</v>
      </c>
      <c r="E72" t="s">
        <v>154</v>
      </c>
      <c r="F72" t="s">
        <v>155</v>
      </c>
      <c r="G72" t="s">
        <v>154</v>
      </c>
      <c r="H72" t="s">
        <v>156</v>
      </c>
      <c r="I72" s="6" t="s">
        <v>136</v>
      </c>
      <c r="J72" s="6">
        <v>1</v>
      </c>
      <c r="L72" s="15">
        <v>1</v>
      </c>
      <c r="M72" s="7">
        <v>46171</v>
      </c>
      <c r="N72" s="7">
        <v>46183</v>
      </c>
      <c r="O72" s="7">
        <v>46182</v>
      </c>
      <c r="P72" s="7">
        <v>46182</v>
      </c>
      <c r="S72" s="6" t="s">
        <v>154</v>
      </c>
      <c r="U72" s="6" t="s">
        <v>150</v>
      </c>
      <c r="V72" s="6" t="str">
        <f>TEXT(N72,"YY/MM")</f>
        <v>26/06</v>
      </c>
      <c r="W72">
        <v>21443</v>
      </c>
      <c r="Y72" s="6" t="s">
        <v>157</v>
      </c>
      <c r="Z72" s="6" t="s">
        <v>158</v>
      </c>
      <c r="AA72">
        <v>3254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1</v>
      </c>
      <c r="AP72" s="23">
        <v>0</v>
      </c>
      <c r="AQ72" s="23">
        <v>0</v>
      </c>
      <c r="AR72" s="23">
        <v>0</v>
      </c>
      <c r="AS72" s="23">
        <v>0</v>
      </c>
      <c r="AT72" s="23">
        <v>1</v>
      </c>
      <c r="AU72" s="23">
        <v>1</v>
      </c>
      <c r="AV72" s="23">
        <v>0</v>
      </c>
      <c r="AW72" s="23">
        <v>0</v>
      </c>
      <c r="AX72" s="23">
        <v>1</v>
      </c>
      <c r="AY72" s="23">
        <v>0</v>
      </c>
      <c r="AZ72" s="23">
        <v>0</v>
      </c>
      <c r="BA72" s="23">
        <v>0</v>
      </c>
      <c r="BB72" s="23">
        <v>1</v>
      </c>
      <c r="BC72" s="23">
        <v>0</v>
      </c>
      <c r="BD72" s="23">
        <v>0</v>
      </c>
      <c r="BE72" s="23">
        <v>0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>$L72*AI72</f>
        <v>1</v>
      </c>
      <c r="BQ72" s="23">
        <f>$L72*AJ72</f>
        <v>1</v>
      </c>
      <c r="BR72" s="23">
        <f>$L72*AK72</f>
        <v>0</v>
      </c>
      <c r="BS72" s="23">
        <f>$L72*AL72</f>
        <v>0</v>
      </c>
      <c r="BT72" s="23">
        <f>$L72*AM72</f>
        <v>1</v>
      </c>
      <c r="BU72" s="23">
        <f>$L72*AN72</f>
        <v>0</v>
      </c>
      <c r="BV72" s="23">
        <f>$L72*AO72</f>
        <v>1</v>
      </c>
      <c r="BW72" s="23">
        <f>$L72*AP72</f>
        <v>0</v>
      </c>
      <c r="BX72" s="23">
        <f>$L72*AQ72</f>
        <v>0</v>
      </c>
      <c r="BY72" s="23">
        <f>$L72*AR72</f>
        <v>0</v>
      </c>
      <c r="BZ72" s="23">
        <f>$L72*AS72</f>
        <v>0</v>
      </c>
      <c r="CA72" s="23">
        <f>$L72*AT72</f>
        <v>1</v>
      </c>
      <c r="CB72" s="23">
        <f>$L72*AU72</f>
        <v>1</v>
      </c>
      <c r="CC72" s="23">
        <f>$L72*AV72</f>
        <v>0</v>
      </c>
      <c r="CD72" s="23">
        <f>$L72*AW72</f>
        <v>0</v>
      </c>
      <c r="CE72" s="23">
        <f>$L72*AX72</f>
        <v>1</v>
      </c>
      <c r="CF72" s="23">
        <f>$L72*AY72</f>
        <v>0</v>
      </c>
      <c r="CG72" s="23">
        <f>$L72*AZ72</f>
        <v>0</v>
      </c>
      <c r="CH72" s="23">
        <f>$L72*BA72</f>
        <v>0</v>
      </c>
      <c r="CI72" s="23">
        <f>$L72*BB72</f>
        <v>1</v>
      </c>
      <c r="CJ72" s="23">
        <f>$L72*BC72</f>
        <v>0</v>
      </c>
      <c r="CK72" s="23">
        <f>$L72*BD72</f>
        <v>0</v>
      </c>
      <c r="CL72" s="23">
        <f>$L72*BE72</f>
        <v>0</v>
      </c>
      <c r="CM72" s="23">
        <f>$L72*BF72</f>
        <v>1</v>
      </c>
      <c r="CN72" s="23">
        <f>$L72*BG72</f>
        <v>0</v>
      </c>
      <c r="CO72" s="23">
        <f>$L72*BH72</f>
        <v>0</v>
      </c>
      <c r="CP72" s="23">
        <f>$L72*BI72</f>
        <v>0</v>
      </c>
      <c r="CQ72" s="23">
        <f>$L72*BJ72</f>
        <v>0</v>
      </c>
      <c r="CR72" s="23">
        <f>$L72*BK72</f>
        <v>0</v>
      </c>
      <c r="CS72" s="23">
        <f>$L72*BL72</f>
        <v>0</v>
      </c>
      <c r="CT72" s="23">
        <f>$L72*BM72</f>
        <v>0</v>
      </c>
      <c r="CU72" s="23">
        <f>$L72*BN72</f>
        <v>0</v>
      </c>
      <c r="CV72" s="23">
        <f>$L72*BO72</f>
        <v>0</v>
      </c>
    </row>
    <row r="73" spans="1:100" ht="13.5" x14ac:dyDescent="0.15">
      <c r="A73" s="15">
        <v>281</v>
      </c>
      <c r="B73" s="27" t="s">
        <v>300</v>
      </c>
      <c r="C73" t="s">
        <v>153</v>
      </c>
      <c r="E73" t="s">
        <v>154</v>
      </c>
      <c r="F73" t="s">
        <v>155</v>
      </c>
      <c r="G73" t="s">
        <v>154</v>
      </c>
      <c r="H73" t="s">
        <v>156</v>
      </c>
      <c r="I73" s="6" t="s">
        <v>136</v>
      </c>
      <c r="J73" s="6">
        <v>1</v>
      </c>
      <c r="L73" s="15">
        <v>1</v>
      </c>
      <c r="M73" s="7">
        <v>46174</v>
      </c>
      <c r="N73" s="7">
        <v>46184</v>
      </c>
      <c r="O73" s="7">
        <v>46183</v>
      </c>
      <c r="P73" s="7">
        <v>46183</v>
      </c>
      <c r="S73" s="6" t="s">
        <v>154</v>
      </c>
      <c r="U73" s="6" t="s">
        <v>150</v>
      </c>
      <c r="V73" s="6" t="str">
        <f>TEXT(N73,"YY/MM")</f>
        <v>26/06</v>
      </c>
      <c r="W73">
        <v>21444</v>
      </c>
      <c r="Y73" s="6" t="s">
        <v>157</v>
      </c>
      <c r="Z73" s="6" t="s">
        <v>158</v>
      </c>
      <c r="AA73">
        <v>3255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1</v>
      </c>
      <c r="AP73" s="23">
        <v>0</v>
      </c>
      <c r="AQ73" s="23">
        <v>0</v>
      </c>
      <c r="AR73" s="23">
        <v>0</v>
      </c>
      <c r="AS73" s="23">
        <v>0</v>
      </c>
      <c r="AT73" s="23">
        <v>1</v>
      </c>
      <c r="AU73" s="23">
        <v>1</v>
      </c>
      <c r="AV73" s="23">
        <v>0</v>
      </c>
      <c r="AW73" s="23">
        <v>0</v>
      </c>
      <c r="AX73" s="23">
        <v>1</v>
      </c>
      <c r="AY73" s="23">
        <v>0</v>
      </c>
      <c r="AZ73" s="23">
        <v>0</v>
      </c>
      <c r="BA73" s="23">
        <v>0</v>
      </c>
      <c r="BB73" s="23">
        <v>1</v>
      </c>
      <c r="BC73" s="23">
        <v>0</v>
      </c>
      <c r="BD73" s="23">
        <v>0</v>
      </c>
      <c r="BE73" s="23">
        <v>0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>$L73*AI73</f>
        <v>1</v>
      </c>
      <c r="BQ73" s="23">
        <f>$L73*AJ73</f>
        <v>1</v>
      </c>
      <c r="BR73" s="23">
        <f>$L73*AK73</f>
        <v>0</v>
      </c>
      <c r="BS73" s="23">
        <f>$L73*AL73</f>
        <v>0</v>
      </c>
      <c r="BT73" s="23">
        <f>$L73*AM73</f>
        <v>1</v>
      </c>
      <c r="BU73" s="23">
        <f>$L73*AN73</f>
        <v>0</v>
      </c>
      <c r="BV73" s="23">
        <f>$L73*AO73</f>
        <v>1</v>
      </c>
      <c r="BW73" s="23">
        <f>$L73*AP73</f>
        <v>0</v>
      </c>
      <c r="BX73" s="23">
        <f>$L73*AQ73</f>
        <v>0</v>
      </c>
      <c r="BY73" s="23">
        <f>$L73*AR73</f>
        <v>0</v>
      </c>
      <c r="BZ73" s="23">
        <f>$L73*AS73</f>
        <v>0</v>
      </c>
      <c r="CA73" s="23">
        <f>$L73*AT73</f>
        <v>1</v>
      </c>
      <c r="CB73" s="23">
        <f>$L73*AU73</f>
        <v>1</v>
      </c>
      <c r="CC73" s="23">
        <f>$L73*AV73</f>
        <v>0</v>
      </c>
      <c r="CD73" s="23">
        <f>$L73*AW73</f>
        <v>0</v>
      </c>
      <c r="CE73" s="23">
        <f>$L73*AX73</f>
        <v>1</v>
      </c>
      <c r="CF73" s="23">
        <f>$L73*AY73</f>
        <v>0</v>
      </c>
      <c r="CG73" s="23">
        <f>$L73*AZ73</f>
        <v>0</v>
      </c>
      <c r="CH73" s="23">
        <f>$L73*BA73</f>
        <v>0</v>
      </c>
      <c r="CI73" s="23">
        <f>$L73*BB73</f>
        <v>1</v>
      </c>
      <c r="CJ73" s="23">
        <f>$L73*BC73</f>
        <v>0</v>
      </c>
      <c r="CK73" s="23">
        <f>$L73*BD73</f>
        <v>0</v>
      </c>
      <c r="CL73" s="23">
        <f>$L73*BE73</f>
        <v>0</v>
      </c>
      <c r="CM73" s="23">
        <f>$L73*BF73</f>
        <v>1</v>
      </c>
      <c r="CN73" s="23">
        <f>$L73*BG73</f>
        <v>0</v>
      </c>
      <c r="CO73" s="23">
        <f>$L73*BH73</f>
        <v>0</v>
      </c>
      <c r="CP73" s="23">
        <f>$L73*BI73</f>
        <v>0</v>
      </c>
      <c r="CQ73" s="23">
        <f>$L73*BJ73</f>
        <v>0</v>
      </c>
      <c r="CR73" s="23">
        <f>$L73*BK73</f>
        <v>0</v>
      </c>
      <c r="CS73" s="23">
        <f>$L73*BL73</f>
        <v>0</v>
      </c>
      <c r="CT73" s="23">
        <f>$L73*BM73</f>
        <v>0</v>
      </c>
      <c r="CU73" s="23">
        <f>$L73*BN73</f>
        <v>0</v>
      </c>
      <c r="CV73" s="23">
        <f>$L73*BO73</f>
        <v>0</v>
      </c>
    </row>
    <row r="74" spans="1:100" ht="13.5" x14ac:dyDescent="0.15">
      <c r="A74" s="15">
        <v>287</v>
      </c>
      <c r="B74" s="27" t="s">
        <v>301</v>
      </c>
      <c r="C74" t="s">
        <v>153</v>
      </c>
      <c r="E74" t="s">
        <v>154</v>
      </c>
      <c r="F74" t="s">
        <v>155</v>
      </c>
      <c r="G74" t="s">
        <v>154</v>
      </c>
      <c r="H74" t="s">
        <v>156</v>
      </c>
      <c r="I74" s="6" t="s">
        <v>136</v>
      </c>
      <c r="J74" s="6">
        <v>1</v>
      </c>
      <c r="L74" s="15">
        <v>1</v>
      </c>
      <c r="M74" s="7">
        <v>46175</v>
      </c>
      <c r="N74" s="7">
        <v>46185</v>
      </c>
      <c r="O74" s="7">
        <v>46184</v>
      </c>
      <c r="P74" s="7">
        <v>46184</v>
      </c>
      <c r="S74" s="6" t="s">
        <v>154</v>
      </c>
      <c r="U74" s="6" t="s">
        <v>150</v>
      </c>
      <c r="V74" s="6" t="str">
        <f>TEXT(N74,"YY/MM")</f>
        <v>26/06</v>
      </c>
      <c r="W74">
        <v>21445</v>
      </c>
      <c r="Y74" s="6" t="s">
        <v>157</v>
      </c>
      <c r="Z74" s="6" t="s">
        <v>158</v>
      </c>
      <c r="AA74">
        <v>3256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1</v>
      </c>
      <c r="AP74" s="23">
        <v>0</v>
      </c>
      <c r="AQ74" s="23">
        <v>0</v>
      </c>
      <c r="AR74" s="23">
        <v>0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>$L74*AI74</f>
        <v>1</v>
      </c>
      <c r="BQ74" s="23">
        <f>$L74*AJ74</f>
        <v>1</v>
      </c>
      <c r="BR74" s="23">
        <f>$L74*AK74</f>
        <v>0</v>
      </c>
      <c r="BS74" s="23">
        <f>$L74*AL74</f>
        <v>0</v>
      </c>
      <c r="BT74" s="23">
        <f>$L74*AM74</f>
        <v>1</v>
      </c>
      <c r="BU74" s="23">
        <f>$L74*AN74</f>
        <v>0</v>
      </c>
      <c r="BV74" s="23">
        <f>$L74*AO74</f>
        <v>1</v>
      </c>
      <c r="BW74" s="23">
        <f>$L74*AP74</f>
        <v>0</v>
      </c>
      <c r="BX74" s="23">
        <f>$L74*AQ74</f>
        <v>0</v>
      </c>
      <c r="BY74" s="23">
        <f>$L74*AR74</f>
        <v>0</v>
      </c>
      <c r="BZ74" s="23">
        <f>$L74*AS74</f>
        <v>0</v>
      </c>
      <c r="CA74" s="23">
        <f>$L74*AT74</f>
        <v>1</v>
      </c>
      <c r="CB74" s="23">
        <f>$L74*AU74</f>
        <v>1</v>
      </c>
      <c r="CC74" s="23">
        <f>$L74*AV74</f>
        <v>0</v>
      </c>
      <c r="CD74" s="23">
        <f>$L74*AW74</f>
        <v>0</v>
      </c>
      <c r="CE74" s="23">
        <f>$L74*AX74</f>
        <v>1</v>
      </c>
      <c r="CF74" s="23">
        <f>$L74*AY74</f>
        <v>0</v>
      </c>
      <c r="CG74" s="23">
        <f>$L74*AZ74</f>
        <v>0</v>
      </c>
      <c r="CH74" s="23">
        <f>$L74*BA74</f>
        <v>0</v>
      </c>
      <c r="CI74" s="23">
        <f>$L74*BB74</f>
        <v>1</v>
      </c>
      <c r="CJ74" s="23">
        <f>$L74*BC74</f>
        <v>0</v>
      </c>
      <c r="CK74" s="23">
        <f>$L74*BD74</f>
        <v>0</v>
      </c>
      <c r="CL74" s="23">
        <f>$L74*BE74</f>
        <v>0</v>
      </c>
      <c r="CM74" s="23">
        <f>$L74*BF74</f>
        <v>1</v>
      </c>
      <c r="CN74" s="23">
        <f>$L74*BG74</f>
        <v>0</v>
      </c>
      <c r="CO74" s="23">
        <f>$L74*BH74</f>
        <v>0</v>
      </c>
      <c r="CP74" s="23">
        <f>$L74*BI74</f>
        <v>0</v>
      </c>
      <c r="CQ74" s="23">
        <f>$L74*BJ74</f>
        <v>0</v>
      </c>
      <c r="CR74" s="23">
        <f>$L74*BK74</f>
        <v>0</v>
      </c>
      <c r="CS74" s="23">
        <f>$L74*BL74</f>
        <v>0</v>
      </c>
      <c r="CT74" s="23">
        <f>$L74*BM74</f>
        <v>0</v>
      </c>
      <c r="CU74" s="23">
        <f>$L74*BN74</f>
        <v>0</v>
      </c>
      <c r="CV74" s="23">
        <f>$L74*BO74</f>
        <v>0</v>
      </c>
    </row>
    <row r="75" spans="1:100" ht="13.5" x14ac:dyDescent="0.15">
      <c r="A75" s="15">
        <v>292</v>
      </c>
      <c r="B75" s="27" t="s">
        <v>302</v>
      </c>
      <c r="C75" t="s">
        <v>153</v>
      </c>
      <c r="E75" t="s">
        <v>154</v>
      </c>
      <c r="F75" t="s">
        <v>155</v>
      </c>
      <c r="G75" t="s">
        <v>154</v>
      </c>
      <c r="H75" t="s">
        <v>156</v>
      </c>
      <c r="I75" s="6" t="s">
        <v>136</v>
      </c>
      <c r="J75" s="6">
        <v>1</v>
      </c>
      <c r="L75" s="15">
        <v>1</v>
      </c>
      <c r="M75" s="7">
        <v>46176</v>
      </c>
      <c r="N75" s="7">
        <v>46188</v>
      </c>
      <c r="O75" s="7">
        <v>46185</v>
      </c>
      <c r="P75" s="7">
        <v>46185</v>
      </c>
      <c r="S75" s="6" t="s">
        <v>154</v>
      </c>
      <c r="U75" s="6" t="s">
        <v>150</v>
      </c>
      <c r="V75" s="6" t="str">
        <f>TEXT(N75,"YY/MM")</f>
        <v>26/06</v>
      </c>
      <c r="W75">
        <v>21446</v>
      </c>
      <c r="Y75" s="6" t="s">
        <v>157</v>
      </c>
      <c r="Z75" s="6" t="s">
        <v>158</v>
      </c>
      <c r="AA75">
        <v>3257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1</v>
      </c>
      <c r="AP75" s="23">
        <v>0</v>
      </c>
      <c r="AQ75" s="23">
        <v>0</v>
      </c>
      <c r="AR75" s="23">
        <v>0</v>
      </c>
      <c r="AS75" s="23">
        <v>0</v>
      </c>
      <c r="AT75" s="23">
        <v>1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>$L75*AI75</f>
        <v>1</v>
      </c>
      <c r="BQ75" s="23">
        <f>$L75*AJ75</f>
        <v>1</v>
      </c>
      <c r="BR75" s="23">
        <f>$L75*AK75</f>
        <v>0</v>
      </c>
      <c r="BS75" s="23">
        <f>$L75*AL75</f>
        <v>0</v>
      </c>
      <c r="BT75" s="23">
        <f>$L75*AM75</f>
        <v>1</v>
      </c>
      <c r="BU75" s="23">
        <f>$L75*AN75</f>
        <v>0</v>
      </c>
      <c r="BV75" s="23">
        <f>$L75*AO75</f>
        <v>1</v>
      </c>
      <c r="BW75" s="23">
        <f>$L75*AP75</f>
        <v>0</v>
      </c>
      <c r="BX75" s="23">
        <f>$L75*AQ75</f>
        <v>0</v>
      </c>
      <c r="BY75" s="23">
        <f>$L75*AR75</f>
        <v>0</v>
      </c>
      <c r="BZ75" s="23">
        <f>$L75*AS75</f>
        <v>0</v>
      </c>
      <c r="CA75" s="23">
        <f>$L75*AT75</f>
        <v>1</v>
      </c>
      <c r="CB75" s="23">
        <f>$L75*AU75</f>
        <v>1</v>
      </c>
      <c r="CC75" s="23">
        <f>$L75*AV75</f>
        <v>0</v>
      </c>
      <c r="CD75" s="23">
        <f>$L75*AW75</f>
        <v>0</v>
      </c>
      <c r="CE75" s="23">
        <f>$L75*AX75</f>
        <v>1</v>
      </c>
      <c r="CF75" s="23">
        <f>$L75*AY75</f>
        <v>0</v>
      </c>
      <c r="CG75" s="23">
        <f>$L75*AZ75</f>
        <v>0</v>
      </c>
      <c r="CH75" s="23">
        <f>$L75*BA75</f>
        <v>0</v>
      </c>
      <c r="CI75" s="23">
        <f>$L75*BB75</f>
        <v>1</v>
      </c>
      <c r="CJ75" s="23">
        <f>$L75*BC75</f>
        <v>0</v>
      </c>
      <c r="CK75" s="23">
        <f>$L75*BD75</f>
        <v>0</v>
      </c>
      <c r="CL75" s="23">
        <f>$L75*BE75</f>
        <v>0</v>
      </c>
      <c r="CM75" s="23">
        <f>$L75*BF75</f>
        <v>1</v>
      </c>
      <c r="CN75" s="23">
        <f>$L75*BG75</f>
        <v>0</v>
      </c>
      <c r="CO75" s="23">
        <f>$L75*BH75</f>
        <v>0</v>
      </c>
      <c r="CP75" s="23">
        <f>$L75*BI75</f>
        <v>0</v>
      </c>
      <c r="CQ75" s="23">
        <f>$L75*BJ75</f>
        <v>0</v>
      </c>
      <c r="CR75" s="23">
        <f>$L75*BK75</f>
        <v>0</v>
      </c>
      <c r="CS75" s="23">
        <f>$L75*BL75</f>
        <v>0</v>
      </c>
      <c r="CT75" s="23">
        <f>$L75*BM75</f>
        <v>0</v>
      </c>
      <c r="CU75" s="23">
        <f>$L75*BN75</f>
        <v>0</v>
      </c>
      <c r="CV75" s="23">
        <f>$L75*BO75</f>
        <v>0</v>
      </c>
    </row>
    <row r="76" spans="1:100" ht="13.5" x14ac:dyDescent="0.15">
      <c r="A76" s="15">
        <v>296</v>
      </c>
      <c r="B76" s="27" t="s">
        <v>303</v>
      </c>
      <c r="C76" t="s">
        <v>153</v>
      </c>
      <c r="E76" t="s">
        <v>275</v>
      </c>
      <c r="F76" t="s">
        <v>155</v>
      </c>
      <c r="G76" t="s">
        <v>275</v>
      </c>
      <c r="H76" t="s">
        <v>276</v>
      </c>
      <c r="I76" s="6" t="s">
        <v>136</v>
      </c>
      <c r="J76" s="6">
        <v>1</v>
      </c>
      <c r="L76" s="15">
        <v>1</v>
      </c>
      <c r="M76" s="7">
        <v>46177</v>
      </c>
      <c r="N76" s="7">
        <v>46189</v>
      </c>
      <c r="O76" s="7">
        <v>46188</v>
      </c>
      <c r="P76" s="7">
        <v>46188</v>
      </c>
      <c r="S76" s="6" t="s">
        <v>275</v>
      </c>
      <c r="U76" s="6" t="s">
        <v>150</v>
      </c>
      <c r="V76" s="6" t="str">
        <f>TEXT(N76,"YY/MM")</f>
        <v>26/06</v>
      </c>
      <c r="W76">
        <v>21447</v>
      </c>
      <c r="Y76" s="6" t="s">
        <v>157</v>
      </c>
      <c r="Z76" s="6" t="s">
        <v>158</v>
      </c>
      <c r="AA76">
        <v>3258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1</v>
      </c>
      <c r="AP76" s="23">
        <v>0</v>
      </c>
      <c r="AQ76" s="23">
        <v>0</v>
      </c>
      <c r="AR76" s="23">
        <v>1</v>
      </c>
      <c r="AS76" s="23">
        <v>0</v>
      </c>
      <c r="AT76" s="23">
        <v>0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>$L76*AI76</f>
        <v>1</v>
      </c>
      <c r="BQ76" s="23">
        <f>$L76*AJ76</f>
        <v>1</v>
      </c>
      <c r="BR76" s="23">
        <f>$L76*AK76</f>
        <v>0</v>
      </c>
      <c r="BS76" s="23">
        <f>$L76*AL76</f>
        <v>0</v>
      </c>
      <c r="BT76" s="23">
        <f>$L76*AM76</f>
        <v>1</v>
      </c>
      <c r="BU76" s="23">
        <f>$L76*AN76</f>
        <v>0</v>
      </c>
      <c r="BV76" s="23">
        <f>$L76*AO76</f>
        <v>1</v>
      </c>
      <c r="BW76" s="23">
        <f>$L76*AP76</f>
        <v>0</v>
      </c>
      <c r="BX76" s="23">
        <f>$L76*AQ76</f>
        <v>0</v>
      </c>
      <c r="BY76" s="23">
        <f>$L76*AR76</f>
        <v>1</v>
      </c>
      <c r="BZ76" s="23">
        <f>$L76*AS76</f>
        <v>0</v>
      </c>
      <c r="CA76" s="23">
        <f>$L76*AT76</f>
        <v>0</v>
      </c>
      <c r="CB76" s="23">
        <f>$L76*AU76</f>
        <v>1</v>
      </c>
      <c r="CC76" s="23">
        <f>$L76*AV76</f>
        <v>0</v>
      </c>
      <c r="CD76" s="23">
        <f>$L76*AW76</f>
        <v>0</v>
      </c>
      <c r="CE76" s="23">
        <f>$L76*AX76</f>
        <v>1</v>
      </c>
      <c r="CF76" s="23">
        <f>$L76*AY76</f>
        <v>0</v>
      </c>
      <c r="CG76" s="23">
        <f>$L76*AZ76</f>
        <v>0</v>
      </c>
      <c r="CH76" s="23">
        <f>$L76*BA76</f>
        <v>0</v>
      </c>
      <c r="CI76" s="23">
        <f>$L76*BB76</f>
        <v>1</v>
      </c>
      <c r="CJ76" s="23">
        <f>$L76*BC76</f>
        <v>0</v>
      </c>
      <c r="CK76" s="23">
        <f>$L76*BD76</f>
        <v>0</v>
      </c>
      <c r="CL76" s="23">
        <f>$L76*BE76</f>
        <v>0</v>
      </c>
      <c r="CM76" s="23">
        <f>$L76*BF76</f>
        <v>1</v>
      </c>
      <c r="CN76" s="23">
        <f>$L76*BG76</f>
        <v>0</v>
      </c>
      <c r="CO76" s="23">
        <f>$L76*BH76</f>
        <v>0</v>
      </c>
      <c r="CP76" s="23">
        <f>$L76*BI76</f>
        <v>0</v>
      </c>
      <c r="CQ76" s="23">
        <f>$L76*BJ76</f>
        <v>0</v>
      </c>
      <c r="CR76" s="23">
        <f>$L76*BK76</f>
        <v>0</v>
      </c>
      <c r="CS76" s="23">
        <f>$L76*BL76</f>
        <v>0</v>
      </c>
      <c r="CT76" s="23">
        <f>$L76*BM76</f>
        <v>0</v>
      </c>
      <c r="CU76" s="23">
        <f>$L76*BN76</f>
        <v>0</v>
      </c>
      <c r="CV76" s="23">
        <f>$L76*BO76</f>
        <v>0</v>
      </c>
    </row>
    <row r="77" spans="1:100" ht="13.5" x14ac:dyDescent="0.15">
      <c r="A77" s="15">
        <v>301</v>
      </c>
      <c r="B77" s="27" t="s">
        <v>304</v>
      </c>
      <c r="C77" t="s">
        <v>153</v>
      </c>
      <c r="E77" t="s">
        <v>275</v>
      </c>
      <c r="F77" t="s">
        <v>155</v>
      </c>
      <c r="G77" t="s">
        <v>275</v>
      </c>
      <c r="H77" t="s">
        <v>276</v>
      </c>
      <c r="I77" s="6" t="s">
        <v>136</v>
      </c>
      <c r="J77" s="6">
        <v>1</v>
      </c>
      <c r="L77" s="15">
        <v>1</v>
      </c>
      <c r="M77" s="7">
        <v>46178</v>
      </c>
      <c r="N77" s="7">
        <v>46190</v>
      </c>
      <c r="O77" s="7">
        <v>46189</v>
      </c>
      <c r="P77" s="7">
        <v>46189</v>
      </c>
      <c r="S77" s="6" t="s">
        <v>275</v>
      </c>
      <c r="U77" s="6" t="s">
        <v>150</v>
      </c>
      <c r="V77" s="6" t="str">
        <f>TEXT(N77,"YY/MM")</f>
        <v>26/06</v>
      </c>
      <c r="W77">
        <v>21448</v>
      </c>
      <c r="Y77" s="6" t="s">
        <v>157</v>
      </c>
      <c r="Z77" s="6" t="s">
        <v>158</v>
      </c>
      <c r="AA77">
        <v>3259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1</v>
      </c>
      <c r="AP77" s="23">
        <v>0</v>
      </c>
      <c r="AQ77" s="23">
        <v>0</v>
      </c>
      <c r="AR77" s="23">
        <v>1</v>
      </c>
      <c r="AS77" s="23">
        <v>0</v>
      </c>
      <c r="AT77" s="23">
        <v>0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>$L77*AI77</f>
        <v>1</v>
      </c>
      <c r="BQ77" s="23">
        <f>$L77*AJ77</f>
        <v>1</v>
      </c>
      <c r="BR77" s="23">
        <f>$L77*AK77</f>
        <v>0</v>
      </c>
      <c r="BS77" s="23">
        <f>$L77*AL77</f>
        <v>0</v>
      </c>
      <c r="BT77" s="23">
        <f>$L77*AM77</f>
        <v>1</v>
      </c>
      <c r="BU77" s="23">
        <f>$L77*AN77</f>
        <v>0</v>
      </c>
      <c r="BV77" s="23">
        <f>$L77*AO77</f>
        <v>1</v>
      </c>
      <c r="BW77" s="23">
        <f>$L77*AP77</f>
        <v>0</v>
      </c>
      <c r="BX77" s="23">
        <f>$L77*AQ77</f>
        <v>0</v>
      </c>
      <c r="BY77" s="23">
        <f>$L77*AR77</f>
        <v>1</v>
      </c>
      <c r="BZ77" s="23">
        <f>$L77*AS77</f>
        <v>0</v>
      </c>
      <c r="CA77" s="23">
        <f>$L77*AT77</f>
        <v>0</v>
      </c>
      <c r="CB77" s="23">
        <f>$L77*AU77</f>
        <v>1</v>
      </c>
      <c r="CC77" s="23">
        <f>$L77*AV77</f>
        <v>0</v>
      </c>
      <c r="CD77" s="23">
        <f>$L77*AW77</f>
        <v>0</v>
      </c>
      <c r="CE77" s="23">
        <f>$L77*AX77</f>
        <v>1</v>
      </c>
      <c r="CF77" s="23">
        <f>$L77*AY77</f>
        <v>0</v>
      </c>
      <c r="CG77" s="23">
        <f>$L77*AZ77</f>
        <v>0</v>
      </c>
      <c r="CH77" s="23">
        <f>$L77*BA77</f>
        <v>0</v>
      </c>
      <c r="CI77" s="23">
        <f>$L77*BB77</f>
        <v>1</v>
      </c>
      <c r="CJ77" s="23">
        <f>$L77*BC77</f>
        <v>0</v>
      </c>
      <c r="CK77" s="23">
        <f>$L77*BD77</f>
        <v>0</v>
      </c>
      <c r="CL77" s="23">
        <f>$L77*BE77</f>
        <v>0</v>
      </c>
      <c r="CM77" s="23">
        <f>$L77*BF77</f>
        <v>1</v>
      </c>
      <c r="CN77" s="23">
        <f>$L77*BG77</f>
        <v>0</v>
      </c>
      <c r="CO77" s="23">
        <f>$L77*BH77</f>
        <v>0</v>
      </c>
      <c r="CP77" s="23">
        <f>$L77*BI77</f>
        <v>0</v>
      </c>
      <c r="CQ77" s="23">
        <f>$L77*BJ77</f>
        <v>0</v>
      </c>
      <c r="CR77" s="23">
        <f>$L77*BK77</f>
        <v>0</v>
      </c>
      <c r="CS77" s="23">
        <f>$L77*BL77</f>
        <v>0</v>
      </c>
      <c r="CT77" s="23">
        <f>$L77*BM77</f>
        <v>0</v>
      </c>
      <c r="CU77" s="23">
        <f>$L77*BN77</f>
        <v>0</v>
      </c>
      <c r="CV77" s="23">
        <f>$L77*BO77</f>
        <v>0</v>
      </c>
    </row>
    <row r="78" spans="1:100" ht="13.5" x14ac:dyDescent="0.15">
      <c r="A78" s="15">
        <v>307</v>
      </c>
      <c r="B78" s="27" t="s">
        <v>305</v>
      </c>
      <c r="C78" t="s">
        <v>153</v>
      </c>
      <c r="E78" t="s">
        <v>275</v>
      </c>
      <c r="F78" t="s">
        <v>155</v>
      </c>
      <c r="G78" t="s">
        <v>275</v>
      </c>
      <c r="H78" t="s">
        <v>276</v>
      </c>
      <c r="I78" s="6" t="s">
        <v>136</v>
      </c>
      <c r="J78" s="6">
        <v>1</v>
      </c>
      <c r="L78" s="15">
        <v>1</v>
      </c>
      <c r="M78" s="7">
        <v>46181</v>
      </c>
      <c r="N78" s="7">
        <v>46191</v>
      </c>
      <c r="O78" s="7">
        <v>46190</v>
      </c>
      <c r="P78" s="7">
        <v>46190</v>
      </c>
      <c r="S78" s="6" t="s">
        <v>275</v>
      </c>
      <c r="U78" s="6" t="s">
        <v>150</v>
      </c>
      <c r="V78" s="6" t="str">
        <f>TEXT(N78,"YY/MM")</f>
        <v>26/06</v>
      </c>
      <c r="W78">
        <v>21449</v>
      </c>
      <c r="Y78" s="6" t="s">
        <v>157</v>
      </c>
      <c r="Z78" s="6" t="s">
        <v>158</v>
      </c>
      <c r="AA78">
        <v>3260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1</v>
      </c>
      <c r="AP78" s="23">
        <v>0</v>
      </c>
      <c r="AQ78" s="23">
        <v>0</v>
      </c>
      <c r="AR78" s="23">
        <v>1</v>
      </c>
      <c r="AS78" s="23">
        <v>0</v>
      </c>
      <c r="AT78" s="23">
        <v>0</v>
      </c>
      <c r="AU78" s="23">
        <v>1</v>
      </c>
      <c r="AV78" s="23">
        <v>0</v>
      </c>
      <c r="AW78" s="23">
        <v>0</v>
      </c>
      <c r="AX78" s="23">
        <v>1</v>
      </c>
      <c r="AY78" s="23">
        <v>0</v>
      </c>
      <c r="AZ78" s="23">
        <v>0</v>
      </c>
      <c r="BA78" s="23">
        <v>0</v>
      </c>
      <c r="BB78" s="23">
        <v>1</v>
      </c>
      <c r="BC78" s="23">
        <v>0</v>
      </c>
      <c r="BD78" s="23">
        <v>0</v>
      </c>
      <c r="BE78" s="23">
        <v>0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>$L78*AI78</f>
        <v>1</v>
      </c>
      <c r="BQ78" s="23">
        <f>$L78*AJ78</f>
        <v>1</v>
      </c>
      <c r="BR78" s="23">
        <f>$L78*AK78</f>
        <v>0</v>
      </c>
      <c r="BS78" s="23">
        <f>$L78*AL78</f>
        <v>0</v>
      </c>
      <c r="BT78" s="23">
        <f>$L78*AM78</f>
        <v>1</v>
      </c>
      <c r="BU78" s="23">
        <f>$L78*AN78</f>
        <v>0</v>
      </c>
      <c r="BV78" s="23">
        <f>$L78*AO78</f>
        <v>1</v>
      </c>
      <c r="BW78" s="23">
        <f>$L78*AP78</f>
        <v>0</v>
      </c>
      <c r="BX78" s="23">
        <f>$L78*AQ78</f>
        <v>0</v>
      </c>
      <c r="BY78" s="23">
        <f>$L78*AR78</f>
        <v>1</v>
      </c>
      <c r="BZ78" s="23">
        <f>$L78*AS78</f>
        <v>0</v>
      </c>
      <c r="CA78" s="23">
        <f>$L78*AT78</f>
        <v>0</v>
      </c>
      <c r="CB78" s="23">
        <f>$L78*AU78</f>
        <v>1</v>
      </c>
      <c r="CC78" s="23">
        <f>$L78*AV78</f>
        <v>0</v>
      </c>
      <c r="CD78" s="23">
        <f>$L78*AW78</f>
        <v>0</v>
      </c>
      <c r="CE78" s="23">
        <f>$L78*AX78</f>
        <v>1</v>
      </c>
      <c r="CF78" s="23">
        <f>$L78*AY78</f>
        <v>0</v>
      </c>
      <c r="CG78" s="23">
        <f>$L78*AZ78</f>
        <v>0</v>
      </c>
      <c r="CH78" s="23">
        <f>$L78*BA78</f>
        <v>0</v>
      </c>
      <c r="CI78" s="23">
        <f>$L78*BB78</f>
        <v>1</v>
      </c>
      <c r="CJ78" s="23">
        <f>$L78*BC78</f>
        <v>0</v>
      </c>
      <c r="CK78" s="23">
        <f>$L78*BD78</f>
        <v>0</v>
      </c>
      <c r="CL78" s="23">
        <f>$L78*BE78</f>
        <v>0</v>
      </c>
      <c r="CM78" s="23">
        <f>$L78*BF78</f>
        <v>1</v>
      </c>
      <c r="CN78" s="23">
        <f>$L78*BG78</f>
        <v>0</v>
      </c>
      <c r="CO78" s="23">
        <f>$L78*BH78</f>
        <v>0</v>
      </c>
      <c r="CP78" s="23">
        <f>$L78*BI78</f>
        <v>0</v>
      </c>
      <c r="CQ78" s="23">
        <f>$L78*BJ78</f>
        <v>0</v>
      </c>
      <c r="CR78" s="23">
        <f>$L78*BK78</f>
        <v>0</v>
      </c>
      <c r="CS78" s="23">
        <f>$L78*BL78</f>
        <v>0</v>
      </c>
      <c r="CT78" s="23">
        <f>$L78*BM78</f>
        <v>0</v>
      </c>
      <c r="CU78" s="23">
        <f>$L78*BN78</f>
        <v>0</v>
      </c>
      <c r="CV78" s="23">
        <f>$L78*BO78</f>
        <v>0</v>
      </c>
    </row>
    <row r="79" spans="1:100" ht="13.5" x14ac:dyDescent="0.15">
      <c r="A79" s="15">
        <v>312</v>
      </c>
      <c r="B79" s="27" t="s">
        <v>306</v>
      </c>
      <c r="C79" t="s">
        <v>153</v>
      </c>
      <c r="E79" t="s">
        <v>275</v>
      </c>
      <c r="F79" t="s">
        <v>155</v>
      </c>
      <c r="G79" t="s">
        <v>275</v>
      </c>
      <c r="H79" t="s">
        <v>276</v>
      </c>
      <c r="I79" s="6" t="s">
        <v>136</v>
      </c>
      <c r="J79" s="6">
        <v>1</v>
      </c>
      <c r="L79" s="15">
        <v>1</v>
      </c>
      <c r="M79" s="7">
        <v>46182</v>
      </c>
      <c r="N79" s="7">
        <v>46192</v>
      </c>
      <c r="O79" s="7">
        <v>46191</v>
      </c>
      <c r="P79" s="7">
        <v>46191</v>
      </c>
      <c r="S79" s="6" t="s">
        <v>275</v>
      </c>
      <c r="U79" s="6" t="s">
        <v>150</v>
      </c>
      <c r="V79" s="6" t="str">
        <f>TEXT(N79,"YY/MM")</f>
        <v>26/06</v>
      </c>
      <c r="W79">
        <v>21450</v>
      </c>
      <c r="Y79" s="6" t="s">
        <v>157</v>
      </c>
      <c r="Z79" s="6" t="s">
        <v>158</v>
      </c>
      <c r="AA79">
        <v>3261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1</v>
      </c>
      <c r="AP79" s="23">
        <v>0</v>
      </c>
      <c r="AQ79" s="23">
        <v>0</v>
      </c>
      <c r="AR79" s="23">
        <v>1</v>
      </c>
      <c r="AS79" s="23">
        <v>0</v>
      </c>
      <c r="AT79" s="23">
        <v>0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>$L79*AI79</f>
        <v>1</v>
      </c>
      <c r="BQ79" s="23">
        <f>$L79*AJ79</f>
        <v>1</v>
      </c>
      <c r="BR79" s="23">
        <f>$L79*AK79</f>
        <v>0</v>
      </c>
      <c r="BS79" s="23">
        <f>$L79*AL79</f>
        <v>0</v>
      </c>
      <c r="BT79" s="23">
        <f>$L79*AM79</f>
        <v>1</v>
      </c>
      <c r="BU79" s="23">
        <f>$L79*AN79</f>
        <v>0</v>
      </c>
      <c r="BV79" s="23">
        <f>$L79*AO79</f>
        <v>1</v>
      </c>
      <c r="BW79" s="23">
        <f>$L79*AP79</f>
        <v>0</v>
      </c>
      <c r="BX79" s="23">
        <f>$L79*AQ79</f>
        <v>0</v>
      </c>
      <c r="BY79" s="23">
        <f>$L79*AR79</f>
        <v>1</v>
      </c>
      <c r="BZ79" s="23">
        <f>$L79*AS79</f>
        <v>0</v>
      </c>
      <c r="CA79" s="23">
        <f>$L79*AT79</f>
        <v>0</v>
      </c>
      <c r="CB79" s="23">
        <f>$L79*AU79</f>
        <v>1</v>
      </c>
      <c r="CC79" s="23">
        <f>$L79*AV79</f>
        <v>0</v>
      </c>
      <c r="CD79" s="23">
        <f>$L79*AW79</f>
        <v>0</v>
      </c>
      <c r="CE79" s="23">
        <f>$L79*AX79</f>
        <v>1</v>
      </c>
      <c r="CF79" s="23">
        <f>$L79*AY79</f>
        <v>0</v>
      </c>
      <c r="CG79" s="23">
        <f>$L79*AZ79</f>
        <v>0</v>
      </c>
      <c r="CH79" s="23">
        <f>$L79*BA79</f>
        <v>0</v>
      </c>
      <c r="CI79" s="23">
        <f>$L79*BB79</f>
        <v>1</v>
      </c>
      <c r="CJ79" s="23">
        <f>$L79*BC79</f>
        <v>0</v>
      </c>
      <c r="CK79" s="23">
        <f>$L79*BD79</f>
        <v>0</v>
      </c>
      <c r="CL79" s="23">
        <f>$L79*BE79</f>
        <v>0</v>
      </c>
      <c r="CM79" s="23">
        <f>$L79*BF79</f>
        <v>1</v>
      </c>
      <c r="CN79" s="23">
        <f>$L79*BG79</f>
        <v>0</v>
      </c>
      <c r="CO79" s="23">
        <f>$L79*BH79</f>
        <v>0</v>
      </c>
      <c r="CP79" s="23">
        <f>$L79*BI79</f>
        <v>0</v>
      </c>
      <c r="CQ79" s="23">
        <f>$L79*BJ79</f>
        <v>0</v>
      </c>
      <c r="CR79" s="23">
        <f>$L79*BK79</f>
        <v>0</v>
      </c>
      <c r="CS79" s="23">
        <f>$L79*BL79</f>
        <v>0</v>
      </c>
      <c r="CT79" s="23">
        <f>$L79*BM79</f>
        <v>0</v>
      </c>
      <c r="CU79" s="23">
        <f>$L79*BN79</f>
        <v>0</v>
      </c>
      <c r="CV79" s="23">
        <f>$L79*BO79</f>
        <v>0</v>
      </c>
    </row>
    <row r="80" spans="1:100" ht="13.5" x14ac:dyDescent="0.15">
      <c r="A80" s="15">
        <v>317</v>
      </c>
      <c r="B80" s="27" t="s">
        <v>307</v>
      </c>
      <c r="C80" t="s">
        <v>153</v>
      </c>
      <c r="E80" t="s">
        <v>275</v>
      </c>
      <c r="F80" t="s">
        <v>155</v>
      </c>
      <c r="G80" t="s">
        <v>275</v>
      </c>
      <c r="H80" t="s">
        <v>276</v>
      </c>
      <c r="I80" s="6" t="s">
        <v>136</v>
      </c>
      <c r="J80" s="6">
        <v>1</v>
      </c>
      <c r="L80" s="15">
        <v>1</v>
      </c>
      <c r="M80" s="7">
        <v>46183</v>
      </c>
      <c r="N80" s="7">
        <v>46195</v>
      </c>
      <c r="O80" s="7">
        <v>46192</v>
      </c>
      <c r="P80" s="7">
        <v>46192</v>
      </c>
      <c r="S80" s="6" t="s">
        <v>275</v>
      </c>
      <c r="U80" s="6" t="s">
        <v>150</v>
      </c>
      <c r="V80" s="6" t="str">
        <f>TEXT(N80,"YY/MM")</f>
        <v>26/06</v>
      </c>
      <c r="W80">
        <v>21451</v>
      </c>
      <c r="Y80" s="6" t="s">
        <v>157</v>
      </c>
      <c r="Z80" s="6" t="s">
        <v>158</v>
      </c>
      <c r="AA80">
        <v>3262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1</v>
      </c>
      <c r="AP80" s="23">
        <v>0</v>
      </c>
      <c r="AQ80" s="23">
        <v>0</v>
      </c>
      <c r="AR80" s="23">
        <v>1</v>
      </c>
      <c r="AS80" s="23">
        <v>0</v>
      </c>
      <c r="AT80" s="23">
        <v>0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>$L80*AI80</f>
        <v>1</v>
      </c>
      <c r="BQ80" s="23">
        <f>$L80*AJ80</f>
        <v>1</v>
      </c>
      <c r="BR80" s="23">
        <f>$L80*AK80</f>
        <v>0</v>
      </c>
      <c r="BS80" s="23">
        <f>$L80*AL80</f>
        <v>0</v>
      </c>
      <c r="BT80" s="23">
        <f>$L80*AM80</f>
        <v>1</v>
      </c>
      <c r="BU80" s="23">
        <f>$L80*AN80</f>
        <v>0</v>
      </c>
      <c r="BV80" s="23">
        <f>$L80*AO80</f>
        <v>1</v>
      </c>
      <c r="BW80" s="23">
        <f>$L80*AP80</f>
        <v>0</v>
      </c>
      <c r="BX80" s="23">
        <f>$L80*AQ80</f>
        <v>0</v>
      </c>
      <c r="BY80" s="23">
        <f>$L80*AR80</f>
        <v>1</v>
      </c>
      <c r="BZ80" s="23">
        <f>$L80*AS80</f>
        <v>0</v>
      </c>
      <c r="CA80" s="23">
        <f>$L80*AT80</f>
        <v>0</v>
      </c>
      <c r="CB80" s="23">
        <f>$L80*AU80</f>
        <v>1</v>
      </c>
      <c r="CC80" s="23">
        <f>$L80*AV80</f>
        <v>0</v>
      </c>
      <c r="CD80" s="23">
        <f>$L80*AW80</f>
        <v>0</v>
      </c>
      <c r="CE80" s="23">
        <f>$L80*AX80</f>
        <v>1</v>
      </c>
      <c r="CF80" s="23">
        <f>$L80*AY80</f>
        <v>0</v>
      </c>
      <c r="CG80" s="23">
        <f>$L80*AZ80</f>
        <v>0</v>
      </c>
      <c r="CH80" s="23">
        <f>$L80*BA80</f>
        <v>0</v>
      </c>
      <c r="CI80" s="23">
        <f>$L80*BB80</f>
        <v>1</v>
      </c>
      <c r="CJ80" s="23">
        <f>$L80*BC80</f>
        <v>0</v>
      </c>
      <c r="CK80" s="23">
        <f>$L80*BD80</f>
        <v>0</v>
      </c>
      <c r="CL80" s="23">
        <f>$L80*BE80</f>
        <v>0</v>
      </c>
      <c r="CM80" s="23">
        <f>$L80*BF80</f>
        <v>1</v>
      </c>
      <c r="CN80" s="23">
        <f>$L80*BG80</f>
        <v>0</v>
      </c>
      <c r="CO80" s="23">
        <f>$L80*BH80</f>
        <v>0</v>
      </c>
      <c r="CP80" s="23">
        <f>$L80*BI80</f>
        <v>0</v>
      </c>
      <c r="CQ80" s="23">
        <f>$L80*BJ80</f>
        <v>0</v>
      </c>
      <c r="CR80" s="23">
        <f>$L80*BK80</f>
        <v>0</v>
      </c>
      <c r="CS80" s="23">
        <f>$L80*BL80</f>
        <v>0</v>
      </c>
      <c r="CT80" s="23">
        <f>$L80*BM80</f>
        <v>0</v>
      </c>
      <c r="CU80" s="23">
        <f>$L80*BN80</f>
        <v>0</v>
      </c>
      <c r="CV80" s="23">
        <f>$L80*BO80</f>
        <v>0</v>
      </c>
    </row>
    <row r="81" spans="1:100" ht="13.5" x14ac:dyDescent="0.15">
      <c r="A81" s="15">
        <v>322</v>
      </c>
      <c r="B81" s="27" t="s">
        <v>308</v>
      </c>
      <c r="C81" t="s">
        <v>153</v>
      </c>
      <c r="E81" t="s">
        <v>275</v>
      </c>
      <c r="F81" t="s">
        <v>155</v>
      </c>
      <c r="G81" t="s">
        <v>275</v>
      </c>
      <c r="H81" t="s">
        <v>276</v>
      </c>
      <c r="I81" s="6" t="s">
        <v>136</v>
      </c>
      <c r="J81" s="6">
        <v>1</v>
      </c>
      <c r="L81" s="15">
        <v>1</v>
      </c>
      <c r="M81" s="7">
        <v>46184</v>
      </c>
      <c r="N81" s="7">
        <v>46196</v>
      </c>
      <c r="O81" s="7">
        <v>46195</v>
      </c>
      <c r="P81" s="7">
        <v>46195</v>
      </c>
      <c r="S81" s="6" t="s">
        <v>275</v>
      </c>
      <c r="U81" s="6" t="s">
        <v>150</v>
      </c>
      <c r="V81" s="6" t="str">
        <f>TEXT(N81,"YY/MM")</f>
        <v>26/06</v>
      </c>
      <c r="W81">
        <v>21452</v>
      </c>
      <c r="Y81" s="6" t="s">
        <v>157</v>
      </c>
      <c r="Z81" s="6" t="s">
        <v>158</v>
      </c>
      <c r="AA81">
        <v>3263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1</v>
      </c>
      <c r="AP81" s="23">
        <v>0</v>
      </c>
      <c r="AQ81" s="23">
        <v>0</v>
      </c>
      <c r="AR81" s="23">
        <v>1</v>
      </c>
      <c r="AS81" s="23">
        <v>0</v>
      </c>
      <c r="AT81" s="23">
        <v>0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>$L81*AI81</f>
        <v>1</v>
      </c>
      <c r="BQ81" s="23">
        <f>$L81*AJ81</f>
        <v>1</v>
      </c>
      <c r="BR81" s="23">
        <f>$L81*AK81</f>
        <v>0</v>
      </c>
      <c r="BS81" s="23">
        <f>$L81*AL81</f>
        <v>0</v>
      </c>
      <c r="BT81" s="23">
        <f>$L81*AM81</f>
        <v>1</v>
      </c>
      <c r="BU81" s="23">
        <f>$L81*AN81</f>
        <v>0</v>
      </c>
      <c r="BV81" s="23">
        <f>$L81*AO81</f>
        <v>1</v>
      </c>
      <c r="BW81" s="23">
        <f>$L81*AP81</f>
        <v>0</v>
      </c>
      <c r="BX81" s="23">
        <f>$L81*AQ81</f>
        <v>0</v>
      </c>
      <c r="BY81" s="23">
        <f>$L81*AR81</f>
        <v>1</v>
      </c>
      <c r="BZ81" s="23">
        <f>$L81*AS81</f>
        <v>0</v>
      </c>
      <c r="CA81" s="23">
        <f>$L81*AT81</f>
        <v>0</v>
      </c>
      <c r="CB81" s="23">
        <f>$L81*AU81</f>
        <v>1</v>
      </c>
      <c r="CC81" s="23">
        <f>$L81*AV81</f>
        <v>0</v>
      </c>
      <c r="CD81" s="23">
        <f>$L81*AW81</f>
        <v>0</v>
      </c>
      <c r="CE81" s="23">
        <f>$L81*AX81</f>
        <v>1</v>
      </c>
      <c r="CF81" s="23">
        <f>$L81*AY81</f>
        <v>0</v>
      </c>
      <c r="CG81" s="23">
        <f>$L81*AZ81</f>
        <v>0</v>
      </c>
      <c r="CH81" s="23">
        <f>$L81*BA81</f>
        <v>0</v>
      </c>
      <c r="CI81" s="23">
        <f>$L81*BB81</f>
        <v>1</v>
      </c>
      <c r="CJ81" s="23">
        <f>$L81*BC81</f>
        <v>0</v>
      </c>
      <c r="CK81" s="23">
        <f>$L81*BD81</f>
        <v>0</v>
      </c>
      <c r="CL81" s="23">
        <f>$L81*BE81</f>
        <v>0</v>
      </c>
      <c r="CM81" s="23">
        <f>$L81*BF81</f>
        <v>1</v>
      </c>
      <c r="CN81" s="23">
        <f>$L81*BG81</f>
        <v>0</v>
      </c>
      <c r="CO81" s="23">
        <f>$L81*BH81</f>
        <v>0</v>
      </c>
      <c r="CP81" s="23">
        <f>$L81*BI81</f>
        <v>0</v>
      </c>
      <c r="CQ81" s="23">
        <f>$L81*BJ81</f>
        <v>0</v>
      </c>
      <c r="CR81" s="23">
        <f>$L81*BK81</f>
        <v>0</v>
      </c>
      <c r="CS81" s="23">
        <f>$L81*BL81</f>
        <v>0</v>
      </c>
      <c r="CT81" s="23">
        <f>$L81*BM81</f>
        <v>0</v>
      </c>
      <c r="CU81" s="23">
        <f>$L81*BN81</f>
        <v>0</v>
      </c>
      <c r="CV81" s="23">
        <f>$L81*BO81</f>
        <v>0</v>
      </c>
    </row>
    <row r="82" spans="1:100" ht="13.5" x14ac:dyDescent="0.15">
      <c r="A82" s="15">
        <v>327</v>
      </c>
      <c r="B82" s="27" t="s">
        <v>309</v>
      </c>
      <c r="C82" t="s">
        <v>153</v>
      </c>
      <c r="E82" t="s">
        <v>275</v>
      </c>
      <c r="F82" t="s">
        <v>155</v>
      </c>
      <c r="G82" t="s">
        <v>275</v>
      </c>
      <c r="H82" t="s">
        <v>276</v>
      </c>
      <c r="I82" s="6" t="s">
        <v>136</v>
      </c>
      <c r="J82" s="6">
        <v>1</v>
      </c>
      <c r="L82" s="15">
        <v>1</v>
      </c>
      <c r="M82" s="7">
        <v>46185</v>
      </c>
      <c r="N82" s="7">
        <v>46197</v>
      </c>
      <c r="O82" s="7">
        <v>46196</v>
      </c>
      <c r="P82" s="7">
        <v>46196</v>
      </c>
      <c r="S82" s="6" t="s">
        <v>275</v>
      </c>
      <c r="U82" s="6" t="s">
        <v>150</v>
      </c>
      <c r="V82" s="6" t="str">
        <f>TEXT(N82,"YY/MM")</f>
        <v>26/06</v>
      </c>
      <c r="W82">
        <v>21453</v>
      </c>
      <c r="Y82" s="6" t="s">
        <v>157</v>
      </c>
      <c r="Z82" s="6" t="s">
        <v>158</v>
      </c>
      <c r="AA82">
        <v>3264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1</v>
      </c>
      <c r="AP82" s="23">
        <v>0</v>
      </c>
      <c r="AQ82" s="23">
        <v>0</v>
      </c>
      <c r="AR82" s="23">
        <v>1</v>
      </c>
      <c r="AS82" s="23">
        <v>0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>$L82*AI82</f>
        <v>1</v>
      </c>
      <c r="BQ82" s="23">
        <f>$L82*AJ82</f>
        <v>1</v>
      </c>
      <c r="BR82" s="23">
        <f>$L82*AK82</f>
        <v>0</v>
      </c>
      <c r="BS82" s="23">
        <f>$L82*AL82</f>
        <v>0</v>
      </c>
      <c r="BT82" s="23">
        <f>$L82*AM82</f>
        <v>1</v>
      </c>
      <c r="BU82" s="23">
        <f>$L82*AN82</f>
        <v>0</v>
      </c>
      <c r="BV82" s="23">
        <f>$L82*AO82</f>
        <v>1</v>
      </c>
      <c r="BW82" s="23">
        <f>$L82*AP82</f>
        <v>0</v>
      </c>
      <c r="BX82" s="23">
        <f>$L82*AQ82</f>
        <v>0</v>
      </c>
      <c r="BY82" s="23">
        <f>$L82*AR82</f>
        <v>1</v>
      </c>
      <c r="BZ82" s="23">
        <f>$L82*AS82</f>
        <v>0</v>
      </c>
      <c r="CA82" s="23">
        <f>$L82*AT82</f>
        <v>0</v>
      </c>
      <c r="CB82" s="23">
        <f>$L82*AU82</f>
        <v>1</v>
      </c>
      <c r="CC82" s="23">
        <f>$L82*AV82</f>
        <v>0</v>
      </c>
      <c r="CD82" s="23">
        <f>$L82*AW82</f>
        <v>0</v>
      </c>
      <c r="CE82" s="23">
        <f>$L82*AX82</f>
        <v>1</v>
      </c>
      <c r="CF82" s="23">
        <f>$L82*AY82</f>
        <v>0</v>
      </c>
      <c r="CG82" s="23">
        <f>$L82*AZ82</f>
        <v>0</v>
      </c>
      <c r="CH82" s="23">
        <f>$L82*BA82</f>
        <v>0</v>
      </c>
      <c r="CI82" s="23">
        <f>$L82*BB82</f>
        <v>1</v>
      </c>
      <c r="CJ82" s="23">
        <f>$L82*BC82</f>
        <v>0</v>
      </c>
      <c r="CK82" s="23">
        <f>$L82*BD82</f>
        <v>0</v>
      </c>
      <c r="CL82" s="23">
        <f>$L82*BE82</f>
        <v>0</v>
      </c>
      <c r="CM82" s="23">
        <f>$L82*BF82</f>
        <v>1</v>
      </c>
      <c r="CN82" s="23">
        <f>$L82*BG82</f>
        <v>0</v>
      </c>
      <c r="CO82" s="23">
        <f>$L82*BH82</f>
        <v>0</v>
      </c>
      <c r="CP82" s="23">
        <f>$L82*BI82</f>
        <v>0</v>
      </c>
      <c r="CQ82" s="23">
        <f>$L82*BJ82</f>
        <v>0</v>
      </c>
      <c r="CR82" s="23">
        <f>$L82*BK82</f>
        <v>0</v>
      </c>
      <c r="CS82" s="23">
        <f>$L82*BL82</f>
        <v>0</v>
      </c>
      <c r="CT82" s="23">
        <f>$L82*BM82</f>
        <v>0</v>
      </c>
      <c r="CU82" s="23">
        <f>$L82*BN82</f>
        <v>0</v>
      </c>
      <c r="CV82" s="23">
        <f>$L82*BO82</f>
        <v>0</v>
      </c>
    </row>
    <row r="83" spans="1:100" ht="13.5" x14ac:dyDescent="0.15">
      <c r="A83" s="15">
        <v>333</v>
      </c>
      <c r="B83" s="27" t="s">
        <v>310</v>
      </c>
      <c r="C83" t="s">
        <v>153</v>
      </c>
      <c r="E83" t="s">
        <v>275</v>
      </c>
      <c r="F83" t="s">
        <v>155</v>
      </c>
      <c r="G83" t="s">
        <v>275</v>
      </c>
      <c r="H83" t="s">
        <v>276</v>
      </c>
      <c r="I83" s="6" t="s">
        <v>136</v>
      </c>
      <c r="J83" s="6">
        <v>1</v>
      </c>
      <c r="L83" s="15">
        <v>1</v>
      </c>
      <c r="M83" s="7">
        <v>46188</v>
      </c>
      <c r="N83" s="7">
        <v>46198</v>
      </c>
      <c r="O83" s="7">
        <v>46197</v>
      </c>
      <c r="P83" s="7">
        <v>46197</v>
      </c>
      <c r="S83" s="6" t="s">
        <v>275</v>
      </c>
      <c r="U83" s="6" t="s">
        <v>150</v>
      </c>
      <c r="V83" s="6" t="str">
        <f>TEXT(N83,"YY/MM")</f>
        <v>26/06</v>
      </c>
      <c r="W83">
        <v>21454</v>
      </c>
      <c r="Y83" s="6" t="s">
        <v>157</v>
      </c>
      <c r="Z83" s="6" t="s">
        <v>158</v>
      </c>
      <c r="AA83">
        <v>3265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1</v>
      </c>
      <c r="AP83" s="23">
        <v>0</v>
      </c>
      <c r="AQ83" s="23">
        <v>0</v>
      </c>
      <c r="AR83" s="23">
        <v>1</v>
      </c>
      <c r="AS83" s="23">
        <v>0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>$L83*AI83</f>
        <v>1</v>
      </c>
      <c r="BQ83" s="23">
        <f>$L83*AJ83</f>
        <v>1</v>
      </c>
      <c r="BR83" s="23">
        <f>$L83*AK83</f>
        <v>0</v>
      </c>
      <c r="BS83" s="23">
        <f>$L83*AL83</f>
        <v>0</v>
      </c>
      <c r="BT83" s="23">
        <f>$L83*AM83</f>
        <v>1</v>
      </c>
      <c r="BU83" s="23">
        <f>$L83*AN83</f>
        <v>0</v>
      </c>
      <c r="BV83" s="23">
        <f>$L83*AO83</f>
        <v>1</v>
      </c>
      <c r="BW83" s="23">
        <f>$L83*AP83</f>
        <v>0</v>
      </c>
      <c r="BX83" s="23">
        <f>$L83*AQ83</f>
        <v>0</v>
      </c>
      <c r="BY83" s="23">
        <f>$L83*AR83</f>
        <v>1</v>
      </c>
      <c r="BZ83" s="23">
        <f>$L83*AS83</f>
        <v>0</v>
      </c>
      <c r="CA83" s="23">
        <f>$L83*AT83</f>
        <v>0</v>
      </c>
      <c r="CB83" s="23">
        <f>$L83*AU83</f>
        <v>1</v>
      </c>
      <c r="CC83" s="23">
        <f>$L83*AV83</f>
        <v>0</v>
      </c>
      <c r="CD83" s="23">
        <f>$L83*AW83</f>
        <v>0</v>
      </c>
      <c r="CE83" s="23">
        <f>$L83*AX83</f>
        <v>1</v>
      </c>
      <c r="CF83" s="23">
        <f>$L83*AY83</f>
        <v>0</v>
      </c>
      <c r="CG83" s="23">
        <f>$L83*AZ83</f>
        <v>0</v>
      </c>
      <c r="CH83" s="23">
        <f>$L83*BA83</f>
        <v>0</v>
      </c>
      <c r="CI83" s="23">
        <f>$L83*BB83</f>
        <v>1</v>
      </c>
      <c r="CJ83" s="23">
        <f>$L83*BC83</f>
        <v>0</v>
      </c>
      <c r="CK83" s="23">
        <f>$L83*BD83</f>
        <v>0</v>
      </c>
      <c r="CL83" s="23">
        <f>$L83*BE83</f>
        <v>0</v>
      </c>
      <c r="CM83" s="23">
        <f>$L83*BF83</f>
        <v>1</v>
      </c>
      <c r="CN83" s="23">
        <f>$L83*BG83</f>
        <v>0</v>
      </c>
      <c r="CO83" s="23">
        <f>$L83*BH83</f>
        <v>0</v>
      </c>
      <c r="CP83" s="23">
        <f>$L83*BI83</f>
        <v>0</v>
      </c>
      <c r="CQ83" s="23">
        <f>$L83*BJ83</f>
        <v>0</v>
      </c>
      <c r="CR83" s="23">
        <f>$L83*BK83</f>
        <v>0</v>
      </c>
      <c r="CS83" s="23">
        <f>$L83*BL83</f>
        <v>0</v>
      </c>
      <c r="CT83" s="23">
        <f>$L83*BM83</f>
        <v>0</v>
      </c>
      <c r="CU83" s="23">
        <f>$L83*BN83</f>
        <v>0</v>
      </c>
      <c r="CV83" s="23">
        <f>$L83*BO83</f>
        <v>0</v>
      </c>
    </row>
    <row r="84" spans="1:100" ht="13.5" x14ac:dyDescent="0.15">
      <c r="A84" s="15">
        <v>350</v>
      </c>
      <c r="B84" s="27" t="s">
        <v>311</v>
      </c>
      <c r="C84" t="s">
        <v>197</v>
      </c>
      <c r="D84" t="s">
        <v>312</v>
      </c>
      <c r="F84" t="s">
        <v>236</v>
      </c>
      <c r="G84" t="s">
        <v>247</v>
      </c>
      <c r="H84" t="s">
        <v>248</v>
      </c>
      <c r="I84" s="6" t="s">
        <v>130</v>
      </c>
      <c r="J84" s="6">
        <v>0</v>
      </c>
      <c r="L84" s="15">
        <v>1</v>
      </c>
      <c r="M84" s="7">
        <v>46184</v>
      </c>
      <c r="N84" s="7">
        <v>46199</v>
      </c>
      <c r="O84" s="7">
        <v>46198</v>
      </c>
      <c r="P84" s="7">
        <v>46203</v>
      </c>
      <c r="S84" s="6" t="s">
        <v>199</v>
      </c>
      <c r="U84" s="6" t="s">
        <v>150</v>
      </c>
      <c r="V84" s="6" t="str">
        <f>TEXT(N84,"YY/MM")</f>
        <v>26/06</v>
      </c>
      <c r="W84">
        <v>21455</v>
      </c>
      <c r="Y84" s="6" t="s">
        <v>203</v>
      </c>
      <c r="Z84" s="6" t="s">
        <v>152</v>
      </c>
      <c r="AE84">
        <v>1274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0</v>
      </c>
      <c r="AP84" s="23">
        <v>1</v>
      </c>
      <c r="AQ84" s="23">
        <v>0</v>
      </c>
      <c r="AR84" s="23">
        <v>0</v>
      </c>
      <c r="AS84" s="23">
        <v>1</v>
      </c>
      <c r="AT84" s="23">
        <v>0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>$L84*AI84</f>
        <v>1</v>
      </c>
      <c r="BQ84" s="23">
        <f>$L84*AJ84</f>
        <v>1</v>
      </c>
      <c r="BR84" s="23">
        <f>$L84*AK84</f>
        <v>0</v>
      </c>
      <c r="BS84" s="23">
        <f>$L84*AL84</f>
        <v>0</v>
      </c>
      <c r="BT84" s="23">
        <f>$L84*AM84</f>
        <v>1</v>
      </c>
      <c r="BU84" s="23">
        <f>$L84*AN84</f>
        <v>0</v>
      </c>
      <c r="BV84" s="23">
        <f>$L84*AO84</f>
        <v>0</v>
      </c>
      <c r="BW84" s="23">
        <f>$L84*AP84</f>
        <v>1</v>
      </c>
      <c r="BX84" s="23">
        <f>$L84*AQ84</f>
        <v>0</v>
      </c>
      <c r="BY84" s="23">
        <f>$L84*AR84</f>
        <v>0</v>
      </c>
      <c r="BZ84" s="23">
        <f>$L84*AS84</f>
        <v>1</v>
      </c>
      <c r="CA84" s="23">
        <f>$L84*AT84</f>
        <v>0</v>
      </c>
      <c r="CB84" s="23">
        <f>$L84*AU84</f>
        <v>1</v>
      </c>
      <c r="CC84" s="23">
        <f>$L84*AV84</f>
        <v>0</v>
      </c>
      <c r="CD84" s="23">
        <f>$L84*AW84</f>
        <v>0</v>
      </c>
      <c r="CE84" s="23">
        <f>$L84*AX84</f>
        <v>1</v>
      </c>
      <c r="CF84" s="23">
        <f>$L84*AY84</f>
        <v>0</v>
      </c>
      <c r="CG84" s="23">
        <f>$L84*AZ84</f>
        <v>0</v>
      </c>
      <c r="CH84" s="23">
        <f>$L84*BA84</f>
        <v>0</v>
      </c>
      <c r="CI84" s="23">
        <f>$L84*BB84</f>
        <v>1</v>
      </c>
      <c r="CJ84" s="23">
        <f>$L84*BC84</f>
        <v>0</v>
      </c>
      <c r="CK84" s="23">
        <f>$L84*BD84</f>
        <v>0</v>
      </c>
      <c r="CL84" s="23">
        <f>$L84*BE84</f>
        <v>0</v>
      </c>
      <c r="CM84" s="23">
        <f>$L84*BF84</f>
        <v>1</v>
      </c>
      <c r="CN84" s="23">
        <f>$L84*BG84</f>
        <v>0</v>
      </c>
      <c r="CO84" s="23">
        <f>$L84*BH84</f>
        <v>0</v>
      </c>
      <c r="CP84" s="23">
        <f>$L84*BI84</f>
        <v>0</v>
      </c>
      <c r="CQ84" s="23">
        <f>$L84*BJ84</f>
        <v>0</v>
      </c>
      <c r="CR84" s="23">
        <f>$L84*BK84</f>
        <v>0</v>
      </c>
      <c r="CS84" s="23">
        <f>$L84*BL84</f>
        <v>0</v>
      </c>
      <c r="CT84" s="23">
        <f>$L84*BM84</f>
        <v>0</v>
      </c>
      <c r="CU84" s="23">
        <f>$L84*BN84</f>
        <v>0</v>
      </c>
      <c r="CV84" s="23">
        <f>$L84*BO84</f>
        <v>0</v>
      </c>
    </row>
    <row r="85" spans="1:100" ht="13.5" x14ac:dyDescent="0.15">
      <c r="A85" s="15">
        <v>355</v>
      </c>
      <c r="B85" s="27" t="s">
        <v>313</v>
      </c>
      <c r="C85" t="s">
        <v>197</v>
      </c>
      <c r="D85" t="s">
        <v>314</v>
      </c>
      <c r="F85" t="s">
        <v>155</v>
      </c>
      <c r="G85" t="s">
        <v>199</v>
      </c>
      <c r="H85" t="s">
        <v>200</v>
      </c>
      <c r="I85" s="6" t="s">
        <v>136</v>
      </c>
      <c r="J85" s="6">
        <v>0</v>
      </c>
      <c r="K85" t="s">
        <v>201</v>
      </c>
      <c r="L85" s="15">
        <v>1</v>
      </c>
      <c r="M85" s="7">
        <v>46195</v>
      </c>
      <c r="N85" s="7">
        <v>46205</v>
      </c>
      <c r="O85" s="7">
        <v>46204</v>
      </c>
      <c r="P85" s="7">
        <v>46204</v>
      </c>
      <c r="S85" s="6" t="s">
        <v>199</v>
      </c>
      <c r="U85" s="6" t="s">
        <v>150</v>
      </c>
      <c r="V85" s="6" t="str">
        <f>TEXT(N85,"YY/MM")</f>
        <v>26/07</v>
      </c>
      <c r="W85">
        <v>21456</v>
      </c>
      <c r="Y85" s="6" t="s">
        <v>203</v>
      </c>
      <c r="Z85" s="6" t="s">
        <v>152</v>
      </c>
      <c r="AE85">
        <v>1275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0</v>
      </c>
      <c r="AP85" s="23">
        <v>1</v>
      </c>
      <c r="AQ85" s="23">
        <v>0</v>
      </c>
      <c r="AR85" s="23">
        <v>0</v>
      </c>
      <c r="AS85" s="23">
        <v>1</v>
      </c>
      <c r="AT85" s="23">
        <v>0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>$L85*AI85</f>
        <v>1</v>
      </c>
      <c r="BQ85" s="23">
        <f>$L85*AJ85</f>
        <v>1</v>
      </c>
      <c r="BR85" s="23">
        <f>$L85*AK85</f>
        <v>0</v>
      </c>
      <c r="BS85" s="23">
        <f>$L85*AL85</f>
        <v>0</v>
      </c>
      <c r="BT85" s="23">
        <f>$L85*AM85</f>
        <v>1</v>
      </c>
      <c r="BU85" s="23">
        <f>$L85*AN85</f>
        <v>0</v>
      </c>
      <c r="BV85" s="23">
        <f>$L85*AO85</f>
        <v>0</v>
      </c>
      <c r="BW85" s="23">
        <f>$L85*AP85</f>
        <v>1</v>
      </c>
      <c r="BX85" s="23">
        <f>$L85*AQ85</f>
        <v>0</v>
      </c>
      <c r="BY85" s="23">
        <f>$L85*AR85</f>
        <v>0</v>
      </c>
      <c r="BZ85" s="23">
        <f>$L85*AS85</f>
        <v>1</v>
      </c>
      <c r="CA85" s="23">
        <f>$L85*AT85</f>
        <v>0</v>
      </c>
      <c r="CB85" s="23">
        <f>$L85*AU85</f>
        <v>1</v>
      </c>
      <c r="CC85" s="23">
        <f>$L85*AV85</f>
        <v>0</v>
      </c>
      <c r="CD85" s="23">
        <f>$L85*AW85</f>
        <v>0</v>
      </c>
      <c r="CE85" s="23">
        <f>$L85*AX85</f>
        <v>1</v>
      </c>
      <c r="CF85" s="23">
        <f>$L85*AY85</f>
        <v>0</v>
      </c>
      <c r="CG85" s="23">
        <f>$L85*AZ85</f>
        <v>0</v>
      </c>
      <c r="CH85" s="23">
        <f>$L85*BA85</f>
        <v>0</v>
      </c>
      <c r="CI85" s="23">
        <f>$L85*BB85</f>
        <v>1</v>
      </c>
      <c r="CJ85" s="23">
        <f>$L85*BC85</f>
        <v>0</v>
      </c>
      <c r="CK85" s="23">
        <f>$L85*BD85</f>
        <v>0</v>
      </c>
      <c r="CL85" s="23">
        <f>$L85*BE85</f>
        <v>0</v>
      </c>
      <c r="CM85" s="23">
        <f>$L85*BF85</f>
        <v>1</v>
      </c>
      <c r="CN85" s="23">
        <f>$L85*BG85</f>
        <v>0</v>
      </c>
      <c r="CO85" s="23">
        <f>$L85*BH85</f>
        <v>0</v>
      </c>
      <c r="CP85" s="23">
        <f>$L85*BI85</f>
        <v>0</v>
      </c>
      <c r="CQ85" s="23">
        <f>$L85*BJ85</f>
        <v>0</v>
      </c>
      <c r="CR85" s="23">
        <f>$L85*BK85</f>
        <v>0</v>
      </c>
      <c r="CS85" s="23">
        <f>$L85*BL85</f>
        <v>0</v>
      </c>
      <c r="CT85" s="23">
        <f>$L85*BM85</f>
        <v>0</v>
      </c>
      <c r="CU85" s="23">
        <f>$L85*BN85</f>
        <v>0</v>
      </c>
      <c r="CV85" s="23">
        <f>$L85*BO85</f>
        <v>0</v>
      </c>
    </row>
    <row r="86" spans="1:100" ht="13.5" x14ac:dyDescent="0.15">
      <c r="A86" s="15">
        <v>361</v>
      </c>
      <c r="B86" s="27" t="s">
        <v>315</v>
      </c>
      <c r="C86" t="s">
        <v>197</v>
      </c>
      <c r="D86" t="s">
        <v>316</v>
      </c>
      <c r="F86" t="s">
        <v>155</v>
      </c>
      <c r="G86" t="s">
        <v>199</v>
      </c>
      <c r="H86" t="s">
        <v>200</v>
      </c>
      <c r="I86" s="6" t="s">
        <v>136</v>
      </c>
      <c r="J86" s="6">
        <v>0</v>
      </c>
      <c r="K86" t="s">
        <v>201</v>
      </c>
      <c r="L86" s="15">
        <v>1</v>
      </c>
      <c r="M86" s="7">
        <v>46196</v>
      </c>
      <c r="N86" s="7">
        <v>46206</v>
      </c>
      <c r="O86" s="7">
        <v>46205</v>
      </c>
      <c r="P86" s="7">
        <v>46205</v>
      </c>
      <c r="S86" s="6" t="s">
        <v>199</v>
      </c>
      <c r="U86" s="6" t="s">
        <v>150</v>
      </c>
      <c r="V86" s="6" t="str">
        <f>TEXT(N86,"YY/MM")</f>
        <v>26/07</v>
      </c>
      <c r="W86">
        <v>21457</v>
      </c>
      <c r="Y86" s="6" t="s">
        <v>203</v>
      </c>
      <c r="Z86" s="6" t="s">
        <v>152</v>
      </c>
      <c r="AE86">
        <v>1276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0</v>
      </c>
      <c r="AP86" s="23">
        <v>1</v>
      </c>
      <c r="AQ86" s="23">
        <v>0</v>
      </c>
      <c r="AR86" s="23">
        <v>0</v>
      </c>
      <c r="AS86" s="23">
        <v>1</v>
      </c>
      <c r="AT86" s="23">
        <v>0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>$L86*AI86</f>
        <v>1</v>
      </c>
      <c r="BQ86" s="23">
        <f>$L86*AJ86</f>
        <v>1</v>
      </c>
      <c r="BR86" s="23">
        <f>$L86*AK86</f>
        <v>0</v>
      </c>
      <c r="BS86" s="23">
        <f>$L86*AL86</f>
        <v>0</v>
      </c>
      <c r="BT86" s="23">
        <f>$L86*AM86</f>
        <v>1</v>
      </c>
      <c r="BU86" s="23">
        <f>$L86*AN86</f>
        <v>0</v>
      </c>
      <c r="BV86" s="23">
        <f>$L86*AO86</f>
        <v>0</v>
      </c>
      <c r="BW86" s="23">
        <f>$L86*AP86</f>
        <v>1</v>
      </c>
      <c r="BX86" s="23">
        <f>$L86*AQ86</f>
        <v>0</v>
      </c>
      <c r="BY86" s="23">
        <f>$L86*AR86</f>
        <v>0</v>
      </c>
      <c r="BZ86" s="23">
        <f>$L86*AS86</f>
        <v>1</v>
      </c>
      <c r="CA86" s="23">
        <f>$L86*AT86</f>
        <v>0</v>
      </c>
      <c r="CB86" s="23">
        <f>$L86*AU86</f>
        <v>1</v>
      </c>
      <c r="CC86" s="23">
        <f>$L86*AV86</f>
        <v>0</v>
      </c>
      <c r="CD86" s="23">
        <f>$L86*AW86</f>
        <v>0</v>
      </c>
      <c r="CE86" s="23">
        <f>$L86*AX86</f>
        <v>1</v>
      </c>
      <c r="CF86" s="23">
        <f>$L86*AY86</f>
        <v>0</v>
      </c>
      <c r="CG86" s="23">
        <f>$L86*AZ86</f>
        <v>0</v>
      </c>
      <c r="CH86" s="23">
        <f>$L86*BA86</f>
        <v>0</v>
      </c>
      <c r="CI86" s="23">
        <f>$L86*BB86</f>
        <v>1</v>
      </c>
      <c r="CJ86" s="23">
        <f>$L86*BC86</f>
        <v>0</v>
      </c>
      <c r="CK86" s="23">
        <f>$L86*BD86</f>
        <v>0</v>
      </c>
      <c r="CL86" s="23">
        <f>$L86*BE86</f>
        <v>0</v>
      </c>
      <c r="CM86" s="23">
        <f>$L86*BF86</f>
        <v>1</v>
      </c>
      <c r="CN86" s="23">
        <f>$L86*BG86</f>
        <v>0</v>
      </c>
      <c r="CO86" s="23">
        <f>$L86*BH86</f>
        <v>0</v>
      </c>
      <c r="CP86" s="23">
        <f>$L86*BI86</f>
        <v>0</v>
      </c>
      <c r="CQ86" s="23">
        <f>$L86*BJ86</f>
        <v>0</v>
      </c>
      <c r="CR86" s="23">
        <f>$L86*BK86</f>
        <v>0</v>
      </c>
      <c r="CS86" s="23">
        <f>$L86*BL86</f>
        <v>0</v>
      </c>
      <c r="CT86" s="23">
        <f>$L86*BM86</f>
        <v>0</v>
      </c>
      <c r="CU86" s="23">
        <f>$L86*BN86</f>
        <v>0</v>
      </c>
      <c r="CV86" s="23">
        <f>$L86*BO86</f>
        <v>0</v>
      </c>
    </row>
    <row r="87" spans="1:100" ht="13.5" x14ac:dyDescent="0.15">
      <c r="A87" s="15">
        <v>366</v>
      </c>
      <c r="B87" s="27" t="s">
        <v>317</v>
      </c>
      <c r="C87" t="s">
        <v>197</v>
      </c>
      <c r="D87" t="s">
        <v>318</v>
      </c>
      <c r="F87" t="s">
        <v>155</v>
      </c>
      <c r="G87" t="s">
        <v>199</v>
      </c>
      <c r="H87" t="s">
        <v>200</v>
      </c>
      <c r="I87" s="6" t="s">
        <v>136</v>
      </c>
      <c r="J87" s="6">
        <v>0</v>
      </c>
      <c r="K87" t="s">
        <v>201</v>
      </c>
      <c r="L87" s="15">
        <v>1</v>
      </c>
      <c r="M87" s="7">
        <v>46197</v>
      </c>
      <c r="N87" s="7">
        <v>46209</v>
      </c>
      <c r="O87" s="7">
        <v>46206</v>
      </c>
      <c r="P87" s="7">
        <v>46206</v>
      </c>
      <c r="S87" s="6" t="s">
        <v>199</v>
      </c>
      <c r="U87" s="6" t="s">
        <v>150</v>
      </c>
      <c r="V87" s="6" t="str">
        <f>TEXT(N87,"YY/MM")</f>
        <v>26/07</v>
      </c>
      <c r="W87">
        <v>21458</v>
      </c>
      <c r="Y87" s="6" t="s">
        <v>203</v>
      </c>
      <c r="Z87" s="6" t="s">
        <v>152</v>
      </c>
      <c r="AE87">
        <v>1277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0</v>
      </c>
      <c r="AP87" s="23">
        <v>1</v>
      </c>
      <c r="AQ87" s="23">
        <v>0</v>
      </c>
      <c r="AR87" s="23">
        <v>0</v>
      </c>
      <c r="AS87" s="23">
        <v>1</v>
      </c>
      <c r="AT87" s="23">
        <v>0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>$L87*AI87</f>
        <v>1</v>
      </c>
      <c r="BQ87" s="23">
        <f>$L87*AJ87</f>
        <v>1</v>
      </c>
      <c r="BR87" s="23">
        <f>$L87*AK87</f>
        <v>0</v>
      </c>
      <c r="BS87" s="23">
        <f>$L87*AL87</f>
        <v>0</v>
      </c>
      <c r="BT87" s="23">
        <f>$L87*AM87</f>
        <v>1</v>
      </c>
      <c r="BU87" s="23">
        <f>$L87*AN87</f>
        <v>0</v>
      </c>
      <c r="BV87" s="23">
        <f>$L87*AO87</f>
        <v>0</v>
      </c>
      <c r="BW87" s="23">
        <f>$L87*AP87</f>
        <v>1</v>
      </c>
      <c r="BX87" s="23">
        <f>$L87*AQ87</f>
        <v>0</v>
      </c>
      <c r="BY87" s="23">
        <f>$L87*AR87</f>
        <v>0</v>
      </c>
      <c r="BZ87" s="23">
        <f>$L87*AS87</f>
        <v>1</v>
      </c>
      <c r="CA87" s="23">
        <f>$L87*AT87</f>
        <v>0</v>
      </c>
      <c r="CB87" s="23">
        <f>$L87*AU87</f>
        <v>1</v>
      </c>
      <c r="CC87" s="23">
        <f>$L87*AV87</f>
        <v>0</v>
      </c>
      <c r="CD87" s="23">
        <f>$L87*AW87</f>
        <v>0</v>
      </c>
      <c r="CE87" s="23">
        <f>$L87*AX87</f>
        <v>1</v>
      </c>
      <c r="CF87" s="23">
        <f>$L87*AY87</f>
        <v>0</v>
      </c>
      <c r="CG87" s="23">
        <f>$L87*AZ87</f>
        <v>0</v>
      </c>
      <c r="CH87" s="23">
        <f>$L87*BA87</f>
        <v>0</v>
      </c>
      <c r="CI87" s="23">
        <f>$L87*BB87</f>
        <v>1</v>
      </c>
      <c r="CJ87" s="23">
        <f>$L87*BC87</f>
        <v>0</v>
      </c>
      <c r="CK87" s="23">
        <f>$L87*BD87</f>
        <v>0</v>
      </c>
      <c r="CL87" s="23">
        <f>$L87*BE87</f>
        <v>0</v>
      </c>
      <c r="CM87" s="23">
        <f>$L87*BF87</f>
        <v>1</v>
      </c>
      <c r="CN87" s="23">
        <f>$L87*BG87</f>
        <v>0</v>
      </c>
      <c r="CO87" s="23">
        <f>$L87*BH87</f>
        <v>0</v>
      </c>
      <c r="CP87" s="23">
        <f>$L87*BI87</f>
        <v>0</v>
      </c>
      <c r="CQ87" s="23">
        <f>$L87*BJ87</f>
        <v>0</v>
      </c>
      <c r="CR87" s="23">
        <f>$L87*BK87</f>
        <v>0</v>
      </c>
      <c r="CS87" s="23">
        <f>$L87*BL87</f>
        <v>0</v>
      </c>
      <c r="CT87" s="23">
        <f>$L87*BM87</f>
        <v>0</v>
      </c>
      <c r="CU87" s="23">
        <f>$L87*BN87</f>
        <v>0</v>
      </c>
      <c r="CV87" s="23">
        <f>$L87*BO87</f>
        <v>0</v>
      </c>
    </row>
    <row r="88" spans="1:100" ht="13.5" x14ac:dyDescent="0.15">
      <c r="A88" s="15">
        <v>371</v>
      </c>
      <c r="B88" s="27" t="s">
        <v>319</v>
      </c>
      <c r="C88" t="s">
        <v>153</v>
      </c>
      <c r="E88" t="s">
        <v>154</v>
      </c>
      <c r="F88" t="s">
        <v>155</v>
      </c>
      <c r="G88" t="s">
        <v>154</v>
      </c>
      <c r="H88" t="s">
        <v>156</v>
      </c>
      <c r="I88" s="6" t="s">
        <v>136</v>
      </c>
      <c r="J88" s="6">
        <v>0</v>
      </c>
      <c r="L88" s="15">
        <v>1</v>
      </c>
      <c r="M88" s="7">
        <v>46198</v>
      </c>
      <c r="N88" s="7">
        <v>46210</v>
      </c>
      <c r="O88" s="7">
        <v>46209</v>
      </c>
      <c r="P88" s="7">
        <v>46209</v>
      </c>
      <c r="S88" s="6" t="s">
        <v>154</v>
      </c>
      <c r="U88" s="6" t="s">
        <v>150</v>
      </c>
      <c r="V88" s="6" t="str">
        <f>TEXT(N88,"YY/MM")</f>
        <v>26/07</v>
      </c>
      <c r="W88">
        <v>21459</v>
      </c>
      <c r="Y88" s="6" t="s">
        <v>157</v>
      </c>
      <c r="Z88" s="6" t="s">
        <v>158</v>
      </c>
      <c r="AA88">
        <v>3266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1</v>
      </c>
      <c r="AP88" s="23">
        <v>0</v>
      </c>
      <c r="AQ88" s="23">
        <v>0</v>
      </c>
      <c r="AR88" s="23">
        <v>0</v>
      </c>
      <c r="AS88" s="23">
        <v>0</v>
      </c>
      <c r="AT88" s="23">
        <v>1</v>
      </c>
      <c r="AU88" s="23">
        <v>1</v>
      </c>
      <c r="AV88" s="23">
        <v>0</v>
      </c>
      <c r="AW88" s="23">
        <v>0</v>
      </c>
      <c r="AX88" s="23">
        <v>1</v>
      </c>
      <c r="AY88" s="23">
        <v>0</v>
      </c>
      <c r="AZ88" s="23">
        <v>0</v>
      </c>
      <c r="BA88" s="23">
        <v>0</v>
      </c>
      <c r="BB88" s="23">
        <v>1</v>
      </c>
      <c r="BC88" s="23">
        <v>0</v>
      </c>
      <c r="BD88" s="23">
        <v>0</v>
      </c>
      <c r="BE88" s="23">
        <v>0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>$L88*AI88</f>
        <v>1</v>
      </c>
      <c r="BQ88" s="23">
        <f>$L88*AJ88</f>
        <v>1</v>
      </c>
      <c r="BR88" s="23">
        <f>$L88*AK88</f>
        <v>0</v>
      </c>
      <c r="BS88" s="23">
        <f>$L88*AL88</f>
        <v>0</v>
      </c>
      <c r="BT88" s="23">
        <f>$L88*AM88</f>
        <v>1</v>
      </c>
      <c r="BU88" s="23">
        <f>$L88*AN88</f>
        <v>0</v>
      </c>
      <c r="BV88" s="23">
        <f>$L88*AO88</f>
        <v>1</v>
      </c>
      <c r="BW88" s="23">
        <f>$L88*AP88</f>
        <v>0</v>
      </c>
      <c r="BX88" s="23">
        <f>$L88*AQ88</f>
        <v>0</v>
      </c>
      <c r="BY88" s="23">
        <f>$L88*AR88</f>
        <v>0</v>
      </c>
      <c r="BZ88" s="23">
        <f>$L88*AS88</f>
        <v>0</v>
      </c>
      <c r="CA88" s="23">
        <f>$L88*AT88</f>
        <v>1</v>
      </c>
      <c r="CB88" s="23">
        <f>$L88*AU88</f>
        <v>1</v>
      </c>
      <c r="CC88" s="23">
        <f>$L88*AV88</f>
        <v>0</v>
      </c>
      <c r="CD88" s="23">
        <f>$L88*AW88</f>
        <v>0</v>
      </c>
      <c r="CE88" s="23">
        <f>$L88*AX88</f>
        <v>1</v>
      </c>
      <c r="CF88" s="23">
        <f>$L88*AY88</f>
        <v>0</v>
      </c>
      <c r="CG88" s="23">
        <f>$L88*AZ88</f>
        <v>0</v>
      </c>
      <c r="CH88" s="23">
        <f>$L88*BA88</f>
        <v>0</v>
      </c>
      <c r="CI88" s="23">
        <f>$L88*BB88</f>
        <v>1</v>
      </c>
      <c r="CJ88" s="23">
        <f>$L88*BC88</f>
        <v>0</v>
      </c>
      <c r="CK88" s="23">
        <f>$L88*BD88</f>
        <v>0</v>
      </c>
      <c r="CL88" s="23">
        <f>$L88*BE88</f>
        <v>0</v>
      </c>
      <c r="CM88" s="23">
        <f>$L88*BF88</f>
        <v>1</v>
      </c>
      <c r="CN88" s="23">
        <f>$L88*BG88</f>
        <v>0</v>
      </c>
      <c r="CO88" s="23">
        <f>$L88*BH88</f>
        <v>0</v>
      </c>
      <c r="CP88" s="23">
        <f>$L88*BI88</f>
        <v>0</v>
      </c>
      <c r="CQ88" s="23">
        <f>$L88*BJ88</f>
        <v>0</v>
      </c>
      <c r="CR88" s="23">
        <f>$L88*BK88</f>
        <v>0</v>
      </c>
      <c r="CS88" s="23">
        <f>$L88*BL88</f>
        <v>0</v>
      </c>
      <c r="CT88" s="23">
        <f>$L88*BM88</f>
        <v>0</v>
      </c>
      <c r="CU88" s="23">
        <f>$L88*BN88</f>
        <v>0</v>
      </c>
      <c r="CV88" s="23">
        <f>$L88*BO88</f>
        <v>0</v>
      </c>
    </row>
    <row r="89" spans="1:100" ht="13.5" x14ac:dyDescent="0.15">
      <c r="A89" s="15">
        <v>376</v>
      </c>
      <c r="B89" s="27" t="s">
        <v>320</v>
      </c>
      <c r="C89" t="s">
        <v>153</v>
      </c>
      <c r="E89" t="s">
        <v>154</v>
      </c>
      <c r="F89" t="s">
        <v>155</v>
      </c>
      <c r="G89" t="s">
        <v>154</v>
      </c>
      <c r="H89" t="s">
        <v>156</v>
      </c>
      <c r="I89" s="6" t="s">
        <v>136</v>
      </c>
      <c r="J89" s="6">
        <v>0</v>
      </c>
      <c r="L89" s="15">
        <v>1</v>
      </c>
      <c r="M89" s="7">
        <v>46199</v>
      </c>
      <c r="N89" s="7">
        <v>46211</v>
      </c>
      <c r="O89" s="7">
        <v>46210</v>
      </c>
      <c r="P89" s="7">
        <v>46210</v>
      </c>
      <c r="S89" s="6" t="s">
        <v>154</v>
      </c>
      <c r="U89" s="6" t="s">
        <v>150</v>
      </c>
      <c r="V89" s="6" t="str">
        <f>TEXT(N89,"YY/MM")</f>
        <v>26/07</v>
      </c>
      <c r="W89">
        <v>21460</v>
      </c>
      <c r="Y89" s="6" t="s">
        <v>157</v>
      </c>
      <c r="Z89" s="6" t="s">
        <v>158</v>
      </c>
      <c r="AA89">
        <v>3267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0</v>
      </c>
      <c r="AS89" s="23">
        <v>0</v>
      </c>
      <c r="AT89" s="23">
        <v>1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>$L89*AI89</f>
        <v>1</v>
      </c>
      <c r="BQ89" s="23">
        <f>$L89*AJ89</f>
        <v>1</v>
      </c>
      <c r="BR89" s="23">
        <f>$L89*AK89</f>
        <v>0</v>
      </c>
      <c r="BS89" s="23">
        <f>$L89*AL89</f>
        <v>0</v>
      </c>
      <c r="BT89" s="23">
        <f>$L89*AM89</f>
        <v>1</v>
      </c>
      <c r="BU89" s="23">
        <f>$L89*AN89</f>
        <v>0</v>
      </c>
      <c r="BV89" s="23">
        <f>$L89*AO89</f>
        <v>1</v>
      </c>
      <c r="BW89" s="23">
        <f>$L89*AP89</f>
        <v>0</v>
      </c>
      <c r="BX89" s="23">
        <f>$L89*AQ89</f>
        <v>0</v>
      </c>
      <c r="BY89" s="23">
        <f>$L89*AR89</f>
        <v>0</v>
      </c>
      <c r="BZ89" s="23">
        <f>$L89*AS89</f>
        <v>0</v>
      </c>
      <c r="CA89" s="23">
        <f>$L89*AT89</f>
        <v>1</v>
      </c>
      <c r="CB89" s="23">
        <f>$L89*AU89</f>
        <v>1</v>
      </c>
      <c r="CC89" s="23">
        <f>$L89*AV89</f>
        <v>0</v>
      </c>
      <c r="CD89" s="23">
        <f>$L89*AW89</f>
        <v>0</v>
      </c>
      <c r="CE89" s="23">
        <f>$L89*AX89</f>
        <v>1</v>
      </c>
      <c r="CF89" s="23">
        <f>$L89*AY89</f>
        <v>0</v>
      </c>
      <c r="CG89" s="23">
        <f>$L89*AZ89</f>
        <v>0</v>
      </c>
      <c r="CH89" s="23">
        <f>$L89*BA89</f>
        <v>0</v>
      </c>
      <c r="CI89" s="23">
        <f>$L89*BB89</f>
        <v>1</v>
      </c>
      <c r="CJ89" s="23">
        <f>$L89*BC89</f>
        <v>0</v>
      </c>
      <c r="CK89" s="23">
        <f>$L89*BD89</f>
        <v>0</v>
      </c>
      <c r="CL89" s="23">
        <f>$L89*BE89</f>
        <v>0</v>
      </c>
      <c r="CM89" s="23">
        <f>$L89*BF89</f>
        <v>1</v>
      </c>
      <c r="CN89" s="23">
        <f>$L89*BG89</f>
        <v>0</v>
      </c>
      <c r="CO89" s="23">
        <f>$L89*BH89</f>
        <v>0</v>
      </c>
      <c r="CP89" s="23">
        <f>$L89*BI89</f>
        <v>0</v>
      </c>
      <c r="CQ89" s="23">
        <f>$L89*BJ89</f>
        <v>0</v>
      </c>
      <c r="CR89" s="23">
        <f>$L89*BK89</f>
        <v>0</v>
      </c>
      <c r="CS89" s="23">
        <f>$L89*BL89</f>
        <v>0</v>
      </c>
      <c r="CT89" s="23">
        <f>$L89*BM89</f>
        <v>0</v>
      </c>
      <c r="CU89" s="23">
        <f>$L89*BN89</f>
        <v>0</v>
      </c>
      <c r="CV89" s="23">
        <f>$L89*BO89</f>
        <v>0</v>
      </c>
    </row>
    <row r="90" spans="1:100" ht="13.5" x14ac:dyDescent="0.15">
      <c r="A90" s="15">
        <v>405</v>
      </c>
      <c r="B90" s="27" t="s">
        <v>326</v>
      </c>
      <c r="C90" t="s">
        <v>322</v>
      </c>
      <c r="F90" t="s">
        <v>155</v>
      </c>
      <c r="G90" t="s">
        <v>323</v>
      </c>
      <c r="H90" t="s">
        <v>324</v>
      </c>
      <c r="I90" s="6" t="s">
        <v>136</v>
      </c>
      <c r="J90" s="6">
        <v>0</v>
      </c>
      <c r="L90" s="15">
        <v>1</v>
      </c>
      <c r="M90" s="7">
        <v>46209</v>
      </c>
      <c r="N90" s="7">
        <v>46219</v>
      </c>
      <c r="O90" s="7">
        <v>46218</v>
      </c>
      <c r="P90" s="7">
        <v>46218</v>
      </c>
      <c r="S90" s="6" t="s">
        <v>323</v>
      </c>
      <c r="U90" s="6" t="s">
        <v>150</v>
      </c>
      <c r="V90" s="6" t="str">
        <f>TEXT(N90,"YY/MM")</f>
        <v>26/07</v>
      </c>
      <c r="W90">
        <v>21461</v>
      </c>
      <c r="Y90" s="6" t="s">
        <v>203</v>
      </c>
      <c r="Z90" s="6" t="s">
        <v>152</v>
      </c>
      <c r="AE90">
        <v>1278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0</v>
      </c>
      <c r="AP90" s="23">
        <v>1</v>
      </c>
      <c r="AQ90" s="23">
        <v>0</v>
      </c>
      <c r="AR90" s="23">
        <v>0</v>
      </c>
      <c r="AS90" s="23">
        <v>1</v>
      </c>
      <c r="AT90" s="23">
        <v>0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>$L90*AI90</f>
        <v>1</v>
      </c>
      <c r="BQ90" s="23">
        <f>$L90*AJ90</f>
        <v>1</v>
      </c>
      <c r="BR90" s="23">
        <f>$L90*AK90</f>
        <v>0</v>
      </c>
      <c r="BS90" s="23">
        <f>$L90*AL90</f>
        <v>0</v>
      </c>
      <c r="BT90" s="23">
        <f>$L90*AM90</f>
        <v>1</v>
      </c>
      <c r="BU90" s="23">
        <f>$L90*AN90</f>
        <v>0</v>
      </c>
      <c r="BV90" s="23">
        <f>$L90*AO90</f>
        <v>0</v>
      </c>
      <c r="BW90" s="23">
        <f>$L90*AP90</f>
        <v>1</v>
      </c>
      <c r="BX90" s="23">
        <f>$L90*AQ90</f>
        <v>0</v>
      </c>
      <c r="BY90" s="23">
        <f>$L90*AR90</f>
        <v>0</v>
      </c>
      <c r="BZ90" s="23">
        <f>$L90*AS90</f>
        <v>1</v>
      </c>
      <c r="CA90" s="23">
        <f>$L90*AT90</f>
        <v>0</v>
      </c>
      <c r="CB90" s="23">
        <f>$L90*AU90</f>
        <v>1</v>
      </c>
      <c r="CC90" s="23">
        <f>$L90*AV90</f>
        <v>0</v>
      </c>
      <c r="CD90" s="23">
        <f>$L90*AW90</f>
        <v>0</v>
      </c>
      <c r="CE90" s="23">
        <f>$L90*AX90</f>
        <v>1</v>
      </c>
      <c r="CF90" s="23">
        <f>$L90*AY90</f>
        <v>0</v>
      </c>
      <c r="CG90" s="23">
        <f>$L90*AZ90</f>
        <v>0</v>
      </c>
      <c r="CH90" s="23">
        <f>$L90*BA90</f>
        <v>0</v>
      </c>
      <c r="CI90" s="23">
        <f>$L90*BB90</f>
        <v>1</v>
      </c>
      <c r="CJ90" s="23">
        <f>$L90*BC90</f>
        <v>0</v>
      </c>
      <c r="CK90" s="23">
        <f>$L90*BD90</f>
        <v>0</v>
      </c>
      <c r="CL90" s="23">
        <f>$L90*BE90</f>
        <v>0</v>
      </c>
      <c r="CM90" s="23">
        <f>$L90*BF90</f>
        <v>1</v>
      </c>
      <c r="CN90" s="23">
        <f>$L90*BG90</f>
        <v>0</v>
      </c>
      <c r="CO90" s="23">
        <f>$L90*BH90</f>
        <v>0</v>
      </c>
      <c r="CP90" s="23">
        <f>$L90*BI90</f>
        <v>0</v>
      </c>
      <c r="CQ90" s="23">
        <f>$L90*BJ90</f>
        <v>0</v>
      </c>
      <c r="CR90" s="23">
        <f>$L90*BK90</f>
        <v>0</v>
      </c>
      <c r="CS90" s="23">
        <f>$L90*BL90</f>
        <v>0</v>
      </c>
      <c r="CT90" s="23">
        <f>$L90*BM90</f>
        <v>0</v>
      </c>
      <c r="CU90" s="23">
        <f>$L90*BN90</f>
        <v>0</v>
      </c>
      <c r="CV90" s="23">
        <f>$L90*BO90</f>
        <v>0</v>
      </c>
    </row>
    <row r="91" spans="1:100" ht="13.5" x14ac:dyDescent="0.15">
      <c r="A91" s="15">
        <v>404</v>
      </c>
      <c r="B91" s="27" t="s">
        <v>325</v>
      </c>
      <c r="C91" t="s">
        <v>322</v>
      </c>
      <c r="F91" t="s">
        <v>155</v>
      </c>
      <c r="G91" t="s">
        <v>323</v>
      </c>
      <c r="H91" t="s">
        <v>324</v>
      </c>
      <c r="I91" s="6" t="s">
        <v>136</v>
      </c>
      <c r="J91" s="6">
        <v>0</v>
      </c>
      <c r="L91" s="15">
        <v>1</v>
      </c>
      <c r="M91" s="7">
        <v>46209</v>
      </c>
      <c r="N91" s="7">
        <v>46219</v>
      </c>
      <c r="O91" s="7">
        <v>46218</v>
      </c>
      <c r="P91" s="7">
        <v>46218</v>
      </c>
      <c r="S91" s="6" t="s">
        <v>323</v>
      </c>
      <c r="U91" s="6" t="s">
        <v>150</v>
      </c>
      <c r="V91" s="6" t="str">
        <f>TEXT(N91,"YY/MM")</f>
        <v>26/07</v>
      </c>
      <c r="W91">
        <v>21462</v>
      </c>
      <c r="Y91" s="6" t="s">
        <v>203</v>
      </c>
      <c r="Z91" s="6" t="s">
        <v>152</v>
      </c>
      <c r="AE91">
        <v>1279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0</v>
      </c>
      <c r="AP91" s="23">
        <v>1</v>
      </c>
      <c r="AQ91" s="23">
        <v>0</v>
      </c>
      <c r="AR91" s="23">
        <v>0</v>
      </c>
      <c r="AS91" s="23">
        <v>1</v>
      </c>
      <c r="AT91" s="23">
        <v>0</v>
      </c>
      <c r="AU91" s="23">
        <v>1</v>
      </c>
      <c r="AV91" s="23">
        <v>0</v>
      </c>
      <c r="AW91" s="23">
        <v>0</v>
      </c>
      <c r="AX91" s="23">
        <v>1</v>
      </c>
      <c r="AY91" s="23">
        <v>0</v>
      </c>
      <c r="AZ91" s="23">
        <v>0</v>
      </c>
      <c r="BA91" s="23">
        <v>0</v>
      </c>
      <c r="BB91" s="23">
        <v>1</v>
      </c>
      <c r="BC91" s="23">
        <v>0</v>
      </c>
      <c r="BD91" s="23">
        <v>0</v>
      </c>
      <c r="BE91" s="23">
        <v>0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>$L91*AI91</f>
        <v>1</v>
      </c>
      <c r="BQ91" s="23">
        <f>$L91*AJ91</f>
        <v>1</v>
      </c>
      <c r="BR91" s="23">
        <f>$L91*AK91</f>
        <v>0</v>
      </c>
      <c r="BS91" s="23">
        <f>$L91*AL91</f>
        <v>0</v>
      </c>
      <c r="BT91" s="23">
        <f>$L91*AM91</f>
        <v>1</v>
      </c>
      <c r="BU91" s="23">
        <f>$L91*AN91</f>
        <v>0</v>
      </c>
      <c r="BV91" s="23">
        <f>$L91*AO91</f>
        <v>0</v>
      </c>
      <c r="BW91" s="23">
        <f>$L91*AP91</f>
        <v>1</v>
      </c>
      <c r="BX91" s="23">
        <f>$L91*AQ91</f>
        <v>0</v>
      </c>
      <c r="BY91" s="23">
        <f>$L91*AR91</f>
        <v>0</v>
      </c>
      <c r="BZ91" s="23">
        <f>$L91*AS91</f>
        <v>1</v>
      </c>
      <c r="CA91" s="23">
        <f>$L91*AT91</f>
        <v>0</v>
      </c>
      <c r="CB91" s="23">
        <f>$L91*AU91</f>
        <v>1</v>
      </c>
      <c r="CC91" s="23">
        <f>$L91*AV91</f>
        <v>0</v>
      </c>
      <c r="CD91" s="23">
        <f>$L91*AW91</f>
        <v>0</v>
      </c>
      <c r="CE91" s="23">
        <f>$L91*AX91</f>
        <v>1</v>
      </c>
      <c r="CF91" s="23">
        <f>$L91*AY91</f>
        <v>0</v>
      </c>
      <c r="CG91" s="23">
        <f>$L91*AZ91</f>
        <v>0</v>
      </c>
      <c r="CH91" s="23">
        <f>$L91*BA91</f>
        <v>0</v>
      </c>
      <c r="CI91" s="23">
        <f>$L91*BB91</f>
        <v>1</v>
      </c>
      <c r="CJ91" s="23">
        <f>$L91*BC91</f>
        <v>0</v>
      </c>
      <c r="CK91" s="23">
        <f>$L91*BD91</f>
        <v>0</v>
      </c>
      <c r="CL91" s="23">
        <f>$L91*BE91</f>
        <v>0</v>
      </c>
      <c r="CM91" s="23">
        <f>$L91*BF91</f>
        <v>1</v>
      </c>
      <c r="CN91" s="23">
        <f>$L91*BG91</f>
        <v>0</v>
      </c>
      <c r="CO91" s="23">
        <f>$L91*BH91</f>
        <v>0</v>
      </c>
      <c r="CP91" s="23">
        <f>$L91*BI91</f>
        <v>0</v>
      </c>
      <c r="CQ91" s="23">
        <f>$L91*BJ91</f>
        <v>0</v>
      </c>
      <c r="CR91" s="23">
        <f>$L91*BK91</f>
        <v>0</v>
      </c>
      <c r="CS91" s="23">
        <f>$L91*BL91</f>
        <v>0</v>
      </c>
      <c r="CT91" s="23">
        <f>$L91*BM91</f>
        <v>0</v>
      </c>
      <c r="CU91" s="23">
        <f>$L91*BN91</f>
        <v>0</v>
      </c>
      <c r="CV91" s="23">
        <f>$L91*BO91</f>
        <v>0</v>
      </c>
    </row>
    <row r="92" spans="1:100" ht="13.5" x14ac:dyDescent="0.15">
      <c r="A92" s="15">
        <v>403</v>
      </c>
      <c r="B92" s="27" t="s">
        <v>321</v>
      </c>
      <c r="C92" t="s">
        <v>322</v>
      </c>
      <c r="F92" t="s">
        <v>155</v>
      </c>
      <c r="G92" t="s">
        <v>323</v>
      </c>
      <c r="H92" t="s">
        <v>324</v>
      </c>
      <c r="I92" s="6" t="s">
        <v>136</v>
      </c>
      <c r="J92" s="6">
        <v>0</v>
      </c>
      <c r="L92" s="15">
        <v>1</v>
      </c>
      <c r="M92" s="7">
        <v>46209</v>
      </c>
      <c r="N92" s="7">
        <v>46219</v>
      </c>
      <c r="O92" s="7">
        <v>46218</v>
      </c>
      <c r="P92" s="7">
        <v>46218</v>
      </c>
      <c r="S92" s="6" t="s">
        <v>323</v>
      </c>
      <c r="U92" s="6" t="s">
        <v>150</v>
      </c>
      <c r="V92" s="6" t="str">
        <f>TEXT(N92,"YY/MM")</f>
        <v>26/07</v>
      </c>
      <c r="W92">
        <v>21463</v>
      </c>
      <c r="Y92" s="6" t="s">
        <v>203</v>
      </c>
      <c r="Z92" s="6" t="s">
        <v>152</v>
      </c>
      <c r="AE92">
        <v>1280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0</v>
      </c>
      <c r="AP92" s="23">
        <v>1</v>
      </c>
      <c r="AQ92" s="23">
        <v>0</v>
      </c>
      <c r="AR92" s="23">
        <v>0</v>
      </c>
      <c r="AS92" s="23">
        <v>1</v>
      </c>
      <c r="AT92" s="23">
        <v>0</v>
      </c>
      <c r="AU92" s="23">
        <v>1</v>
      </c>
      <c r="AV92" s="23">
        <v>0</v>
      </c>
      <c r="AW92" s="23">
        <v>0</v>
      </c>
      <c r="AX92" s="23">
        <v>1</v>
      </c>
      <c r="AY92" s="23">
        <v>0</v>
      </c>
      <c r="AZ92" s="23">
        <v>0</v>
      </c>
      <c r="BA92" s="23">
        <v>0</v>
      </c>
      <c r="BB92" s="23">
        <v>1</v>
      </c>
      <c r="BC92" s="23">
        <v>0</v>
      </c>
      <c r="BD92" s="23">
        <v>0</v>
      </c>
      <c r="BE92" s="23">
        <v>0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>$L92*AI92</f>
        <v>1</v>
      </c>
      <c r="BQ92" s="23">
        <f>$L92*AJ92</f>
        <v>1</v>
      </c>
      <c r="BR92" s="23">
        <f>$L92*AK92</f>
        <v>0</v>
      </c>
      <c r="BS92" s="23">
        <f>$L92*AL92</f>
        <v>0</v>
      </c>
      <c r="BT92" s="23">
        <f>$L92*AM92</f>
        <v>1</v>
      </c>
      <c r="BU92" s="23">
        <f>$L92*AN92</f>
        <v>0</v>
      </c>
      <c r="BV92" s="23">
        <f>$L92*AO92</f>
        <v>0</v>
      </c>
      <c r="BW92" s="23">
        <f>$L92*AP92</f>
        <v>1</v>
      </c>
      <c r="BX92" s="23">
        <f>$L92*AQ92</f>
        <v>0</v>
      </c>
      <c r="BY92" s="23">
        <f>$L92*AR92</f>
        <v>0</v>
      </c>
      <c r="BZ92" s="23">
        <f>$L92*AS92</f>
        <v>1</v>
      </c>
      <c r="CA92" s="23">
        <f>$L92*AT92</f>
        <v>0</v>
      </c>
      <c r="CB92" s="23">
        <f>$L92*AU92</f>
        <v>1</v>
      </c>
      <c r="CC92" s="23">
        <f>$L92*AV92</f>
        <v>0</v>
      </c>
      <c r="CD92" s="23">
        <f>$L92*AW92</f>
        <v>0</v>
      </c>
      <c r="CE92" s="23">
        <f>$L92*AX92</f>
        <v>1</v>
      </c>
      <c r="CF92" s="23">
        <f>$L92*AY92</f>
        <v>0</v>
      </c>
      <c r="CG92" s="23">
        <f>$L92*AZ92</f>
        <v>0</v>
      </c>
      <c r="CH92" s="23">
        <f>$L92*BA92</f>
        <v>0</v>
      </c>
      <c r="CI92" s="23">
        <f>$L92*BB92</f>
        <v>1</v>
      </c>
      <c r="CJ92" s="23">
        <f>$L92*BC92</f>
        <v>0</v>
      </c>
      <c r="CK92" s="23">
        <f>$L92*BD92</f>
        <v>0</v>
      </c>
      <c r="CL92" s="23">
        <f>$L92*BE92</f>
        <v>0</v>
      </c>
      <c r="CM92" s="23">
        <f>$L92*BF92</f>
        <v>1</v>
      </c>
      <c r="CN92" s="23">
        <f>$L92*BG92</f>
        <v>0</v>
      </c>
      <c r="CO92" s="23">
        <f>$L92*BH92</f>
        <v>0</v>
      </c>
      <c r="CP92" s="23">
        <f>$L92*BI92</f>
        <v>0</v>
      </c>
      <c r="CQ92" s="23">
        <f>$L92*BJ92</f>
        <v>0</v>
      </c>
      <c r="CR92" s="23">
        <f>$L92*BK92</f>
        <v>0</v>
      </c>
      <c r="CS92" s="23">
        <f>$L92*BL92</f>
        <v>0</v>
      </c>
      <c r="CT92" s="23">
        <f>$L92*BM92</f>
        <v>0</v>
      </c>
      <c r="CU92" s="23">
        <f>$L92*BN92</f>
        <v>0</v>
      </c>
      <c r="CV92" s="23">
        <f>$L92*BO92</f>
        <v>0</v>
      </c>
    </row>
    <row r="93" spans="1:100" ht="13.5" x14ac:dyDescent="0.15">
      <c r="A93" s="15">
        <v>419</v>
      </c>
      <c r="B93" s="27" t="s">
        <v>327</v>
      </c>
      <c r="C93" t="s">
        <v>197</v>
      </c>
      <c r="D93" t="s">
        <v>293</v>
      </c>
      <c r="E93" t="s">
        <v>214</v>
      </c>
      <c r="F93" t="s">
        <v>236</v>
      </c>
      <c r="G93" t="s">
        <v>247</v>
      </c>
      <c r="H93" t="s">
        <v>248</v>
      </c>
      <c r="I93" s="6" t="s">
        <v>130</v>
      </c>
      <c r="J93" s="6">
        <v>0</v>
      </c>
      <c r="L93" s="15">
        <v>1</v>
      </c>
      <c r="M93" s="7">
        <v>46206</v>
      </c>
      <c r="N93" s="7">
        <v>46223</v>
      </c>
      <c r="O93" s="7">
        <v>46220</v>
      </c>
      <c r="P93" s="7">
        <v>46226</v>
      </c>
      <c r="S93" s="6" t="s">
        <v>199</v>
      </c>
      <c r="U93" s="6" t="s">
        <v>150</v>
      </c>
      <c r="V93" s="6" t="str">
        <f>TEXT(N93,"YY/MM")</f>
        <v>26/07</v>
      </c>
      <c r="W93">
        <v>21464</v>
      </c>
      <c r="Y93" s="6" t="s">
        <v>203</v>
      </c>
      <c r="Z93" s="6" t="s">
        <v>152</v>
      </c>
      <c r="AE93">
        <v>1281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0</v>
      </c>
      <c r="AP93" s="23">
        <v>1</v>
      </c>
      <c r="AQ93" s="23">
        <v>0</v>
      </c>
      <c r="AR93" s="23">
        <v>0</v>
      </c>
      <c r="AS93" s="23">
        <v>1</v>
      </c>
      <c r="AT93" s="23">
        <v>0</v>
      </c>
      <c r="AU93" s="23">
        <v>1</v>
      </c>
      <c r="AV93" s="23">
        <v>0</v>
      </c>
      <c r="AW93" s="23">
        <v>0</v>
      </c>
      <c r="AX93" s="23">
        <v>1</v>
      </c>
      <c r="AY93" s="23">
        <v>0</v>
      </c>
      <c r="AZ93" s="23">
        <v>0</v>
      </c>
      <c r="BA93" s="23">
        <v>0</v>
      </c>
      <c r="BB93" s="23">
        <v>1</v>
      </c>
      <c r="BC93" s="23">
        <v>0</v>
      </c>
      <c r="BD93" s="23">
        <v>0</v>
      </c>
      <c r="BE93" s="23">
        <v>0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>$L93*AI93</f>
        <v>1</v>
      </c>
      <c r="BQ93" s="23">
        <f>$L93*AJ93</f>
        <v>1</v>
      </c>
      <c r="BR93" s="23">
        <f>$L93*AK93</f>
        <v>0</v>
      </c>
      <c r="BS93" s="23">
        <f>$L93*AL93</f>
        <v>0</v>
      </c>
      <c r="BT93" s="23">
        <f>$L93*AM93</f>
        <v>1</v>
      </c>
      <c r="BU93" s="23">
        <f>$L93*AN93</f>
        <v>0</v>
      </c>
      <c r="BV93" s="23">
        <f>$L93*AO93</f>
        <v>0</v>
      </c>
      <c r="BW93" s="23">
        <f>$L93*AP93</f>
        <v>1</v>
      </c>
      <c r="BX93" s="23">
        <f>$L93*AQ93</f>
        <v>0</v>
      </c>
      <c r="BY93" s="23">
        <f>$L93*AR93</f>
        <v>0</v>
      </c>
      <c r="BZ93" s="23">
        <f>$L93*AS93</f>
        <v>1</v>
      </c>
      <c r="CA93" s="23">
        <f>$L93*AT93</f>
        <v>0</v>
      </c>
      <c r="CB93" s="23">
        <f>$L93*AU93</f>
        <v>1</v>
      </c>
      <c r="CC93" s="23">
        <f>$L93*AV93</f>
        <v>0</v>
      </c>
      <c r="CD93" s="23">
        <f>$L93*AW93</f>
        <v>0</v>
      </c>
      <c r="CE93" s="23">
        <f>$L93*AX93</f>
        <v>1</v>
      </c>
      <c r="CF93" s="23">
        <f>$L93*AY93</f>
        <v>0</v>
      </c>
      <c r="CG93" s="23">
        <f>$L93*AZ93</f>
        <v>0</v>
      </c>
      <c r="CH93" s="23">
        <f>$L93*BA93</f>
        <v>0</v>
      </c>
      <c r="CI93" s="23">
        <f>$L93*BB93</f>
        <v>1</v>
      </c>
      <c r="CJ93" s="23">
        <f>$L93*BC93</f>
        <v>0</v>
      </c>
      <c r="CK93" s="23">
        <f>$L93*BD93</f>
        <v>0</v>
      </c>
      <c r="CL93" s="23">
        <f>$L93*BE93</f>
        <v>0</v>
      </c>
      <c r="CM93" s="23">
        <f>$L93*BF93</f>
        <v>1</v>
      </c>
      <c r="CN93" s="23">
        <f>$L93*BG93</f>
        <v>0</v>
      </c>
      <c r="CO93" s="23">
        <f>$L93*BH93</f>
        <v>0</v>
      </c>
      <c r="CP93" s="23">
        <f>$L93*BI93</f>
        <v>0</v>
      </c>
      <c r="CQ93" s="23">
        <f>$L93*BJ93</f>
        <v>0</v>
      </c>
      <c r="CR93" s="23">
        <f>$L93*BK93</f>
        <v>0</v>
      </c>
      <c r="CS93" s="23">
        <f>$L93*BL93</f>
        <v>0</v>
      </c>
      <c r="CT93" s="23">
        <f>$L93*BM93</f>
        <v>0</v>
      </c>
      <c r="CU93" s="23">
        <f>$L93*BN93</f>
        <v>0</v>
      </c>
      <c r="CV93" s="23">
        <f>$L93*BO93</f>
        <v>0</v>
      </c>
    </row>
    <row r="94" spans="1:100" ht="13.5" x14ac:dyDescent="0.15">
      <c r="A94" s="15">
        <v>439</v>
      </c>
      <c r="B94" s="27" t="s">
        <v>332</v>
      </c>
      <c r="C94" t="s">
        <v>177</v>
      </c>
      <c r="F94" t="s">
        <v>333</v>
      </c>
      <c r="G94" t="s">
        <v>334</v>
      </c>
      <c r="H94" t="s">
        <v>335</v>
      </c>
      <c r="I94" s="6" t="s">
        <v>130</v>
      </c>
      <c r="J94" s="6">
        <v>0</v>
      </c>
      <c r="L94" s="15">
        <v>1</v>
      </c>
      <c r="N94" s="7">
        <v>46237</v>
      </c>
      <c r="O94" s="7">
        <v>46234</v>
      </c>
      <c r="P94" s="7">
        <v>46237</v>
      </c>
      <c r="S94" s="6" t="s">
        <v>162</v>
      </c>
      <c r="U94" s="6" t="s">
        <v>150</v>
      </c>
      <c r="V94" s="6" t="str">
        <f>TEXT(N94,"YY/MM")</f>
        <v>26/08</v>
      </c>
      <c r="W94">
        <v>21465</v>
      </c>
      <c r="Y94" s="6" t="s">
        <v>163</v>
      </c>
      <c r="Z94" s="6" t="s">
        <v>152</v>
      </c>
      <c r="AG94">
        <v>3542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0</v>
      </c>
      <c r="AP94" s="23">
        <v>0</v>
      </c>
      <c r="AQ94" s="23">
        <v>1</v>
      </c>
      <c r="AR94" s="23">
        <v>0</v>
      </c>
      <c r="AS94" s="23">
        <v>1</v>
      </c>
      <c r="AT94" s="23">
        <v>0</v>
      </c>
      <c r="AU94" s="23">
        <v>0</v>
      </c>
      <c r="AV94" s="23">
        <v>0</v>
      </c>
      <c r="AW94" s="23">
        <v>1</v>
      </c>
      <c r="AX94" s="23">
        <v>0</v>
      </c>
      <c r="AY94" s="23">
        <v>0</v>
      </c>
      <c r="AZ94" s="23">
        <v>0</v>
      </c>
      <c r="BA94" s="23">
        <v>1</v>
      </c>
      <c r="BB94" s="23">
        <v>0</v>
      </c>
      <c r="BC94" s="23">
        <v>0</v>
      </c>
      <c r="BD94" s="23">
        <v>0</v>
      </c>
      <c r="BE94" s="23">
        <v>1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>$L94*AI94</f>
        <v>1</v>
      </c>
      <c r="BQ94" s="23">
        <f>$L94*AJ94</f>
        <v>1</v>
      </c>
      <c r="BR94" s="23">
        <f>$L94*AK94</f>
        <v>0</v>
      </c>
      <c r="BS94" s="23">
        <f>$L94*AL94</f>
        <v>0</v>
      </c>
      <c r="BT94" s="23">
        <f>$L94*AM94</f>
        <v>1</v>
      </c>
      <c r="BU94" s="23">
        <f>$L94*AN94</f>
        <v>0</v>
      </c>
      <c r="BV94" s="23">
        <f>$L94*AO94</f>
        <v>0</v>
      </c>
      <c r="BW94" s="23">
        <f>$L94*AP94</f>
        <v>0</v>
      </c>
      <c r="BX94" s="23">
        <f>$L94*AQ94</f>
        <v>1</v>
      </c>
      <c r="BY94" s="23">
        <f>$L94*AR94</f>
        <v>0</v>
      </c>
      <c r="BZ94" s="23">
        <f>$L94*AS94</f>
        <v>1</v>
      </c>
      <c r="CA94" s="23">
        <f>$L94*AT94</f>
        <v>0</v>
      </c>
      <c r="CB94" s="23">
        <f>$L94*AU94</f>
        <v>0</v>
      </c>
      <c r="CC94" s="23">
        <f>$L94*AV94</f>
        <v>0</v>
      </c>
      <c r="CD94" s="23">
        <f>$L94*AW94</f>
        <v>1</v>
      </c>
      <c r="CE94" s="23">
        <f>$L94*AX94</f>
        <v>0</v>
      </c>
      <c r="CF94" s="23">
        <f>$L94*AY94</f>
        <v>0</v>
      </c>
      <c r="CG94" s="23">
        <f>$L94*AZ94</f>
        <v>0</v>
      </c>
      <c r="CH94" s="23">
        <f>$L94*BA94</f>
        <v>1</v>
      </c>
      <c r="CI94" s="23">
        <f>$L94*BB94</f>
        <v>0</v>
      </c>
      <c r="CJ94" s="23">
        <f>$L94*BC94</f>
        <v>0</v>
      </c>
      <c r="CK94" s="23">
        <f>$L94*BD94</f>
        <v>0</v>
      </c>
      <c r="CL94" s="23">
        <f>$L94*BE94</f>
        <v>1</v>
      </c>
      <c r="CM94" s="23">
        <f>$L94*BF94</f>
        <v>1</v>
      </c>
      <c r="CN94" s="23">
        <f>$L94*BG94</f>
        <v>0</v>
      </c>
      <c r="CO94" s="23">
        <f>$L94*BH94</f>
        <v>0</v>
      </c>
      <c r="CP94" s="23">
        <f>$L94*BI94</f>
        <v>0</v>
      </c>
      <c r="CQ94" s="23">
        <f>$L94*BJ94</f>
        <v>0</v>
      </c>
      <c r="CR94" s="23">
        <f>$L94*BK94</f>
        <v>0</v>
      </c>
      <c r="CS94" s="23">
        <f>$L94*BL94</f>
        <v>0</v>
      </c>
      <c r="CT94" s="23">
        <f>$L94*BM94</f>
        <v>0</v>
      </c>
      <c r="CU94" s="23">
        <f>$L94*BN94</f>
        <v>0</v>
      </c>
      <c r="CV94" s="23">
        <f>$L94*BO94</f>
        <v>0</v>
      </c>
    </row>
    <row r="95" spans="1:100" ht="13.5" x14ac:dyDescent="0.15">
      <c r="A95" s="15">
        <v>440</v>
      </c>
      <c r="B95" s="27" t="s">
        <v>336</v>
      </c>
      <c r="C95" t="s">
        <v>177</v>
      </c>
      <c r="F95" t="s">
        <v>329</v>
      </c>
      <c r="G95" t="s">
        <v>330</v>
      </c>
      <c r="H95" t="s">
        <v>331</v>
      </c>
      <c r="I95" s="6" t="s">
        <v>130</v>
      </c>
      <c r="J95" s="6">
        <v>0</v>
      </c>
      <c r="L95" s="15">
        <v>1</v>
      </c>
      <c r="N95" s="7">
        <v>46237</v>
      </c>
      <c r="O95" s="7">
        <v>46234</v>
      </c>
      <c r="P95" s="7">
        <v>46237</v>
      </c>
      <c r="S95" s="6" t="s">
        <v>162</v>
      </c>
      <c r="U95" s="6" t="s">
        <v>150</v>
      </c>
      <c r="V95" s="6" t="str">
        <f>TEXT(N95,"YY/MM")</f>
        <v>26/08</v>
      </c>
      <c r="W95">
        <v>21466</v>
      </c>
      <c r="Y95" s="6" t="s">
        <v>163</v>
      </c>
      <c r="Z95" s="6" t="s">
        <v>152</v>
      </c>
      <c r="AG95">
        <v>3543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0</v>
      </c>
      <c r="AP95" s="23">
        <v>0</v>
      </c>
      <c r="AQ95" s="23">
        <v>1</v>
      </c>
      <c r="AR95" s="23">
        <v>0</v>
      </c>
      <c r="AS95" s="23">
        <v>1</v>
      </c>
      <c r="AT95" s="23">
        <v>0</v>
      </c>
      <c r="AU95" s="23">
        <v>0</v>
      </c>
      <c r="AV95" s="23">
        <v>0</v>
      </c>
      <c r="AW95" s="23">
        <v>1</v>
      </c>
      <c r="AX95" s="23">
        <v>0</v>
      </c>
      <c r="AY95" s="23">
        <v>0</v>
      </c>
      <c r="AZ95" s="23">
        <v>0</v>
      </c>
      <c r="BA95" s="23">
        <v>1</v>
      </c>
      <c r="BB95" s="23">
        <v>0</v>
      </c>
      <c r="BC95" s="23">
        <v>0</v>
      </c>
      <c r="BD95" s="23">
        <v>0</v>
      </c>
      <c r="BE95" s="23">
        <v>1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>$L95*AI95</f>
        <v>1</v>
      </c>
      <c r="BQ95" s="23">
        <f>$L95*AJ95</f>
        <v>1</v>
      </c>
      <c r="BR95" s="23">
        <f>$L95*AK95</f>
        <v>0</v>
      </c>
      <c r="BS95" s="23">
        <f>$L95*AL95</f>
        <v>0</v>
      </c>
      <c r="BT95" s="23">
        <f>$L95*AM95</f>
        <v>1</v>
      </c>
      <c r="BU95" s="23">
        <f>$L95*AN95</f>
        <v>0</v>
      </c>
      <c r="BV95" s="23">
        <f>$L95*AO95</f>
        <v>0</v>
      </c>
      <c r="BW95" s="23">
        <f>$L95*AP95</f>
        <v>0</v>
      </c>
      <c r="BX95" s="23">
        <f>$L95*AQ95</f>
        <v>1</v>
      </c>
      <c r="BY95" s="23">
        <f>$L95*AR95</f>
        <v>0</v>
      </c>
      <c r="BZ95" s="23">
        <f>$L95*AS95</f>
        <v>1</v>
      </c>
      <c r="CA95" s="23">
        <f>$L95*AT95</f>
        <v>0</v>
      </c>
      <c r="CB95" s="23">
        <f>$L95*AU95</f>
        <v>0</v>
      </c>
      <c r="CC95" s="23">
        <f>$L95*AV95</f>
        <v>0</v>
      </c>
      <c r="CD95" s="23">
        <f>$L95*AW95</f>
        <v>1</v>
      </c>
      <c r="CE95" s="23">
        <f>$L95*AX95</f>
        <v>0</v>
      </c>
      <c r="CF95" s="23">
        <f>$L95*AY95</f>
        <v>0</v>
      </c>
      <c r="CG95" s="23">
        <f>$L95*AZ95</f>
        <v>0</v>
      </c>
      <c r="CH95" s="23">
        <f>$L95*BA95</f>
        <v>1</v>
      </c>
      <c r="CI95" s="23">
        <f>$L95*BB95</f>
        <v>0</v>
      </c>
      <c r="CJ95" s="23">
        <f>$L95*BC95</f>
        <v>0</v>
      </c>
      <c r="CK95" s="23">
        <f>$L95*BD95</f>
        <v>0</v>
      </c>
      <c r="CL95" s="23">
        <f>$L95*BE95</f>
        <v>1</v>
      </c>
      <c r="CM95" s="23">
        <f>$L95*BF95</f>
        <v>1</v>
      </c>
      <c r="CN95" s="23">
        <f>$L95*BG95</f>
        <v>0</v>
      </c>
      <c r="CO95" s="23">
        <f>$L95*BH95</f>
        <v>0</v>
      </c>
      <c r="CP95" s="23">
        <f>$L95*BI95</f>
        <v>0</v>
      </c>
      <c r="CQ95" s="23">
        <f>$L95*BJ95</f>
        <v>0</v>
      </c>
      <c r="CR95" s="23">
        <f>$L95*BK95</f>
        <v>0</v>
      </c>
      <c r="CS95" s="23">
        <f>$L95*BL95</f>
        <v>0</v>
      </c>
      <c r="CT95" s="23">
        <f>$L95*BM95</f>
        <v>0</v>
      </c>
      <c r="CU95" s="23">
        <f>$L95*BN95</f>
        <v>0</v>
      </c>
      <c r="CV95" s="23">
        <f>$L95*BO95</f>
        <v>0</v>
      </c>
    </row>
    <row r="96" spans="1:100" ht="13.5" x14ac:dyDescent="0.15">
      <c r="A96" s="15">
        <v>445</v>
      </c>
      <c r="B96" s="27" t="s">
        <v>341</v>
      </c>
      <c r="C96" t="s">
        <v>177</v>
      </c>
      <c r="F96" t="s">
        <v>159</v>
      </c>
      <c r="G96" t="s">
        <v>160</v>
      </c>
      <c r="H96" t="s">
        <v>161</v>
      </c>
      <c r="I96" s="6" t="s">
        <v>130</v>
      </c>
      <c r="J96" s="6">
        <v>0</v>
      </c>
      <c r="L96" s="15">
        <v>1</v>
      </c>
      <c r="N96" s="7">
        <v>46237</v>
      </c>
      <c r="O96" s="7">
        <v>46234</v>
      </c>
      <c r="P96" s="7">
        <v>46237</v>
      </c>
      <c r="S96" s="6" t="s">
        <v>162</v>
      </c>
      <c r="U96" s="6" t="s">
        <v>150</v>
      </c>
      <c r="V96" s="6" t="str">
        <f>TEXT(N96,"YY/MM")</f>
        <v>26/08</v>
      </c>
      <c r="W96">
        <v>21467</v>
      </c>
      <c r="Y96" s="6" t="s">
        <v>163</v>
      </c>
      <c r="Z96" s="6" t="s">
        <v>152</v>
      </c>
      <c r="AG96">
        <v>3544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0</v>
      </c>
      <c r="AP96" s="23">
        <v>0</v>
      </c>
      <c r="AQ96" s="23">
        <v>1</v>
      </c>
      <c r="AR96" s="23">
        <v>0</v>
      </c>
      <c r="AS96" s="23">
        <v>1</v>
      </c>
      <c r="AT96" s="23">
        <v>0</v>
      </c>
      <c r="AU96" s="23">
        <v>0</v>
      </c>
      <c r="AV96" s="23">
        <v>0</v>
      </c>
      <c r="AW96" s="23">
        <v>1</v>
      </c>
      <c r="AX96" s="23">
        <v>0</v>
      </c>
      <c r="AY96" s="23">
        <v>0</v>
      </c>
      <c r="AZ96" s="23">
        <v>0</v>
      </c>
      <c r="BA96" s="23">
        <v>1</v>
      </c>
      <c r="BB96" s="23">
        <v>0</v>
      </c>
      <c r="BC96" s="23">
        <v>0</v>
      </c>
      <c r="BD96" s="23">
        <v>0</v>
      </c>
      <c r="BE96" s="23">
        <v>1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>$L96*AI96</f>
        <v>1</v>
      </c>
      <c r="BQ96" s="23">
        <f>$L96*AJ96</f>
        <v>1</v>
      </c>
      <c r="BR96" s="23">
        <f>$L96*AK96</f>
        <v>0</v>
      </c>
      <c r="BS96" s="23">
        <f>$L96*AL96</f>
        <v>0</v>
      </c>
      <c r="BT96" s="23">
        <f>$L96*AM96</f>
        <v>1</v>
      </c>
      <c r="BU96" s="23">
        <f>$L96*AN96</f>
        <v>0</v>
      </c>
      <c r="BV96" s="23">
        <f>$L96*AO96</f>
        <v>0</v>
      </c>
      <c r="BW96" s="23">
        <f>$L96*AP96</f>
        <v>0</v>
      </c>
      <c r="BX96" s="23">
        <f>$L96*AQ96</f>
        <v>1</v>
      </c>
      <c r="BY96" s="23">
        <f>$L96*AR96</f>
        <v>0</v>
      </c>
      <c r="BZ96" s="23">
        <f>$L96*AS96</f>
        <v>1</v>
      </c>
      <c r="CA96" s="23">
        <f>$L96*AT96</f>
        <v>0</v>
      </c>
      <c r="CB96" s="23">
        <f>$L96*AU96</f>
        <v>0</v>
      </c>
      <c r="CC96" s="23">
        <f>$L96*AV96</f>
        <v>0</v>
      </c>
      <c r="CD96" s="23">
        <f>$L96*AW96</f>
        <v>1</v>
      </c>
      <c r="CE96" s="23">
        <f>$L96*AX96</f>
        <v>0</v>
      </c>
      <c r="CF96" s="23">
        <f>$L96*AY96</f>
        <v>0</v>
      </c>
      <c r="CG96" s="23">
        <f>$L96*AZ96</f>
        <v>0</v>
      </c>
      <c r="CH96" s="23">
        <f>$L96*BA96</f>
        <v>1</v>
      </c>
      <c r="CI96" s="23">
        <f>$L96*BB96</f>
        <v>0</v>
      </c>
      <c r="CJ96" s="23">
        <f>$L96*BC96</f>
        <v>0</v>
      </c>
      <c r="CK96" s="23">
        <f>$L96*BD96</f>
        <v>0</v>
      </c>
      <c r="CL96" s="23">
        <f>$L96*BE96</f>
        <v>1</v>
      </c>
      <c r="CM96" s="23">
        <f>$L96*BF96</f>
        <v>1</v>
      </c>
      <c r="CN96" s="23">
        <f>$L96*BG96</f>
        <v>0</v>
      </c>
      <c r="CO96" s="23">
        <f>$L96*BH96</f>
        <v>0</v>
      </c>
      <c r="CP96" s="23">
        <f>$L96*BI96</f>
        <v>0</v>
      </c>
      <c r="CQ96" s="23">
        <f>$L96*BJ96</f>
        <v>0</v>
      </c>
      <c r="CR96" s="23">
        <f>$L96*BK96</f>
        <v>0</v>
      </c>
      <c r="CS96" s="23">
        <f>$L96*BL96</f>
        <v>0</v>
      </c>
      <c r="CT96" s="23">
        <f>$L96*BM96</f>
        <v>0</v>
      </c>
      <c r="CU96" s="23">
        <f>$L96*BN96</f>
        <v>0</v>
      </c>
      <c r="CV96" s="23">
        <f>$L96*BO96</f>
        <v>0</v>
      </c>
    </row>
    <row r="97" spans="1:100" ht="13.5" x14ac:dyDescent="0.15">
      <c r="A97" s="15">
        <v>444</v>
      </c>
      <c r="B97" s="27" t="s">
        <v>340</v>
      </c>
      <c r="C97" t="s">
        <v>177</v>
      </c>
      <c r="F97" t="s">
        <v>180</v>
      </c>
      <c r="G97" t="s">
        <v>206</v>
      </c>
      <c r="H97" t="s">
        <v>207</v>
      </c>
      <c r="I97" s="6" t="s">
        <v>130</v>
      </c>
      <c r="J97" s="6">
        <v>0</v>
      </c>
      <c r="L97" s="15">
        <v>1</v>
      </c>
      <c r="N97" s="7">
        <v>46237</v>
      </c>
      <c r="O97" s="7">
        <v>46234</v>
      </c>
      <c r="P97" s="7">
        <v>46237</v>
      </c>
      <c r="S97" s="6" t="s">
        <v>162</v>
      </c>
      <c r="U97" s="6" t="s">
        <v>150</v>
      </c>
      <c r="V97" s="6" t="str">
        <f>TEXT(N97,"YY/MM")</f>
        <v>26/08</v>
      </c>
      <c r="W97">
        <v>21468</v>
      </c>
      <c r="Y97" s="6" t="s">
        <v>163</v>
      </c>
      <c r="Z97" s="6" t="s">
        <v>152</v>
      </c>
      <c r="AG97">
        <v>3545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0</v>
      </c>
      <c r="AP97" s="23">
        <v>0</v>
      </c>
      <c r="AQ97" s="23">
        <v>1</v>
      </c>
      <c r="AR97" s="23">
        <v>0</v>
      </c>
      <c r="AS97" s="23">
        <v>1</v>
      </c>
      <c r="AT97" s="23">
        <v>0</v>
      </c>
      <c r="AU97" s="23">
        <v>0</v>
      </c>
      <c r="AV97" s="23">
        <v>0</v>
      </c>
      <c r="AW97" s="23">
        <v>1</v>
      </c>
      <c r="AX97" s="23">
        <v>0</v>
      </c>
      <c r="AY97" s="23">
        <v>0</v>
      </c>
      <c r="AZ97" s="23">
        <v>0</v>
      </c>
      <c r="BA97" s="23">
        <v>1</v>
      </c>
      <c r="BB97" s="23">
        <v>0</v>
      </c>
      <c r="BC97" s="23">
        <v>0</v>
      </c>
      <c r="BD97" s="23">
        <v>0</v>
      </c>
      <c r="BE97" s="23">
        <v>1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>$L97*AI97</f>
        <v>1</v>
      </c>
      <c r="BQ97" s="23">
        <f>$L97*AJ97</f>
        <v>1</v>
      </c>
      <c r="BR97" s="23">
        <f>$L97*AK97</f>
        <v>0</v>
      </c>
      <c r="BS97" s="23">
        <f>$L97*AL97</f>
        <v>0</v>
      </c>
      <c r="BT97" s="23">
        <f>$L97*AM97</f>
        <v>1</v>
      </c>
      <c r="BU97" s="23">
        <f>$L97*AN97</f>
        <v>0</v>
      </c>
      <c r="BV97" s="23">
        <f>$L97*AO97</f>
        <v>0</v>
      </c>
      <c r="BW97" s="23">
        <f>$L97*AP97</f>
        <v>0</v>
      </c>
      <c r="BX97" s="23">
        <f>$L97*AQ97</f>
        <v>1</v>
      </c>
      <c r="BY97" s="23">
        <f>$L97*AR97</f>
        <v>0</v>
      </c>
      <c r="BZ97" s="23">
        <f>$L97*AS97</f>
        <v>1</v>
      </c>
      <c r="CA97" s="23">
        <f>$L97*AT97</f>
        <v>0</v>
      </c>
      <c r="CB97" s="23">
        <f>$L97*AU97</f>
        <v>0</v>
      </c>
      <c r="CC97" s="23">
        <f>$L97*AV97</f>
        <v>0</v>
      </c>
      <c r="CD97" s="23">
        <f>$L97*AW97</f>
        <v>1</v>
      </c>
      <c r="CE97" s="23">
        <f>$L97*AX97</f>
        <v>0</v>
      </c>
      <c r="CF97" s="23">
        <f>$L97*AY97</f>
        <v>0</v>
      </c>
      <c r="CG97" s="23">
        <f>$L97*AZ97</f>
        <v>0</v>
      </c>
      <c r="CH97" s="23">
        <f>$L97*BA97</f>
        <v>1</v>
      </c>
      <c r="CI97" s="23">
        <f>$L97*BB97</f>
        <v>0</v>
      </c>
      <c r="CJ97" s="23">
        <f>$L97*BC97</f>
        <v>0</v>
      </c>
      <c r="CK97" s="23">
        <f>$L97*BD97</f>
        <v>0</v>
      </c>
      <c r="CL97" s="23">
        <f>$L97*BE97</f>
        <v>1</v>
      </c>
      <c r="CM97" s="23">
        <f>$L97*BF97</f>
        <v>1</v>
      </c>
      <c r="CN97" s="23">
        <f>$L97*BG97</f>
        <v>0</v>
      </c>
      <c r="CO97" s="23">
        <f>$L97*BH97</f>
        <v>0</v>
      </c>
      <c r="CP97" s="23">
        <f>$L97*BI97</f>
        <v>0</v>
      </c>
      <c r="CQ97" s="23">
        <f>$L97*BJ97</f>
        <v>0</v>
      </c>
      <c r="CR97" s="23">
        <f>$L97*BK97</f>
        <v>0</v>
      </c>
      <c r="CS97" s="23">
        <f>$L97*BL97</f>
        <v>0</v>
      </c>
      <c r="CT97" s="23">
        <f>$L97*BM97</f>
        <v>0</v>
      </c>
      <c r="CU97" s="23">
        <f>$L97*BN97</f>
        <v>0</v>
      </c>
      <c r="CV97" s="23">
        <f>$L97*BO97</f>
        <v>0</v>
      </c>
    </row>
    <row r="98" spans="1:100" ht="13.5" x14ac:dyDescent="0.15">
      <c r="A98" s="15">
        <v>443</v>
      </c>
      <c r="B98" s="27" t="s">
        <v>339</v>
      </c>
      <c r="C98" t="s">
        <v>177</v>
      </c>
      <c r="F98" t="s">
        <v>180</v>
      </c>
      <c r="G98" t="s">
        <v>206</v>
      </c>
      <c r="H98" t="s">
        <v>207</v>
      </c>
      <c r="I98" s="6" t="s">
        <v>130</v>
      </c>
      <c r="J98" s="6">
        <v>0</v>
      </c>
      <c r="L98" s="15">
        <v>1</v>
      </c>
      <c r="N98" s="7">
        <v>46237</v>
      </c>
      <c r="O98" s="7">
        <v>46234</v>
      </c>
      <c r="P98" s="7">
        <v>46237</v>
      </c>
      <c r="S98" s="6" t="s">
        <v>162</v>
      </c>
      <c r="U98" s="6" t="s">
        <v>150</v>
      </c>
      <c r="V98" s="6" t="str">
        <f>TEXT(N98,"YY/MM")</f>
        <v>26/08</v>
      </c>
      <c r="W98">
        <v>21469</v>
      </c>
      <c r="Y98" s="6" t="s">
        <v>163</v>
      </c>
      <c r="Z98" s="6" t="s">
        <v>152</v>
      </c>
      <c r="AG98">
        <v>3546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0</v>
      </c>
      <c r="AP98" s="23">
        <v>0</v>
      </c>
      <c r="AQ98" s="23">
        <v>1</v>
      </c>
      <c r="AR98" s="23">
        <v>0</v>
      </c>
      <c r="AS98" s="23">
        <v>1</v>
      </c>
      <c r="AT98" s="23">
        <v>0</v>
      </c>
      <c r="AU98" s="23">
        <v>0</v>
      </c>
      <c r="AV98" s="23">
        <v>0</v>
      </c>
      <c r="AW98" s="23">
        <v>1</v>
      </c>
      <c r="AX98" s="23">
        <v>0</v>
      </c>
      <c r="AY98" s="23">
        <v>0</v>
      </c>
      <c r="AZ98" s="23">
        <v>0</v>
      </c>
      <c r="BA98" s="23">
        <v>1</v>
      </c>
      <c r="BB98" s="23">
        <v>0</v>
      </c>
      <c r="BC98" s="23">
        <v>0</v>
      </c>
      <c r="BD98" s="23">
        <v>0</v>
      </c>
      <c r="BE98" s="23">
        <v>1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>$L98*AI98</f>
        <v>1</v>
      </c>
      <c r="BQ98" s="23">
        <f>$L98*AJ98</f>
        <v>1</v>
      </c>
      <c r="BR98" s="23">
        <f>$L98*AK98</f>
        <v>0</v>
      </c>
      <c r="BS98" s="23">
        <f>$L98*AL98</f>
        <v>0</v>
      </c>
      <c r="BT98" s="23">
        <f>$L98*AM98</f>
        <v>1</v>
      </c>
      <c r="BU98" s="23">
        <f>$L98*AN98</f>
        <v>0</v>
      </c>
      <c r="BV98" s="23">
        <f>$L98*AO98</f>
        <v>0</v>
      </c>
      <c r="BW98" s="23">
        <f>$L98*AP98</f>
        <v>0</v>
      </c>
      <c r="BX98" s="23">
        <f>$L98*AQ98</f>
        <v>1</v>
      </c>
      <c r="BY98" s="23">
        <f>$L98*AR98</f>
        <v>0</v>
      </c>
      <c r="BZ98" s="23">
        <f>$L98*AS98</f>
        <v>1</v>
      </c>
      <c r="CA98" s="23">
        <f>$L98*AT98</f>
        <v>0</v>
      </c>
      <c r="CB98" s="23">
        <f>$L98*AU98</f>
        <v>0</v>
      </c>
      <c r="CC98" s="23">
        <f>$L98*AV98</f>
        <v>0</v>
      </c>
      <c r="CD98" s="23">
        <f>$L98*AW98</f>
        <v>1</v>
      </c>
      <c r="CE98" s="23">
        <f>$L98*AX98</f>
        <v>0</v>
      </c>
      <c r="CF98" s="23">
        <f>$L98*AY98</f>
        <v>0</v>
      </c>
      <c r="CG98" s="23">
        <f>$L98*AZ98</f>
        <v>0</v>
      </c>
      <c r="CH98" s="23">
        <f>$L98*BA98</f>
        <v>1</v>
      </c>
      <c r="CI98" s="23">
        <f>$L98*BB98</f>
        <v>0</v>
      </c>
      <c r="CJ98" s="23">
        <f>$L98*BC98</f>
        <v>0</v>
      </c>
      <c r="CK98" s="23">
        <f>$L98*BD98</f>
        <v>0</v>
      </c>
      <c r="CL98" s="23">
        <f>$L98*BE98</f>
        <v>1</v>
      </c>
      <c r="CM98" s="23">
        <f>$L98*BF98</f>
        <v>1</v>
      </c>
      <c r="CN98" s="23">
        <f>$L98*BG98</f>
        <v>0</v>
      </c>
      <c r="CO98" s="23">
        <f>$L98*BH98</f>
        <v>0</v>
      </c>
      <c r="CP98" s="23">
        <f>$L98*BI98</f>
        <v>0</v>
      </c>
      <c r="CQ98" s="23">
        <f>$L98*BJ98</f>
        <v>0</v>
      </c>
      <c r="CR98" s="23">
        <f>$L98*BK98</f>
        <v>0</v>
      </c>
      <c r="CS98" s="23">
        <f>$L98*BL98</f>
        <v>0</v>
      </c>
      <c r="CT98" s="23">
        <f>$L98*BM98</f>
        <v>0</v>
      </c>
      <c r="CU98" s="23">
        <f>$L98*BN98</f>
        <v>0</v>
      </c>
      <c r="CV98" s="23">
        <f>$L98*BO98</f>
        <v>0</v>
      </c>
    </row>
    <row r="99" spans="1:100" ht="13.5" x14ac:dyDescent="0.15">
      <c r="A99" s="15">
        <v>438</v>
      </c>
      <c r="B99" s="27" t="s">
        <v>328</v>
      </c>
      <c r="C99" t="s">
        <v>177</v>
      </c>
      <c r="F99" t="s">
        <v>329</v>
      </c>
      <c r="G99" t="s">
        <v>330</v>
      </c>
      <c r="H99" t="s">
        <v>331</v>
      </c>
      <c r="I99" s="6" t="s">
        <v>130</v>
      </c>
      <c r="J99" s="6">
        <v>0</v>
      </c>
      <c r="L99" s="15">
        <v>1</v>
      </c>
      <c r="N99" s="7">
        <v>46237</v>
      </c>
      <c r="O99" s="7">
        <v>46234</v>
      </c>
      <c r="P99" s="7">
        <v>46237</v>
      </c>
      <c r="S99" s="6" t="s">
        <v>162</v>
      </c>
      <c r="U99" s="6" t="s">
        <v>150</v>
      </c>
      <c r="V99" s="6" t="str">
        <f>TEXT(N99,"YY/MM")</f>
        <v>26/08</v>
      </c>
      <c r="W99">
        <v>21470</v>
      </c>
      <c r="Y99" s="6" t="s">
        <v>163</v>
      </c>
      <c r="Z99" s="6" t="s">
        <v>152</v>
      </c>
      <c r="AG99">
        <v>3547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0</v>
      </c>
      <c r="AP99" s="23">
        <v>0</v>
      </c>
      <c r="AQ99" s="23">
        <v>1</v>
      </c>
      <c r="AR99" s="23">
        <v>0</v>
      </c>
      <c r="AS99" s="23">
        <v>1</v>
      </c>
      <c r="AT99" s="23">
        <v>0</v>
      </c>
      <c r="AU99" s="23">
        <v>0</v>
      </c>
      <c r="AV99" s="23">
        <v>0</v>
      </c>
      <c r="AW99" s="23">
        <v>1</v>
      </c>
      <c r="AX99" s="23">
        <v>0</v>
      </c>
      <c r="AY99" s="23">
        <v>0</v>
      </c>
      <c r="AZ99" s="23">
        <v>0</v>
      </c>
      <c r="BA99" s="23">
        <v>1</v>
      </c>
      <c r="BB99" s="23">
        <v>0</v>
      </c>
      <c r="BC99" s="23">
        <v>0</v>
      </c>
      <c r="BD99" s="23">
        <v>0</v>
      </c>
      <c r="BE99" s="23">
        <v>1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>$L99*AI99</f>
        <v>1</v>
      </c>
      <c r="BQ99" s="23">
        <f>$L99*AJ99</f>
        <v>1</v>
      </c>
      <c r="BR99" s="23">
        <f>$L99*AK99</f>
        <v>0</v>
      </c>
      <c r="BS99" s="23">
        <f>$L99*AL99</f>
        <v>0</v>
      </c>
      <c r="BT99" s="23">
        <f>$L99*AM99</f>
        <v>1</v>
      </c>
      <c r="BU99" s="23">
        <f>$L99*AN99</f>
        <v>0</v>
      </c>
      <c r="BV99" s="23">
        <f>$L99*AO99</f>
        <v>0</v>
      </c>
      <c r="BW99" s="23">
        <f>$L99*AP99</f>
        <v>0</v>
      </c>
      <c r="BX99" s="23">
        <f>$L99*AQ99</f>
        <v>1</v>
      </c>
      <c r="BY99" s="23">
        <f>$L99*AR99</f>
        <v>0</v>
      </c>
      <c r="BZ99" s="23">
        <f>$L99*AS99</f>
        <v>1</v>
      </c>
      <c r="CA99" s="23">
        <f>$L99*AT99</f>
        <v>0</v>
      </c>
      <c r="CB99" s="23">
        <f>$L99*AU99</f>
        <v>0</v>
      </c>
      <c r="CC99" s="23">
        <f>$L99*AV99</f>
        <v>0</v>
      </c>
      <c r="CD99" s="23">
        <f>$L99*AW99</f>
        <v>1</v>
      </c>
      <c r="CE99" s="23">
        <f>$L99*AX99</f>
        <v>0</v>
      </c>
      <c r="CF99" s="23">
        <f>$L99*AY99</f>
        <v>0</v>
      </c>
      <c r="CG99" s="23">
        <f>$L99*AZ99</f>
        <v>0</v>
      </c>
      <c r="CH99" s="23">
        <f>$L99*BA99</f>
        <v>1</v>
      </c>
      <c r="CI99" s="23">
        <f>$L99*BB99</f>
        <v>0</v>
      </c>
      <c r="CJ99" s="23">
        <f>$L99*BC99</f>
        <v>0</v>
      </c>
      <c r="CK99" s="23">
        <f>$L99*BD99</f>
        <v>0</v>
      </c>
      <c r="CL99" s="23">
        <f>$L99*BE99</f>
        <v>1</v>
      </c>
      <c r="CM99" s="23">
        <f>$L99*BF99</f>
        <v>1</v>
      </c>
      <c r="CN99" s="23">
        <f>$L99*BG99</f>
        <v>0</v>
      </c>
      <c r="CO99" s="23">
        <f>$L99*BH99</f>
        <v>0</v>
      </c>
      <c r="CP99" s="23">
        <f>$L99*BI99</f>
        <v>0</v>
      </c>
      <c r="CQ99" s="23">
        <f>$L99*BJ99</f>
        <v>0</v>
      </c>
      <c r="CR99" s="23">
        <f>$L99*BK99</f>
        <v>0</v>
      </c>
      <c r="CS99" s="23">
        <f>$L99*BL99</f>
        <v>0</v>
      </c>
      <c r="CT99" s="23">
        <f>$L99*BM99</f>
        <v>0</v>
      </c>
      <c r="CU99" s="23">
        <f>$L99*BN99</f>
        <v>0</v>
      </c>
      <c r="CV99" s="23">
        <f>$L99*BO99</f>
        <v>0</v>
      </c>
    </row>
    <row r="100" spans="1:100" ht="13.5" x14ac:dyDescent="0.15">
      <c r="A100" s="15">
        <v>442</v>
      </c>
      <c r="B100" s="27" t="s">
        <v>338</v>
      </c>
      <c r="C100" t="s">
        <v>177</v>
      </c>
      <c r="F100" t="s">
        <v>333</v>
      </c>
      <c r="G100" t="s">
        <v>334</v>
      </c>
      <c r="H100" t="s">
        <v>335</v>
      </c>
      <c r="I100" s="6" t="s">
        <v>130</v>
      </c>
      <c r="J100" s="6">
        <v>0</v>
      </c>
      <c r="L100" s="15">
        <v>1</v>
      </c>
      <c r="N100" s="7">
        <v>46237</v>
      </c>
      <c r="O100" s="7">
        <v>46234</v>
      </c>
      <c r="P100" s="7">
        <v>46237</v>
      </c>
      <c r="S100" s="6" t="s">
        <v>162</v>
      </c>
      <c r="U100" s="6" t="s">
        <v>150</v>
      </c>
      <c r="V100" s="6" t="str">
        <f>TEXT(N100,"YY/MM")</f>
        <v>26/08</v>
      </c>
      <c r="W100">
        <v>21471</v>
      </c>
      <c r="Y100" s="6" t="s">
        <v>163</v>
      </c>
      <c r="Z100" s="6" t="s">
        <v>152</v>
      </c>
      <c r="AG100">
        <v>3548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0</v>
      </c>
      <c r="AP100" s="23">
        <v>0</v>
      </c>
      <c r="AQ100" s="23">
        <v>1</v>
      </c>
      <c r="AR100" s="23">
        <v>0</v>
      </c>
      <c r="AS100" s="23">
        <v>1</v>
      </c>
      <c r="AT100" s="23">
        <v>0</v>
      </c>
      <c r="AU100" s="23">
        <v>0</v>
      </c>
      <c r="AV100" s="23">
        <v>0</v>
      </c>
      <c r="AW100" s="23">
        <v>1</v>
      </c>
      <c r="AX100" s="23">
        <v>0</v>
      </c>
      <c r="AY100" s="23">
        <v>0</v>
      </c>
      <c r="AZ100" s="23">
        <v>0</v>
      </c>
      <c r="BA100" s="23">
        <v>1</v>
      </c>
      <c r="BB100" s="23">
        <v>0</v>
      </c>
      <c r="BC100" s="23">
        <v>0</v>
      </c>
      <c r="BD100" s="23">
        <v>0</v>
      </c>
      <c r="BE100" s="23">
        <v>1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>$L100*AI100</f>
        <v>1</v>
      </c>
      <c r="BQ100" s="23">
        <f>$L100*AJ100</f>
        <v>1</v>
      </c>
      <c r="BR100" s="23">
        <f>$L100*AK100</f>
        <v>0</v>
      </c>
      <c r="BS100" s="23">
        <f>$L100*AL100</f>
        <v>0</v>
      </c>
      <c r="BT100" s="23">
        <f>$L100*AM100</f>
        <v>1</v>
      </c>
      <c r="BU100" s="23">
        <f>$L100*AN100</f>
        <v>0</v>
      </c>
      <c r="BV100" s="23">
        <f>$L100*AO100</f>
        <v>0</v>
      </c>
      <c r="BW100" s="23">
        <f>$L100*AP100</f>
        <v>0</v>
      </c>
      <c r="BX100" s="23">
        <f>$L100*AQ100</f>
        <v>1</v>
      </c>
      <c r="BY100" s="23">
        <f>$L100*AR100</f>
        <v>0</v>
      </c>
      <c r="BZ100" s="23">
        <f>$L100*AS100</f>
        <v>1</v>
      </c>
      <c r="CA100" s="23">
        <f>$L100*AT100</f>
        <v>0</v>
      </c>
      <c r="CB100" s="23">
        <f>$L100*AU100</f>
        <v>0</v>
      </c>
      <c r="CC100" s="23">
        <f>$L100*AV100</f>
        <v>0</v>
      </c>
      <c r="CD100" s="23">
        <f>$L100*AW100</f>
        <v>1</v>
      </c>
      <c r="CE100" s="23">
        <f>$L100*AX100</f>
        <v>0</v>
      </c>
      <c r="CF100" s="23">
        <f>$L100*AY100</f>
        <v>0</v>
      </c>
      <c r="CG100" s="23">
        <f>$L100*AZ100</f>
        <v>0</v>
      </c>
      <c r="CH100" s="23">
        <f>$L100*BA100</f>
        <v>1</v>
      </c>
      <c r="CI100" s="23">
        <f>$L100*BB100</f>
        <v>0</v>
      </c>
      <c r="CJ100" s="23">
        <f>$L100*BC100</f>
        <v>0</v>
      </c>
      <c r="CK100" s="23">
        <f>$L100*BD100</f>
        <v>0</v>
      </c>
      <c r="CL100" s="23">
        <f>$L100*BE100</f>
        <v>1</v>
      </c>
      <c r="CM100" s="23">
        <f>$L100*BF100</f>
        <v>1</v>
      </c>
      <c r="CN100" s="23">
        <f>$L100*BG100</f>
        <v>0</v>
      </c>
      <c r="CO100" s="23">
        <f>$L100*BH100</f>
        <v>0</v>
      </c>
      <c r="CP100" s="23">
        <f>$L100*BI100</f>
        <v>0</v>
      </c>
      <c r="CQ100" s="23">
        <f>$L100*BJ100</f>
        <v>0</v>
      </c>
      <c r="CR100" s="23">
        <f>$L100*BK100</f>
        <v>0</v>
      </c>
      <c r="CS100" s="23">
        <f>$L100*BL100</f>
        <v>0</v>
      </c>
      <c r="CT100" s="23">
        <f>$L100*BM100</f>
        <v>0</v>
      </c>
      <c r="CU100" s="23">
        <f>$L100*BN100</f>
        <v>0</v>
      </c>
      <c r="CV100" s="23">
        <f>$L100*BO100</f>
        <v>0</v>
      </c>
    </row>
    <row r="101" spans="1:100" ht="13.5" x14ac:dyDescent="0.15">
      <c r="A101" s="15">
        <v>441</v>
      </c>
      <c r="B101" s="27" t="s">
        <v>337</v>
      </c>
      <c r="C101" t="s">
        <v>177</v>
      </c>
      <c r="F101" t="s">
        <v>333</v>
      </c>
      <c r="G101" t="s">
        <v>334</v>
      </c>
      <c r="H101" t="s">
        <v>335</v>
      </c>
      <c r="I101" s="6" t="s">
        <v>130</v>
      </c>
      <c r="J101" s="6">
        <v>0</v>
      </c>
      <c r="L101" s="15">
        <v>1</v>
      </c>
      <c r="N101" s="7">
        <v>46237</v>
      </c>
      <c r="O101" s="7">
        <v>46234</v>
      </c>
      <c r="P101" s="7">
        <v>46237</v>
      </c>
      <c r="S101" s="6" t="s">
        <v>162</v>
      </c>
      <c r="U101" s="6" t="s">
        <v>150</v>
      </c>
      <c r="V101" s="6" t="str">
        <f>TEXT(N101,"YY/MM")</f>
        <v>26/08</v>
      </c>
      <c r="W101">
        <v>21472</v>
      </c>
      <c r="Y101" s="6" t="s">
        <v>163</v>
      </c>
      <c r="Z101" s="6" t="s">
        <v>152</v>
      </c>
      <c r="AG101">
        <v>3549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0</v>
      </c>
      <c r="AP101" s="23">
        <v>0</v>
      </c>
      <c r="AQ101" s="23">
        <v>1</v>
      </c>
      <c r="AR101" s="23">
        <v>0</v>
      </c>
      <c r="AS101" s="23">
        <v>1</v>
      </c>
      <c r="AT101" s="23">
        <v>0</v>
      </c>
      <c r="AU101" s="23">
        <v>0</v>
      </c>
      <c r="AV101" s="23">
        <v>0</v>
      </c>
      <c r="AW101" s="23">
        <v>1</v>
      </c>
      <c r="AX101" s="23">
        <v>0</v>
      </c>
      <c r="AY101" s="23">
        <v>0</v>
      </c>
      <c r="AZ101" s="23">
        <v>0</v>
      </c>
      <c r="BA101" s="23">
        <v>1</v>
      </c>
      <c r="BB101" s="23">
        <v>0</v>
      </c>
      <c r="BC101" s="23">
        <v>0</v>
      </c>
      <c r="BD101" s="23">
        <v>0</v>
      </c>
      <c r="BE101" s="23">
        <v>1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>$L101*AI101</f>
        <v>1</v>
      </c>
      <c r="BQ101" s="23">
        <f>$L101*AJ101</f>
        <v>1</v>
      </c>
      <c r="BR101" s="23">
        <f>$L101*AK101</f>
        <v>0</v>
      </c>
      <c r="BS101" s="23">
        <f>$L101*AL101</f>
        <v>0</v>
      </c>
      <c r="BT101" s="23">
        <f>$L101*AM101</f>
        <v>1</v>
      </c>
      <c r="BU101" s="23">
        <f>$L101*AN101</f>
        <v>0</v>
      </c>
      <c r="BV101" s="23">
        <f>$L101*AO101</f>
        <v>0</v>
      </c>
      <c r="BW101" s="23">
        <f>$L101*AP101</f>
        <v>0</v>
      </c>
      <c r="BX101" s="23">
        <f>$L101*AQ101</f>
        <v>1</v>
      </c>
      <c r="BY101" s="23">
        <f>$L101*AR101</f>
        <v>0</v>
      </c>
      <c r="BZ101" s="23">
        <f>$L101*AS101</f>
        <v>1</v>
      </c>
      <c r="CA101" s="23">
        <f>$L101*AT101</f>
        <v>0</v>
      </c>
      <c r="CB101" s="23">
        <f>$L101*AU101</f>
        <v>0</v>
      </c>
      <c r="CC101" s="23">
        <f>$L101*AV101</f>
        <v>0</v>
      </c>
      <c r="CD101" s="23">
        <f>$L101*AW101</f>
        <v>1</v>
      </c>
      <c r="CE101" s="23">
        <f>$L101*AX101</f>
        <v>0</v>
      </c>
      <c r="CF101" s="23">
        <f>$L101*AY101</f>
        <v>0</v>
      </c>
      <c r="CG101" s="23">
        <f>$L101*AZ101</f>
        <v>0</v>
      </c>
      <c r="CH101" s="23">
        <f>$L101*BA101</f>
        <v>1</v>
      </c>
      <c r="CI101" s="23">
        <f>$L101*BB101</f>
        <v>0</v>
      </c>
      <c r="CJ101" s="23">
        <f>$L101*BC101</f>
        <v>0</v>
      </c>
      <c r="CK101" s="23">
        <f>$L101*BD101</f>
        <v>0</v>
      </c>
      <c r="CL101" s="23">
        <f>$L101*BE101</f>
        <v>1</v>
      </c>
      <c r="CM101" s="23">
        <f>$L101*BF101</f>
        <v>1</v>
      </c>
      <c r="CN101" s="23">
        <f>$L101*BG101</f>
        <v>0</v>
      </c>
      <c r="CO101" s="23">
        <f>$L101*BH101</f>
        <v>0</v>
      </c>
      <c r="CP101" s="23">
        <f>$L101*BI101</f>
        <v>0</v>
      </c>
      <c r="CQ101" s="23">
        <f>$L101*BJ101</f>
        <v>0</v>
      </c>
      <c r="CR101" s="23">
        <f>$L101*BK101</f>
        <v>0</v>
      </c>
      <c r="CS101" s="23">
        <f>$L101*BL101</f>
        <v>0</v>
      </c>
      <c r="CT101" s="23">
        <f>$L101*BM101</f>
        <v>0</v>
      </c>
      <c r="CU101" s="23">
        <f>$L101*BN101</f>
        <v>0</v>
      </c>
      <c r="CV101" s="23">
        <f>$L101*BO101</f>
        <v>0</v>
      </c>
    </row>
    <row r="102" spans="1:100" ht="13.5" x14ac:dyDescent="0.15">
      <c r="A102" s="15">
        <v>447</v>
      </c>
      <c r="B102" s="27" t="s">
        <v>342</v>
      </c>
      <c r="C102" t="s">
        <v>197</v>
      </c>
      <c r="D102" t="s">
        <v>343</v>
      </c>
      <c r="F102" t="s">
        <v>236</v>
      </c>
      <c r="G102" t="s">
        <v>247</v>
      </c>
      <c r="H102" t="s">
        <v>248</v>
      </c>
      <c r="I102" s="6" t="s">
        <v>130</v>
      </c>
      <c r="J102" s="6">
        <v>0</v>
      </c>
      <c r="L102" s="15">
        <v>1</v>
      </c>
      <c r="N102" s="7">
        <v>46237</v>
      </c>
      <c r="O102" s="7">
        <v>46234</v>
      </c>
      <c r="P102" s="7">
        <v>46237</v>
      </c>
      <c r="S102" s="6" t="s">
        <v>199</v>
      </c>
      <c r="U102" s="6" t="s">
        <v>150</v>
      </c>
      <c r="V102" s="6" t="str">
        <f>TEXT(N102,"YY/MM")</f>
        <v>26/08</v>
      </c>
      <c r="W102">
        <v>21473</v>
      </c>
      <c r="Y102" s="6" t="s">
        <v>203</v>
      </c>
      <c r="Z102" s="6" t="s">
        <v>152</v>
      </c>
      <c r="AE102">
        <v>1282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0</v>
      </c>
      <c r="AP102" s="23">
        <v>1</v>
      </c>
      <c r="AQ102" s="23">
        <v>0</v>
      </c>
      <c r="AR102" s="23">
        <v>0</v>
      </c>
      <c r="AS102" s="23">
        <v>1</v>
      </c>
      <c r="AT102" s="23">
        <v>0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>$L102*AI102</f>
        <v>1</v>
      </c>
      <c r="BQ102" s="23">
        <f>$L102*AJ102</f>
        <v>1</v>
      </c>
      <c r="BR102" s="23">
        <f>$L102*AK102</f>
        <v>0</v>
      </c>
      <c r="BS102" s="23">
        <f>$L102*AL102</f>
        <v>0</v>
      </c>
      <c r="BT102" s="23">
        <f>$L102*AM102</f>
        <v>1</v>
      </c>
      <c r="BU102" s="23">
        <f>$L102*AN102</f>
        <v>0</v>
      </c>
      <c r="BV102" s="23">
        <f>$L102*AO102</f>
        <v>0</v>
      </c>
      <c r="BW102" s="23">
        <f>$L102*AP102</f>
        <v>1</v>
      </c>
      <c r="BX102" s="23">
        <f>$L102*AQ102</f>
        <v>0</v>
      </c>
      <c r="BY102" s="23">
        <f>$L102*AR102</f>
        <v>0</v>
      </c>
      <c r="BZ102" s="23">
        <f>$L102*AS102</f>
        <v>1</v>
      </c>
      <c r="CA102" s="23">
        <f>$L102*AT102</f>
        <v>0</v>
      </c>
      <c r="CB102" s="23">
        <f>$L102*AU102</f>
        <v>1</v>
      </c>
      <c r="CC102" s="23">
        <f>$L102*AV102</f>
        <v>0</v>
      </c>
      <c r="CD102" s="23">
        <f>$L102*AW102</f>
        <v>0</v>
      </c>
      <c r="CE102" s="23">
        <f>$L102*AX102</f>
        <v>1</v>
      </c>
      <c r="CF102" s="23">
        <f>$L102*AY102</f>
        <v>0</v>
      </c>
      <c r="CG102" s="23">
        <f>$L102*AZ102</f>
        <v>0</v>
      </c>
      <c r="CH102" s="23">
        <f>$L102*BA102</f>
        <v>0</v>
      </c>
      <c r="CI102" s="23">
        <f>$L102*BB102</f>
        <v>1</v>
      </c>
      <c r="CJ102" s="23">
        <f>$L102*BC102</f>
        <v>0</v>
      </c>
      <c r="CK102" s="23">
        <f>$L102*BD102</f>
        <v>0</v>
      </c>
      <c r="CL102" s="23">
        <f>$L102*BE102</f>
        <v>0</v>
      </c>
      <c r="CM102" s="23">
        <f>$L102*BF102</f>
        <v>1</v>
      </c>
      <c r="CN102" s="23">
        <f>$L102*BG102</f>
        <v>0</v>
      </c>
      <c r="CO102" s="23">
        <f>$L102*BH102</f>
        <v>0</v>
      </c>
      <c r="CP102" s="23">
        <f>$L102*BI102</f>
        <v>0</v>
      </c>
      <c r="CQ102" s="23">
        <f>$L102*BJ102</f>
        <v>0</v>
      </c>
      <c r="CR102" s="23">
        <f>$L102*BK102</f>
        <v>0</v>
      </c>
      <c r="CS102" s="23">
        <f>$L102*BL102</f>
        <v>0</v>
      </c>
      <c r="CT102" s="23">
        <f>$L102*BM102</f>
        <v>0</v>
      </c>
      <c r="CU102" s="23">
        <f>$L102*BN102</f>
        <v>0</v>
      </c>
      <c r="CV102" s="23">
        <f>$L102*BO102</f>
        <v>0</v>
      </c>
    </row>
    <row r="103" spans="1:100" ht="13.5" x14ac:dyDescent="0.15">
      <c r="A103" s="15">
        <v>449</v>
      </c>
      <c r="B103" s="27" t="s">
        <v>345</v>
      </c>
      <c r="C103" t="s">
        <v>197</v>
      </c>
      <c r="E103" t="s">
        <v>199</v>
      </c>
      <c r="F103" t="s">
        <v>155</v>
      </c>
      <c r="G103" t="s">
        <v>199</v>
      </c>
      <c r="H103" t="s">
        <v>200</v>
      </c>
      <c r="I103" s="6" t="s">
        <v>136</v>
      </c>
      <c r="J103" s="6">
        <v>0</v>
      </c>
      <c r="K103" t="s">
        <v>201</v>
      </c>
      <c r="L103" s="15">
        <v>1</v>
      </c>
      <c r="M103" s="7">
        <v>46226</v>
      </c>
      <c r="N103" s="7">
        <v>46238</v>
      </c>
      <c r="O103" s="7">
        <v>46237</v>
      </c>
      <c r="P103" s="7">
        <v>46237</v>
      </c>
      <c r="S103" s="6" t="s">
        <v>199</v>
      </c>
      <c r="U103" s="6" t="s">
        <v>150</v>
      </c>
      <c r="V103" s="6" t="str">
        <f>TEXT(N103,"YY/MM")</f>
        <v>26/08</v>
      </c>
      <c r="W103">
        <v>21474</v>
      </c>
      <c r="Y103" s="6" t="s">
        <v>203</v>
      </c>
      <c r="Z103" s="6" t="s">
        <v>152</v>
      </c>
      <c r="AE103">
        <v>1283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0</v>
      </c>
      <c r="AP103" s="23">
        <v>1</v>
      </c>
      <c r="AQ103" s="23">
        <v>0</v>
      </c>
      <c r="AR103" s="23">
        <v>0</v>
      </c>
      <c r="AS103" s="23">
        <v>1</v>
      </c>
      <c r="AT103" s="23">
        <v>0</v>
      </c>
      <c r="AU103" s="23">
        <v>1</v>
      </c>
      <c r="AV103" s="23">
        <v>0</v>
      </c>
      <c r="AW103" s="23">
        <v>0</v>
      </c>
      <c r="AX103" s="23">
        <v>1</v>
      </c>
      <c r="AY103" s="23">
        <v>0</v>
      </c>
      <c r="AZ103" s="23">
        <v>0</v>
      </c>
      <c r="BA103" s="23">
        <v>0</v>
      </c>
      <c r="BB103" s="23">
        <v>1</v>
      </c>
      <c r="BC103" s="23">
        <v>0</v>
      </c>
      <c r="BD103" s="23">
        <v>0</v>
      </c>
      <c r="BE103" s="23">
        <v>0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>$L103*AI103</f>
        <v>1</v>
      </c>
      <c r="BQ103" s="23">
        <f>$L103*AJ103</f>
        <v>1</v>
      </c>
      <c r="BR103" s="23">
        <f>$L103*AK103</f>
        <v>0</v>
      </c>
      <c r="BS103" s="23">
        <f>$L103*AL103</f>
        <v>0</v>
      </c>
      <c r="BT103" s="23">
        <f>$L103*AM103</f>
        <v>1</v>
      </c>
      <c r="BU103" s="23">
        <f>$L103*AN103</f>
        <v>0</v>
      </c>
      <c r="BV103" s="23">
        <f>$L103*AO103</f>
        <v>0</v>
      </c>
      <c r="BW103" s="23">
        <f>$L103*AP103</f>
        <v>1</v>
      </c>
      <c r="BX103" s="23">
        <f>$L103*AQ103</f>
        <v>0</v>
      </c>
      <c r="BY103" s="23">
        <f>$L103*AR103</f>
        <v>0</v>
      </c>
      <c r="BZ103" s="23">
        <f>$L103*AS103</f>
        <v>1</v>
      </c>
      <c r="CA103" s="23">
        <f>$L103*AT103</f>
        <v>0</v>
      </c>
      <c r="CB103" s="23">
        <f>$L103*AU103</f>
        <v>1</v>
      </c>
      <c r="CC103" s="23">
        <f>$L103*AV103</f>
        <v>0</v>
      </c>
      <c r="CD103" s="23">
        <f>$L103*AW103</f>
        <v>0</v>
      </c>
      <c r="CE103" s="23">
        <f>$L103*AX103</f>
        <v>1</v>
      </c>
      <c r="CF103" s="23">
        <f>$L103*AY103</f>
        <v>0</v>
      </c>
      <c r="CG103" s="23">
        <f>$L103*AZ103</f>
        <v>0</v>
      </c>
      <c r="CH103" s="23">
        <f>$L103*BA103</f>
        <v>0</v>
      </c>
      <c r="CI103" s="23">
        <f>$L103*BB103</f>
        <v>1</v>
      </c>
      <c r="CJ103" s="23">
        <f>$L103*BC103</f>
        <v>0</v>
      </c>
      <c r="CK103" s="23">
        <f>$L103*BD103</f>
        <v>0</v>
      </c>
      <c r="CL103" s="23">
        <f>$L103*BE103</f>
        <v>0</v>
      </c>
      <c r="CM103" s="23">
        <f>$L103*BF103</f>
        <v>1</v>
      </c>
      <c r="CN103" s="23">
        <f>$L103*BG103</f>
        <v>0</v>
      </c>
      <c r="CO103" s="23">
        <f>$L103*BH103</f>
        <v>0</v>
      </c>
      <c r="CP103" s="23">
        <f>$L103*BI103</f>
        <v>0</v>
      </c>
      <c r="CQ103" s="23">
        <f>$L103*BJ103</f>
        <v>0</v>
      </c>
      <c r="CR103" s="23">
        <f>$L103*BK103</f>
        <v>0</v>
      </c>
      <c r="CS103" s="23">
        <f>$L103*BL103</f>
        <v>0</v>
      </c>
      <c r="CT103" s="23">
        <f>$L103*BM103</f>
        <v>0</v>
      </c>
      <c r="CU103" s="23">
        <f>$L103*BN103</f>
        <v>0</v>
      </c>
      <c r="CV103" s="23">
        <f>$L103*BO103</f>
        <v>0</v>
      </c>
    </row>
    <row r="104" spans="1:100" ht="13.5" x14ac:dyDescent="0.15">
      <c r="A104" s="15">
        <v>450</v>
      </c>
      <c r="B104" s="27" t="s">
        <v>346</v>
      </c>
      <c r="C104" t="s">
        <v>197</v>
      </c>
      <c r="E104" t="s">
        <v>199</v>
      </c>
      <c r="F104" t="s">
        <v>155</v>
      </c>
      <c r="G104" t="s">
        <v>199</v>
      </c>
      <c r="H104" t="s">
        <v>200</v>
      </c>
      <c r="I104" s="6" t="s">
        <v>136</v>
      </c>
      <c r="J104" s="6">
        <v>0</v>
      </c>
      <c r="K104" t="s">
        <v>201</v>
      </c>
      <c r="L104" s="15">
        <v>1</v>
      </c>
      <c r="M104" s="7">
        <v>46226</v>
      </c>
      <c r="N104" s="7">
        <v>46238</v>
      </c>
      <c r="O104" s="7">
        <v>46237</v>
      </c>
      <c r="P104" s="7">
        <v>46237</v>
      </c>
      <c r="S104" s="6" t="s">
        <v>199</v>
      </c>
      <c r="U104" s="6" t="s">
        <v>150</v>
      </c>
      <c r="V104" s="6" t="str">
        <f>TEXT(N104,"YY/MM")</f>
        <v>26/08</v>
      </c>
      <c r="W104">
        <v>21475</v>
      </c>
      <c r="Y104" s="6" t="s">
        <v>203</v>
      </c>
      <c r="Z104" s="6" t="s">
        <v>152</v>
      </c>
      <c r="AE104">
        <v>1284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0</v>
      </c>
      <c r="AP104" s="23">
        <v>1</v>
      </c>
      <c r="AQ104" s="23">
        <v>0</v>
      </c>
      <c r="AR104" s="23">
        <v>0</v>
      </c>
      <c r="AS104" s="23">
        <v>1</v>
      </c>
      <c r="AT104" s="23">
        <v>0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>$L104*AI104</f>
        <v>1</v>
      </c>
      <c r="BQ104" s="23">
        <f>$L104*AJ104</f>
        <v>1</v>
      </c>
      <c r="BR104" s="23">
        <f>$L104*AK104</f>
        <v>0</v>
      </c>
      <c r="BS104" s="23">
        <f>$L104*AL104</f>
        <v>0</v>
      </c>
      <c r="BT104" s="23">
        <f>$L104*AM104</f>
        <v>1</v>
      </c>
      <c r="BU104" s="23">
        <f>$L104*AN104</f>
        <v>0</v>
      </c>
      <c r="BV104" s="23">
        <f>$L104*AO104</f>
        <v>0</v>
      </c>
      <c r="BW104" s="23">
        <f>$L104*AP104</f>
        <v>1</v>
      </c>
      <c r="BX104" s="23">
        <f>$L104*AQ104</f>
        <v>0</v>
      </c>
      <c r="BY104" s="23">
        <f>$L104*AR104</f>
        <v>0</v>
      </c>
      <c r="BZ104" s="23">
        <f>$L104*AS104</f>
        <v>1</v>
      </c>
      <c r="CA104" s="23">
        <f>$L104*AT104</f>
        <v>0</v>
      </c>
      <c r="CB104" s="23">
        <f>$L104*AU104</f>
        <v>1</v>
      </c>
      <c r="CC104" s="23">
        <f>$L104*AV104</f>
        <v>0</v>
      </c>
      <c r="CD104" s="23">
        <f>$L104*AW104</f>
        <v>0</v>
      </c>
      <c r="CE104" s="23">
        <f>$L104*AX104</f>
        <v>1</v>
      </c>
      <c r="CF104" s="23">
        <f>$L104*AY104</f>
        <v>0</v>
      </c>
      <c r="CG104" s="23">
        <f>$L104*AZ104</f>
        <v>0</v>
      </c>
      <c r="CH104" s="23">
        <f>$L104*BA104</f>
        <v>0</v>
      </c>
      <c r="CI104" s="23">
        <f>$L104*BB104</f>
        <v>1</v>
      </c>
      <c r="CJ104" s="23">
        <f>$L104*BC104</f>
        <v>0</v>
      </c>
      <c r="CK104" s="23">
        <f>$L104*BD104</f>
        <v>0</v>
      </c>
      <c r="CL104" s="23">
        <f>$L104*BE104</f>
        <v>0</v>
      </c>
      <c r="CM104" s="23">
        <f>$L104*BF104</f>
        <v>1</v>
      </c>
      <c r="CN104" s="23">
        <f>$L104*BG104</f>
        <v>0</v>
      </c>
      <c r="CO104" s="23">
        <f>$L104*BH104</f>
        <v>0</v>
      </c>
      <c r="CP104" s="23">
        <f>$L104*BI104</f>
        <v>0</v>
      </c>
      <c r="CQ104" s="23">
        <f>$L104*BJ104</f>
        <v>0</v>
      </c>
      <c r="CR104" s="23">
        <f>$L104*BK104</f>
        <v>0</v>
      </c>
      <c r="CS104" s="23">
        <f>$L104*BL104</f>
        <v>0</v>
      </c>
      <c r="CT104" s="23">
        <f>$L104*BM104</f>
        <v>0</v>
      </c>
      <c r="CU104" s="23">
        <f>$L104*BN104</f>
        <v>0</v>
      </c>
      <c r="CV104" s="23">
        <f>$L104*BO104</f>
        <v>0</v>
      </c>
    </row>
    <row r="105" spans="1:100" ht="13.5" x14ac:dyDescent="0.15">
      <c r="A105" s="15">
        <v>452</v>
      </c>
      <c r="B105" s="27" t="s">
        <v>348</v>
      </c>
      <c r="C105" t="s">
        <v>197</v>
      </c>
      <c r="E105" t="s">
        <v>199</v>
      </c>
      <c r="F105" t="s">
        <v>155</v>
      </c>
      <c r="G105" t="s">
        <v>199</v>
      </c>
      <c r="H105" t="s">
        <v>200</v>
      </c>
      <c r="I105" s="6" t="s">
        <v>136</v>
      </c>
      <c r="J105" s="6">
        <v>0</v>
      </c>
      <c r="K105" t="s">
        <v>201</v>
      </c>
      <c r="L105" s="15">
        <v>1</v>
      </c>
      <c r="M105" s="7">
        <v>46226</v>
      </c>
      <c r="N105" s="7">
        <v>46238</v>
      </c>
      <c r="O105" s="7">
        <v>46237</v>
      </c>
      <c r="P105" s="7">
        <v>46237</v>
      </c>
      <c r="S105" s="6" t="s">
        <v>199</v>
      </c>
      <c r="U105" s="6" t="s">
        <v>150</v>
      </c>
      <c r="V105" s="6" t="str">
        <f>TEXT(N105,"YY/MM")</f>
        <v>26/08</v>
      </c>
      <c r="W105">
        <v>21476</v>
      </c>
      <c r="Y105" s="6" t="s">
        <v>203</v>
      </c>
      <c r="Z105" s="6" t="s">
        <v>152</v>
      </c>
      <c r="AE105">
        <v>1285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0</v>
      </c>
      <c r="AP105" s="23">
        <v>1</v>
      </c>
      <c r="AQ105" s="23">
        <v>0</v>
      </c>
      <c r="AR105" s="23">
        <v>0</v>
      </c>
      <c r="AS105" s="23">
        <v>1</v>
      </c>
      <c r="AT105" s="23">
        <v>0</v>
      </c>
      <c r="AU105" s="23">
        <v>1</v>
      </c>
      <c r="AV105" s="23">
        <v>0</v>
      </c>
      <c r="AW105" s="23">
        <v>0</v>
      </c>
      <c r="AX105" s="23">
        <v>1</v>
      </c>
      <c r="AY105" s="23">
        <v>0</v>
      </c>
      <c r="AZ105" s="23">
        <v>0</v>
      </c>
      <c r="BA105" s="23">
        <v>0</v>
      </c>
      <c r="BB105" s="23">
        <v>1</v>
      </c>
      <c r="BC105" s="23">
        <v>0</v>
      </c>
      <c r="BD105" s="23">
        <v>0</v>
      </c>
      <c r="BE105" s="23">
        <v>0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>$L105*AI105</f>
        <v>1</v>
      </c>
      <c r="BQ105" s="23">
        <f>$L105*AJ105</f>
        <v>1</v>
      </c>
      <c r="BR105" s="23">
        <f>$L105*AK105</f>
        <v>0</v>
      </c>
      <c r="BS105" s="23">
        <f>$L105*AL105</f>
        <v>0</v>
      </c>
      <c r="BT105" s="23">
        <f>$L105*AM105</f>
        <v>1</v>
      </c>
      <c r="BU105" s="23">
        <f>$L105*AN105</f>
        <v>0</v>
      </c>
      <c r="BV105" s="23">
        <f>$L105*AO105</f>
        <v>0</v>
      </c>
      <c r="BW105" s="23">
        <f>$L105*AP105</f>
        <v>1</v>
      </c>
      <c r="BX105" s="23">
        <f>$L105*AQ105</f>
        <v>0</v>
      </c>
      <c r="BY105" s="23">
        <f>$L105*AR105</f>
        <v>0</v>
      </c>
      <c r="BZ105" s="23">
        <f>$L105*AS105</f>
        <v>1</v>
      </c>
      <c r="CA105" s="23">
        <f>$L105*AT105</f>
        <v>0</v>
      </c>
      <c r="CB105" s="23">
        <f>$L105*AU105</f>
        <v>1</v>
      </c>
      <c r="CC105" s="23">
        <f>$L105*AV105</f>
        <v>0</v>
      </c>
      <c r="CD105" s="23">
        <f>$L105*AW105</f>
        <v>0</v>
      </c>
      <c r="CE105" s="23">
        <f>$L105*AX105</f>
        <v>1</v>
      </c>
      <c r="CF105" s="23">
        <f>$L105*AY105</f>
        <v>0</v>
      </c>
      <c r="CG105" s="23">
        <f>$L105*AZ105</f>
        <v>0</v>
      </c>
      <c r="CH105" s="23">
        <f>$L105*BA105</f>
        <v>0</v>
      </c>
      <c r="CI105" s="23">
        <f>$L105*BB105</f>
        <v>1</v>
      </c>
      <c r="CJ105" s="23">
        <f>$L105*BC105</f>
        <v>0</v>
      </c>
      <c r="CK105" s="23">
        <f>$L105*BD105</f>
        <v>0</v>
      </c>
      <c r="CL105" s="23">
        <f>$L105*BE105</f>
        <v>0</v>
      </c>
      <c r="CM105" s="23">
        <f>$L105*BF105</f>
        <v>1</v>
      </c>
      <c r="CN105" s="23">
        <f>$L105*BG105</f>
        <v>0</v>
      </c>
      <c r="CO105" s="23">
        <f>$L105*BH105</f>
        <v>0</v>
      </c>
      <c r="CP105" s="23">
        <f>$L105*BI105</f>
        <v>0</v>
      </c>
      <c r="CQ105" s="23">
        <f>$L105*BJ105</f>
        <v>0</v>
      </c>
      <c r="CR105" s="23">
        <f>$L105*BK105</f>
        <v>0</v>
      </c>
      <c r="CS105" s="23">
        <f>$L105*BL105</f>
        <v>0</v>
      </c>
      <c r="CT105" s="23">
        <f>$L105*BM105</f>
        <v>0</v>
      </c>
      <c r="CU105" s="23">
        <f>$L105*BN105</f>
        <v>0</v>
      </c>
      <c r="CV105" s="23">
        <f>$L105*BO105</f>
        <v>0</v>
      </c>
    </row>
    <row r="106" spans="1:100" ht="13.5" x14ac:dyDescent="0.15">
      <c r="A106" s="15">
        <v>451</v>
      </c>
      <c r="B106" s="27" t="s">
        <v>347</v>
      </c>
      <c r="C106" t="s">
        <v>197</v>
      </c>
      <c r="E106" t="s">
        <v>199</v>
      </c>
      <c r="F106" t="s">
        <v>155</v>
      </c>
      <c r="G106" t="s">
        <v>199</v>
      </c>
      <c r="H106" t="s">
        <v>200</v>
      </c>
      <c r="I106" s="6" t="s">
        <v>136</v>
      </c>
      <c r="J106" s="6">
        <v>0</v>
      </c>
      <c r="K106" t="s">
        <v>201</v>
      </c>
      <c r="L106" s="15">
        <v>1</v>
      </c>
      <c r="M106" s="7">
        <v>46226</v>
      </c>
      <c r="N106" s="7">
        <v>46238</v>
      </c>
      <c r="O106" s="7">
        <v>46237</v>
      </c>
      <c r="P106" s="7">
        <v>46237</v>
      </c>
      <c r="S106" s="6" t="s">
        <v>199</v>
      </c>
      <c r="U106" s="6" t="s">
        <v>150</v>
      </c>
      <c r="V106" s="6" t="str">
        <f>TEXT(N106,"YY/MM")</f>
        <v>26/08</v>
      </c>
      <c r="W106">
        <v>21477</v>
      </c>
      <c r="Y106" s="6" t="s">
        <v>203</v>
      </c>
      <c r="Z106" s="6" t="s">
        <v>152</v>
      </c>
      <c r="AE106">
        <v>1286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0</v>
      </c>
      <c r="AP106" s="23">
        <v>1</v>
      </c>
      <c r="AQ106" s="23">
        <v>0</v>
      </c>
      <c r="AR106" s="23">
        <v>0</v>
      </c>
      <c r="AS106" s="23">
        <v>1</v>
      </c>
      <c r="AT106" s="23">
        <v>0</v>
      </c>
      <c r="AU106" s="23">
        <v>1</v>
      </c>
      <c r="AV106" s="23">
        <v>0</v>
      </c>
      <c r="AW106" s="23">
        <v>0</v>
      </c>
      <c r="AX106" s="23">
        <v>1</v>
      </c>
      <c r="AY106" s="23">
        <v>0</v>
      </c>
      <c r="AZ106" s="23">
        <v>0</v>
      </c>
      <c r="BA106" s="23">
        <v>0</v>
      </c>
      <c r="BB106" s="23">
        <v>1</v>
      </c>
      <c r="BC106" s="23">
        <v>0</v>
      </c>
      <c r="BD106" s="23">
        <v>0</v>
      </c>
      <c r="BE106" s="23">
        <v>0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>$L106*AI106</f>
        <v>1</v>
      </c>
      <c r="BQ106" s="23">
        <f>$L106*AJ106</f>
        <v>1</v>
      </c>
      <c r="BR106" s="23">
        <f>$L106*AK106</f>
        <v>0</v>
      </c>
      <c r="BS106" s="23">
        <f>$L106*AL106</f>
        <v>0</v>
      </c>
      <c r="BT106" s="23">
        <f>$L106*AM106</f>
        <v>1</v>
      </c>
      <c r="BU106" s="23">
        <f>$L106*AN106</f>
        <v>0</v>
      </c>
      <c r="BV106" s="23">
        <f>$L106*AO106</f>
        <v>0</v>
      </c>
      <c r="BW106" s="23">
        <f>$L106*AP106</f>
        <v>1</v>
      </c>
      <c r="BX106" s="23">
        <f>$L106*AQ106</f>
        <v>0</v>
      </c>
      <c r="BY106" s="23">
        <f>$L106*AR106</f>
        <v>0</v>
      </c>
      <c r="BZ106" s="23">
        <f>$L106*AS106</f>
        <v>1</v>
      </c>
      <c r="CA106" s="23">
        <f>$L106*AT106</f>
        <v>0</v>
      </c>
      <c r="CB106" s="23">
        <f>$L106*AU106</f>
        <v>1</v>
      </c>
      <c r="CC106" s="23">
        <f>$L106*AV106</f>
        <v>0</v>
      </c>
      <c r="CD106" s="23">
        <f>$L106*AW106</f>
        <v>0</v>
      </c>
      <c r="CE106" s="23">
        <f>$L106*AX106</f>
        <v>1</v>
      </c>
      <c r="CF106" s="23">
        <f>$L106*AY106</f>
        <v>0</v>
      </c>
      <c r="CG106" s="23">
        <f>$L106*AZ106</f>
        <v>0</v>
      </c>
      <c r="CH106" s="23">
        <f>$L106*BA106</f>
        <v>0</v>
      </c>
      <c r="CI106" s="23">
        <f>$L106*BB106</f>
        <v>1</v>
      </c>
      <c r="CJ106" s="23">
        <f>$L106*BC106</f>
        <v>0</v>
      </c>
      <c r="CK106" s="23">
        <f>$L106*BD106</f>
        <v>0</v>
      </c>
      <c r="CL106" s="23">
        <f>$L106*BE106</f>
        <v>0</v>
      </c>
      <c r="CM106" s="23">
        <f>$L106*BF106</f>
        <v>1</v>
      </c>
      <c r="CN106" s="23">
        <f>$L106*BG106</f>
        <v>0</v>
      </c>
      <c r="CO106" s="23">
        <f>$L106*BH106</f>
        <v>0</v>
      </c>
      <c r="CP106" s="23">
        <f>$L106*BI106</f>
        <v>0</v>
      </c>
      <c r="CQ106" s="23">
        <f>$L106*BJ106</f>
        <v>0</v>
      </c>
      <c r="CR106" s="23">
        <f>$L106*BK106</f>
        <v>0</v>
      </c>
      <c r="CS106" s="23">
        <f>$L106*BL106</f>
        <v>0</v>
      </c>
      <c r="CT106" s="23">
        <f>$L106*BM106</f>
        <v>0</v>
      </c>
      <c r="CU106" s="23">
        <f>$L106*BN106</f>
        <v>0</v>
      </c>
      <c r="CV106" s="23">
        <f>$L106*BO106</f>
        <v>0</v>
      </c>
    </row>
    <row r="107" spans="1:100" ht="13.5" x14ac:dyDescent="0.15">
      <c r="A107" s="15">
        <v>448</v>
      </c>
      <c r="B107" s="27" t="s">
        <v>344</v>
      </c>
      <c r="C107" t="s">
        <v>197</v>
      </c>
      <c r="E107" t="s">
        <v>199</v>
      </c>
      <c r="F107" t="s">
        <v>155</v>
      </c>
      <c r="G107" t="s">
        <v>199</v>
      </c>
      <c r="H107" t="s">
        <v>200</v>
      </c>
      <c r="I107" s="6" t="s">
        <v>136</v>
      </c>
      <c r="J107" s="6">
        <v>0</v>
      </c>
      <c r="K107" t="s">
        <v>201</v>
      </c>
      <c r="L107" s="15">
        <v>1</v>
      </c>
      <c r="M107" s="7">
        <v>46226</v>
      </c>
      <c r="N107" s="7">
        <v>46238</v>
      </c>
      <c r="O107" s="7">
        <v>46237</v>
      </c>
      <c r="P107" s="7">
        <v>46237</v>
      </c>
      <c r="S107" s="6" t="s">
        <v>199</v>
      </c>
      <c r="U107" s="6" t="s">
        <v>150</v>
      </c>
      <c r="V107" s="6" t="str">
        <f>TEXT(N107,"YY/MM")</f>
        <v>26/08</v>
      </c>
      <c r="W107">
        <v>21478</v>
      </c>
      <c r="Y107" s="6" t="s">
        <v>203</v>
      </c>
      <c r="Z107" s="6" t="s">
        <v>152</v>
      </c>
      <c r="AE107">
        <v>1287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0</v>
      </c>
      <c r="AP107" s="23">
        <v>1</v>
      </c>
      <c r="AQ107" s="23">
        <v>0</v>
      </c>
      <c r="AR107" s="23">
        <v>0</v>
      </c>
      <c r="AS107" s="23">
        <v>1</v>
      </c>
      <c r="AT107" s="23">
        <v>0</v>
      </c>
      <c r="AU107" s="23">
        <v>1</v>
      </c>
      <c r="AV107" s="23">
        <v>0</v>
      </c>
      <c r="AW107" s="23">
        <v>0</v>
      </c>
      <c r="AX107" s="23">
        <v>1</v>
      </c>
      <c r="AY107" s="23">
        <v>0</v>
      </c>
      <c r="AZ107" s="23">
        <v>0</v>
      </c>
      <c r="BA107" s="23">
        <v>0</v>
      </c>
      <c r="BB107" s="23">
        <v>1</v>
      </c>
      <c r="BC107" s="23">
        <v>0</v>
      </c>
      <c r="BD107" s="23">
        <v>0</v>
      </c>
      <c r="BE107" s="23">
        <v>0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>$L107*AI107</f>
        <v>1</v>
      </c>
      <c r="BQ107" s="23">
        <f>$L107*AJ107</f>
        <v>1</v>
      </c>
      <c r="BR107" s="23">
        <f>$L107*AK107</f>
        <v>0</v>
      </c>
      <c r="BS107" s="23">
        <f>$L107*AL107</f>
        <v>0</v>
      </c>
      <c r="BT107" s="23">
        <f>$L107*AM107</f>
        <v>1</v>
      </c>
      <c r="BU107" s="23">
        <f>$L107*AN107</f>
        <v>0</v>
      </c>
      <c r="BV107" s="23">
        <f>$L107*AO107</f>
        <v>0</v>
      </c>
      <c r="BW107" s="23">
        <f>$L107*AP107</f>
        <v>1</v>
      </c>
      <c r="BX107" s="23">
        <f>$L107*AQ107</f>
        <v>0</v>
      </c>
      <c r="BY107" s="23">
        <f>$L107*AR107</f>
        <v>0</v>
      </c>
      <c r="BZ107" s="23">
        <f>$L107*AS107</f>
        <v>1</v>
      </c>
      <c r="CA107" s="23">
        <f>$L107*AT107</f>
        <v>0</v>
      </c>
      <c r="CB107" s="23">
        <f>$L107*AU107</f>
        <v>1</v>
      </c>
      <c r="CC107" s="23">
        <f>$L107*AV107</f>
        <v>0</v>
      </c>
      <c r="CD107" s="23">
        <f>$L107*AW107</f>
        <v>0</v>
      </c>
      <c r="CE107" s="23">
        <f>$L107*AX107</f>
        <v>1</v>
      </c>
      <c r="CF107" s="23">
        <f>$L107*AY107</f>
        <v>0</v>
      </c>
      <c r="CG107" s="23">
        <f>$L107*AZ107</f>
        <v>0</v>
      </c>
      <c r="CH107" s="23">
        <f>$L107*BA107</f>
        <v>0</v>
      </c>
      <c r="CI107" s="23">
        <f>$L107*BB107</f>
        <v>1</v>
      </c>
      <c r="CJ107" s="23">
        <f>$L107*BC107</f>
        <v>0</v>
      </c>
      <c r="CK107" s="23">
        <f>$L107*BD107</f>
        <v>0</v>
      </c>
      <c r="CL107" s="23">
        <f>$L107*BE107</f>
        <v>0</v>
      </c>
      <c r="CM107" s="23">
        <f>$L107*BF107</f>
        <v>1</v>
      </c>
      <c r="CN107" s="23">
        <f>$L107*BG107</f>
        <v>0</v>
      </c>
      <c r="CO107" s="23">
        <f>$L107*BH107</f>
        <v>0</v>
      </c>
      <c r="CP107" s="23">
        <f>$L107*BI107</f>
        <v>0</v>
      </c>
      <c r="CQ107" s="23">
        <f>$L107*BJ107</f>
        <v>0</v>
      </c>
      <c r="CR107" s="23">
        <f>$L107*BK107</f>
        <v>0</v>
      </c>
      <c r="CS107" s="23">
        <f>$L107*BL107</f>
        <v>0</v>
      </c>
      <c r="CT107" s="23">
        <f>$L107*BM107</f>
        <v>0</v>
      </c>
      <c r="CU107" s="23">
        <f>$L107*BN107</f>
        <v>0</v>
      </c>
      <c r="CV107" s="23">
        <f>$L107*BO107</f>
        <v>0</v>
      </c>
    </row>
    <row r="108" spans="1:100" ht="13.5" x14ac:dyDescent="0.15">
      <c r="A108" s="15">
        <v>455</v>
      </c>
      <c r="B108" s="27" t="s">
        <v>352</v>
      </c>
      <c r="C108" t="s">
        <v>153</v>
      </c>
      <c r="E108" t="s">
        <v>350</v>
      </c>
      <c r="F108" t="s">
        <v>155</v>
      </c>
      <c r="G108" t="s">
        <v>350</v>
      </c>
      <c r="H108" t="s">
        <v>351</v>
      </c>
      <c r="I108" s="6" t="s">
        <v>136</v>
      </c>
      <c r="J108" s="6">
        <v>1</v>
      </c>
      <c r="L108" s="15">
        <v>1</v>
      </c>
      <c r="M108" s="7">
        <v>46226</v>
      </c>
      <c r="N108" s="7">
        <v>46238</v>
      </c>
      <c r="O108" s="7">
        <v>46237</v>
      </c>
      <c r="P108" s="7">
        <v>46237</v>
      </c>
      <c r="S108" s="6" t="s">
        <v>350</v>
      </c>
      <c r="U108" s="6" t="s">
        <v>150</v>
      </c>
      <c r="V108" s="6" t="str">
        <f>TEXT(N108,"YY/MM")</f>
        <v>26/08</v>
      </c>
      <c r="W108">
        <v>21479</v>
      </c>
      <c r="Y108" s="6" t="s">
        <v>157</v>
      </c>
      <c r="Z108" s="6" t="s">
        <v>158</v>
      </c>
      <c r="AA108">
        <v>3268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1</v>
      </c>
      <c r="AP108" s="23">
        <v>0</v>
      </c>
      <c r="AQ108" s="23">
        <v>0</v>
      </c>
      <c r="AR108" s="23">
        <v>0</v>
      </c>
      <c r="AS108" s="23">
        <v>1</v>
      </c>
      <c r="AT108" s="23">
        <v>0</v>
      </c>
      <c r="AU108" s="23">
        <v>1</v>
      </c>
      <c r="AV108" s="23">
        <v>0</v>
      </c>
      <c r="AW108" s="23">
        <v>0</v>
      </c>
      <c r="AX108" s="23">
        <v>1</v>
      </c>
      <c r="AY108" s="23">
        <v>0</v>
      </c>
      <c r="AZ108" s="23">
        <v>0</v>
      </c>
      <c r="BA108" s="23">
        <v>0</v>
      </c>
      <c r="BB108" s="23">
        <v>1</v>
      </c>
      <c r="BC108" s="23">
        <v>0</v>
      </c>
      <c r="BD108" s="23">
        <v>0</v>
      </c>
      <c r="BE108" s="23">
        <v>0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>$L108*AI108</f>
        <v>1</v>
      </c>
      <c r="BQ108" s="23">
        <f>$L108*AJ108</f>
        <v>1</v>
      </c>
      <c r="BR108" s="23">
        <f>$L108*AK108</f>
        <v>0</v>
      </c>
      <c r="BS108" s="23">
        <f>$L108*AL108</f>
        <v>0</v>
      </c>
      <c r="BT108" s="23">
        <f>$L108*AM108</f>
        <v>1</v>
      </c>
      <c r="BU108" s="23">
        <f>$L108*AN108</f>
        <v>0</v>
      </c>
      <c r="BV108" s="23">
        <f>$L108*AO108</f>
        <v>1</v>
      </c>
      <c r="BW108" s="23">
        <f>$L108*AP108</f>
        <v>0</v>
      </c>
      <c r="BX108" s="23">
        <f>$L108*AQ108</f>
        <v>0</v>
      </c>
      <c r="BY108" s="23">
        <f>$L108*AR108</f>
        <v>0</v>
      </c>
      <c r="BZ108" s="23">
        <f>$L108*AS108</f>
        <v>1</v>
      </c>
      <c r="CA108" s="23">
        <f>$L108*AT108</f>
        <v>0</v>
      </c>
      <c r="CB108" s="23">
        <f>$L108*AU108</f>
        <v>1</v>
      </c>
      <c r="CC108" s="23">
        <f>$L108*AV108</f>
        <v>0</v>
      </c>
      <c r="CD108" s="23">
        <f>$L108*AW108</f>
        <v>0</v>
      </c>
      <c r="CE108" s="23">
        <f>$L108*AX108</f>
        <v>1</v>
      </c>
      <c r="CF108" s="23">
        <f>$L108*AY108</f>
        <v>0</v>
      </c>
      <c r="CG108" s="23">
        <f>$L108*AZ108</f>
        <v>0</v>
      </c>
      <c r="CH108" s="23">
        <f>$L108*BA108</f>
        <v>0</v>
      </c>
      <c r="CI108" s="23">
        <f>$L108*BB108</f>
        <v>1</v>
      </c>
      <c r="CJ108" s="23">
        <f>$L108*BC108</f>
        <v>0</v>
      </c>
      <c r="CK108" s="23">
        <f>$L108*BD108</f>
        <v>0</v>
      </c>
      <c r="CL108" s="23">
        <f>$L108*BE108</f>
        <v>0</v>
      </c>
      <c r="CM108" s="23">
        <f>$L108*BF108</f>
        <v>1</v>
      </c>
      <c r="CN108" s="23">
        <f>$L108*BG108</f>
        <v>0</v>
      </c>
      <c r="CO108" s="23">
        <f>$L108*BH108</f>
        <v>0</v>
      </c>
      <c r="CP108" s="23">
        <f>$L108*BI108</f>
        <v>0</v>
      </c>
      <c r="CQ108" s="23">
        <f>$L108*BJ108</f>
        <v>0</v>
      </c>
      <c r="CR108" s="23">
        <f>$L108*BK108</f>
        <v>0</v>
      </c>
      <c r="CS108" s="23">
        <f>$L108*BL108</f>
        <v>0</v>
      </c>
      <c r="CT108" s="23">
        <f>$L108*BM108</f>
        <v>0</v>
      </c>
      <c r="CU108" s="23">
        <f>$L108*BN108</f>
        <v>0</v>
      </c>
      <c r="CV108" s="23">
        <f>$L108*BO108</f>
        <v>0</v>
      </c>
    </row>
    <row r="109" spans="1:100" ht="13.5" x14ac:dyDescent="0.15">
      <c r="A109" s="15">
        <v>454</v>
      </c>
      <c r="B109" s="27" t="s">
        <v>349</v>
      </c>
      <c r="C109" t="s">
        <v>153</v>
      </c>
      <c r="E109" t="s">
        <v>350</v>
      </c>
      <c r="F109" t="s">
        <v>155</v>
      </c>
      <c r="G109" t="s">
        <v>350</v>
      </c>
      <c r="H109" t="s">
        <v>351</v>
      </c>
      <c r="I109" s="6" t="s">
        <v>136</v>
      </c>
      <c r="J109" s="6">
        <v>1</v>
      </c>
      <c r="L109" s="15">
        <v>1</v>
      </c>
      <c r="M109" s="7">
        <v>46226</v>
      </c>
      <c r="N109" s="7">
        <v>46238</v>
      </c>
      <c r="O109" s="7">
        <v>46237</v>
      </c>
      <c r="P109" s="7">
        <v>46237</v>
      </c>
      <c r="S109" s="6" t="s">
        <v>350</v>
      </c>
      <c r="U109" s="6" t="s">
        <v>150</v>
      </c>
      <c r="V109" s="6" t="str">
        <f>TEXT(N109,"YY/MM")</f>
        <v>26/08</v>
      </c>
      <c r="W109">
        <v>21480</v>
      </c>
      <c r="Y109" s="6" t="s">
        <v>157</v>
      </c>
      <c r="Z109" s="6" t="s">
        <v>158</v>
      </c>
      <c r="AA109">
        <v>3269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1</v>
      </c>
      <c r="AP109" s="23">
        <v>0</v>
      </c>
      <c r="AQ109" s="23">
        <v>0</v>
      </c>
      <c r="AR109" s="23">
        <v>0</v>
      </c>
      <c r="AS109" s="23">
        <v>1</v>
      </c>
      <c r="AT109" s="23">
        <v>0</v>
      </c>
      <c r="AU109" s="23">
        <v>1</v>
      </c>
      <c r="AV109" s="23">
        <v>0</v>
      </c>
      <c r="AW109" s="23">
        <v>0</v>
      </c>
      <c r="AX109" s="23">
        <v>1</v>
      </c>
      <c r="AY109" s="23">
        <v>0</v>
      </c>
      <c r="AZ109" s="23">
        <v>0</v>
      </c>
      <c r="BA109" s="23">
        <v>0</v>
      </c>
      <c r="BB109" s="23">
        <v>1</v>
      </c>
      <c r="BC109" s="23">
        <v>0</v>
      </c>
      <c r="BD109" s="23">
        <v>0</v>
      </c>
      <c r="BE109" s="23">
        <v>0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>$L109*AI109</f>
        <v>1</v>
      </c>
      <c r="BQ109" s="23">
        <f>$L109*AJ109</f>
        <v>1</v>
      </c>
      <c r="BR109" s="23">
        <f>$L109*AK109</f>
        <v>0</v>
      </c>
      <c r="BS109" s="23">
        <f>$L109*AL109</f>
        <v>0</v>
      </c>
      <c r="BT109" s="23">
        <f>$L109*AM109</f>
        <v>1</v>
      </c>
      <c r="BU109" s="23">
        <f>$L109*AN109</f>
        <v>0</v>
      </c>
      <c r="BV109" s="23">
        <f>$L109*AO109</f>
        <v>1</v>
      </c>
      <c r="BW109" s="23">
        <f>$L109*AP109</f>
        <v>0</v>
      </c>
      <c r="BX109" s="23">
        <f>$L109*AQ109</f>
        <v>0</v>
      </c>
      <c r="BY109" s="23">
        <f>$L109*AR109</f>
        <v>0</v>
      </c>
      <c r="BZ109" s="23">
        <f>$L109*AS109</f>
        <v>1</v>
      </c>
      <c r="CA109" s="23">
        <f>$L109*AT109</f>
        <v>0</v>
      </c>
      <c r="CB109" s="23">
        <f>$L109*AU109</f>
        <v>1</v>
      </c>
      <c r="CC109" s="23">
        <f>$L109*AV109</f>
        <v>0</v>
      </c>
      <c r="CD109" s="23">
        <f>$L109*AW109</f>
        <v>0</v>
      </c>
      <c r="CE109" s="23">
        <f>$L109*AX109</f>
        <v>1</v>
      </c>
      <c r="CF109" s="23">
        <f>$L109*AY109</f>
        <v>0</v>
      </c>
      <c r="CG109" s="23">
        <f>$L109*AZ109</f>
        <v>0</v>
      </c>
      <c r="CH109" s="23">
        <f>$L109*BA109</f>
        <v>0</v>
      </c>
      <c r="CI109" s="23">
        <f>$L109*BB109</f>
        <v>1</v>
      </c>
      <c r="CJ109" s="23">
        <f>$L109*BC109</f>
        <v>0</v>
      </c>
      <c r="CK109" s="23">
        <f>$L109*BD109</f>
        <v>0</v>
      </c>
      <c r="CL109" s="23">
        <f>$L109*BE109</f>
        <v>0</v>
      </c>
      <c r="CM109" s="23">
        <f>$L109*BF109</f>
        <v>1</v>
      </c>
      <c r="CN109" s="23">
        <f>$L109*BG109</f>
        <v>0</v>
      </c>
      <c r="CO109" s="23">
        <f>$L109*BH109</f>
        <v>0</v>
      </c>
      <c r="CP109" s="23">
        <f>$L109*BI109</f>
        <v>0</v>
      </c>
      <c r="CQ109" s="23">
        <f>$L109*BJ109</f>
        <v>0</v>
      </c>
      <c r="CR109" s="23">
        <f>$L109*BK109</f>
        <v>0</v>
      </c>
      <c r="CS109" s="23">
        <f>$L109*BL109</f>
        <v>0</v>
      </c>
      <c r="CT109" s="23">
        <f>$L109*BM109</f>
        <v>0</v>
      </c>
      <c r="CU109" s="23">
        <f>$L109*BN109</f>
        <v>0</v>
      </c>
      <c r="CV109" s="23">
        <f>$L109*BO109</f>
        <v>0</v>
      </c>
    </row>
    <row r="110" spans="1:100" ht="13.5" x14ac:dyDescent="0.15">
      <c r="A110" s="15">
        <v>459</v>
      </c>
      <c r="B110" s="27" t="s">
        <v>356</v>
      </c>
      <c r="C110" t="s">
        <v>322</v>
      </c>
      <c r="F110" t="s">
        <v>155</v>
      </c>
      <c r="G110" t="s">
        <v>323</v>
      </c>
      <c r="H110" t="s">
        <v>324</v>
      </c>
      <c r="I110" s="6" t="s">
        <v>136</v>
      </c>
      <c r="J110" s="6">
        <v>0</v>
      </c>
      <c r="L110" s="15">
        <v>1</v>
      </c>
      <c r="M110" s="7">
        <v>46226</v>
      </c>
      <c r="N110" s="7">
        <v>46238</v>
      </c>
      <c r="O110" s="7">
        <v>46237</v>
      </c>
      <c r="P110" s="7">
        <v>46237</v>
      </c>
      <c r="S110" s="6" t="s">
        <v>323</v>
      </c>
      <c r="U110" s="6" t="s">
        <v>150</v>
      </c>
      <c r="V110" s="6" t="str">
        <f>TEXT(N110,"YY/MM")</f>
        <v>26/08</v>
      </c>
      <c r="W110">
        <v>21481</v>
      </c>
      <c r="Y110" s="6" t="s">
        <v>203</v>
      </c>
      <c r="Z110" s="6" t="s">
        <v>152</v>
      </c>
      <c r="AE110">
        <v>1288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0</v>
      </c>
      <c r="AP110" s="23">
        <v>1</v>
      </c>
      <c r="AQ110" s="23">
        <v>0</v>
      </c>
      <c r="AR110" s="23">
        <v>0</v>
      </c>
      <c r="AS110" s="23">
        <v>1</v>
      </c>
      <c r="AT110" s="23">
        <v>0</v>
      </c>
      <c r="AU110" s="23">
        <v>1</v>
      </c>
      <c r="AV110" s="23">
        <v>0</v>
      </c>
      <c r="AW110" s="23">
        <v>0</v>
      </c>
      <c r="AX110" s="23">
        <v>1</v>
      </c>
      <c r="AY110" s="23">
        <v>0</v>
      </c>
      <c r="AZ110" s="23">
        <v>0</v>
      </c>
      <c r="BA110" s="23">
        <v>0</v>
      </c>
      <c r="BB110" s="23">
        <v>1</v>
      </c>
      <c r="BC110" s="23">
        <v>0</v>
      </c>
      <c r="BD110" s="23">
        <v>0</v>
      </c>
      <c r="BE110" s="23">
        <v>0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>$L110*AI110</f>
        <v>1</v>
      </c>
      <c r="BQ110" s="23">
        <f>$L110*AJ110</f>
        <v>1</v>
      </c>
      <c r="BR110" s="23">
        <f>$L110*AK110</f>
        <v>0</v>
      </c>
      <c r="BS110" s="23">
        <f>$L110*AL110</f>
        <v>0</v>
      </c>
      <c r="BT110" s="23">
        <f>$L110*AM110</f>
        <v>1</v>
      </c>
      <c r="BU110" s="23">
        <f>$L110*AN110</f>
        <v>0</v>
      </c>
      <c r="BV110" s="23">
        <f>$L110*AO110</f>
        <v>0</v>
      </c>
      <c r="BW110" s="23">
        <f>$L110*AP110</f>
        <v>1</v>
      </c>
      <c r="BX110" s="23">
        <f>$L110*AQ110</f>
        <v>0</v>
      </c>
      <c r="BY110" s="23">
        <f>$L110*AR110</f>
        <v>0</v>
      </c>
      <c r="BZ110" s="23">
        <f>$L110*AS110</f>
        <v>1</v>
      </c>
      <c r="CA110" s="23">
        <f>$L110*AT110</f>
        <v>0</v>
      </c>
      <c r="CB110" s="23">
        <f>$L110*AU110</f>
        <v>1</v>
      </c>
      <c r="CC110" s="23">
        <f>$L110*AV110</f>
        <v>0</v>
      </c>
      <c r="CD110" s="23">
        <f>$L110*AW110</f>
        <v>0</v>
      </c>
      <c r="CE110" s="23">
        <f>$L110*AX110</f>
        <v>1</v>
      </c>
      <c r="CF110" s="23">
        <f>$L110*AY110</f>
        <v>0</v>
      </c>
      <c r="CG110" s="23">
        <f>$L110*AZ110</f>
        <v>0</v>
      </c>
      <c r="CH110" s="23">
        <f>$L110*BA110</f>
        <v>0</v>
      </c>
      <c r="CI110" s="23">
        <f>$L110*BB110</f>
        <v>1</v>
      </c>
      <c r="CJ110" s="23">
        <f>$L110*BC110</f>
        <v>0</v>
      </c>
      <c r="CK110" s="23">
        <f>$L110*BD110</f>
        <v>0</v>
      </c>
      <c r="CL110" s="23">
        <f>$L110*BE110</f>
        <v>0</v>
      </c>
      <c r="CM110" s="23">
        <f>$L110*BF110</f>
        <v>1</v>
      </c>
      <c r="CN110" s="23">
        <f>$L110*BG110</f>
        <v>0</v>
      </c>
      <c r="CO110" s="23">
        <f>$L110*BH110</f>
        <v>0</v>
      </c>
      <c r="CP110" s="23">
        <f>$L110*BI110</f>
        <v>0</v>
      </c>
      <c r="CQ110" s="23">
        <f>$L110*BJ110</f>
        <v>0</v>
      </c>
      <c r="CR110" s="23">
        <f>$L110*BK110</f>
        <v>0</v>
      </c>
      <c r="CS110" s="23">
        <f>$L110*BL110</f>
        <v>0</v>
      </c>
      <c r="CT110" s="23">
        <f>$L110*BM110</f>
        <v>0</v>
      </c>
      <c r="CU110" s="23">
        <f>$L110*BN110</f>
        <v>0</v>
      </c>
      <c r="CV110" s="23">
        <f>$L110*BO110</f>
        <v>0</v>
      </c>
    </row>
    <row r="111" spans="1:100" ht="13.5" x14ac:dyDescent="0.15">
      <c r="A111" s="15">
        <v>457</v>
      </c>
      <c r="B111" s="27" t="s">
        <v>354</v>
      </c>
      <c r="C111" t="s">
        <v>322</v>
      </c>
      <c r="F111" t="s">
        <v>155</v>
      </c>
      <c r="G111" t="s">
        <v>323</v>
      </c>
      <c r="H111" t="s">
        <v>324</v>
      </c>
      <c r="I111" s="6" t="s">
        <v>136</v>
      </c>
      <c r="J111" s="6">
        <v>0</v>
      </c>
      <c r="L111" s="15">
        <v>1</v>
      </c>
      <c r="M111" s="7">
        <v>46226</v>
      </c>
      <c r="N111" s="7">
        <v>46238</v>
      </c>
      <c r="O111" s="7">
        <v>46237</v>
      </c>
      <c r="P111" s="7">
        <v>46237</v>
      </c>
      <c r="S111" s="6" t="s">
        <v>323</v>
      </c>
      <c r="U111" s="6" t="s">
        <v>150</v>
      </c>
      <c r="V111" s="6" t="str">
        <f>TEXT(N111,"YY/MM")</f>
        <v>26/08</v>
      </c>
      <c r="W111">
        <v>21482</v>
      </c>
      <c r="Y111" s="6" t="s">
        <v>203</v>
      </c>
      <c r="Z111" s="6" t="s">
        <v>152</v>
      </c>
      <c r="AE111">
        <v>1289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0</v>
      </c>
      <c r="AP111" s="23">
        <v>1</v>
      </c>
      <c r="AQ111" s="23">
        <v>0</v>
      </c>
      <c r="AR111" s="23">
        <v>0</v>
      </c>
      <c r="AS111" s="23">
        <v>1</v>
      </c>
      <c r="AT111" s="23">
        <v>0</v>
      </c>
      <c r="AU111" s="23">
        <v>1</v>
      </c>
      <c r="AV111" s="23">
        <v>0</v>
      </c>
      <c r="AW111" s="23">
        <v>0</v>
      </c>
      <c r="AX111" s="23">
        <v>1</v>
      </c>
      <c r="AY111" s="23">
        <v>0</v>
      </c>
      <c r="AZ111" s="23">
        <v>0</v>
      </c>
      <c r="BA111" s="23">
        <v>0</v>
      </c>
      <c r="BB111" s="23">
        <v>1</v>
      </c>
      <c r="BC111" s="23">
        <v>0</v>
      </c>
      <c r="BD111" s="23">
        <v>0</v>
      </c>
      <c r="BE111" s="23">
        <v>0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>$L111*AI111</f>
        <v>1</v>
      </c>
      <c r="BQ111" s="23">
        <f>$L111*AJ111</f>
        <v>1</v>
      </c>
      <c r="BR111" s="23">
        <f>$L111*AK111</f>
        <v>0</v>
      </c>
      <c r="BS111" s="23">
        <f>$L111*AL111</f>
        <v>0</v>
      </c>
      <c r="BT111" s="23">
        <f>$L111*AM111</f>
        <v>1</v>
      </c>
      <c r="BU111" s="23">
        <f>$L111*AN111</f>
        <v>0</v>
      </c>
      <c r="BV111" s="23">
        <f>$L111*AO111</f>
        <v>0</v>
      </c>
      <c r="BW111" s="23">
        <f>$L111*AP111</f>
        <v>1</v>
      </c>
      <c r="BX111" s="23">
        <f>$L111*AQ111</f>
        <v>0</v>
      </c>
      <c r="BY111" s="23">
        <f>$L111*AR111</f>
        <v>0</v>
      </c>
      <c r="BZ111" s="23">
        <f>$L111*AS111</f>
        <v>1</v>
      </c>
      <c r="CA111" s="23">
        <f>$L111*AT111</f>
        <v>0</v>
      </c>
      <c r="CB111" s="23">
        <f>$L111*AU111</f>
        <v>1</v>
      </c>
      <c r="CC111" s="23">
        <f>$L111*AV111</f>
        <v>0</v>
      </c>
      <c r="CD111" s="23">
        <f>$L111*AW111</f>
        <v>0</v>
      </c>
      <c r="CE111" s="23">
        <f>$L111*AX111</f>
        <v>1</v>
      </c>
      <c r="CF111" s="23">
        <f>$L111*AY111</f>
        <v>0</v>
      </c>
      <c r="CG111" s="23">
        <f>$L111*AZ111</f>
        <v>0</v>
      </c>
      <c r="CH111" s="23">
        <f>$L111*BA111</f>
        <v>0</v>
      </c>
      <c r="CI111" s="23">
        <f>$L111*BB111</f>
        <v>1</v>
      </c>
      <c r="CJ111" s="23">
        <f>$L111*BC111</f>
        <v>0</v>
      </c>
      <c r="CK111" s="23">
        <f>$L111*BD111</f>
        <v>0</v>
      </c>
      <c r="CL111" s="23">
        <f>$L111*BE111</f>
        <v>0</v>
      </c>
      <c r="CM111" s="23">
        <f>$L111*BF111</f>
        <v>1</v>
      </c>
      <c r="CN111" s="23">
        <f>$L111*BG111</f>
        <v>0</v>
      </c>
      <c r="CO111" s="23">
        <f>$L111*BH111</f>
        <v>0</v>
      </c>
      <c r="CP111" s="23">
        <f>$L111*BI111</f>
        <v>0</v>
      </c>
      <c r="CQ111" s="23">
        <f>$L111*BJ111</f>
        <v>0</v>
      </c>
      <c r="CR111" s="23">
        <f>$L111*BK111</f>
        <v>0</v>
      </c>
      <c r="CS111" s="23">
        <f>$L111*BL111</f>
        <v>0</v>
      </c>
      <c r="CT111" s="23">
        <f>$L111*BM111</f>
        <v>0</v>
      </c>
      <c r="CU111" s="23">
        <f>$L111*BN111</f>
        <v>0</v>
      </c>
      <c r="CV111" s="23">
        <f>$L111*BO111</f>
        <v>0</v>
      </c>
    </row>
    <row r="112" spans="1:100" ht="13.5" x14ac:dyDescent="0.15">
      <c r="A112" s="15">
        <v>456</v>
      </c>
      <c r="B112" s="27" t="s">
        <v>353</v>
      </c>
      <c r="C112" t="s">
        <v>322</v>
      </c>
      <c r="F112" t="s">
        <v>155</v>
      </c>
      <c r="G112" t="s">
        <v>323</v>
      </c>
      <c r="H112" t="s">
        <v>324</v>
      </c>
      <c r="I112" s="6" t="s">
        <v>136</v>
      </c>
      <c r="J112" s="6">
        <v>0</v>
      </c>
      <c r="L112" s="15">
        <v>1</v>
      </c>
      <c r="M112" s="7">
        <v>46226</v>
      </c>
      <c r="N112" s="7">
        <v>46238</v>
      </c>
      <c r="O112" s="7">
        <v>46237</v>
      </c>
      <c r="P112" s="7">
        <v>46237</v>
      </c>
      <c r="S112" s="6" t="s">
        <v>323</v>
      </c>
      <c r="U112" s="6" t="s">
        <v>150</v>
      </c>
      <c r="V112" s="6" t="str">
        <f>TEXT(N112,"YY/MM")</f>
        <v>26/08</v>
      </c>
      <c r="W112">
        <v>21483</v>
      </c>
      <c r="Y112" s="6" t="s">
        <v>203</v>
      </c>
      <c r="Z112" s="6" t="s">
        <v>152</v>
      </c>
      <c r="AE112">
        <v>1290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0</v>
      </c>
      <c r="AP112" s="23">
        <v>1</v>
      </c>
      <c r="AQ112" s="23">
        <v>0</v>
      </c>
      <c r="AR112" s="23">
        <v>0</v>
      </c>
      <c r="AS112" s="23">
        <v>1</v>
      </c>
      <c r="AT112" s="23">
        <v>0</v>
      </c>
      <c r="AU112" s="23">
        <v>1</v>
      </c>
      <c r="AV112" s="23">
        <v>0</v>
      </c>
      <c r="AW112" s="23">
        <v>0</v>
      </c>
      <c r="AX112" s="23">
        <v>1</v>
      </c>
      <c r="AY112" s="23">
        <v>0</v>
      </c>
      <c r="AZ112" s="23">
        <v>0</v>
      </c>
      <c r="BA112" s="23">
        <v>0</v>
      </c>
      <c r="BB112" s="23">
        <v>1</v>
      </c>
      <c r="BC112" s="23">
        <v>0</v>
      </c>
      <c r="BD112" s="23">
        <v>0</v>
      </c>
      <c r="BE112" s="23">
        <v>0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>$L112*AI112</f>
        <v>1</v>
      </c>
      <c r="BQ112" s="23">
        <f>$L112*AJ112</f>
        <v>1</v>
      </c>
      <c r="BR112" s="23">
        <f>$L112*AK112</f>
        <v>0</v>
      </c>
      <c r="BS112" s="23">
        <f>$L112*AL112</f>
        <v>0</v>
      </c>
      <c r="BT112" s="23">
        <f>$L112*AM112</f>
        <v>1</v>
      </c>
      <c r="BU112" s="23">
        <f>$L112*AN112</f>
        <v>0</v>
      </c>
      <c r="BV112" s="23">
        <f>$L112*AO112</f>
        <v>0</v>
      </c>
      <c r="BW112" s="23">
        <f>$L112*AP112</f>
        <v>1</v>
      </c>
      <c r="BX112" s="23">
        <f>$L112*AQ112</f>
        <v>0</v>
      </c>
      <c r="BY112" s="23">
        <f>$L112*AR112</f>
        <v>0</v>
      </c>
      <c r="BZ112" s="23">
        <f>$L112*AS112</f>
        <v>1</v>
      </c>
      <c r="CA112" s="23">
        <f>$L112*AT112</f>
        <v>0</v>
      </c>
      <c r="CB112" s="23">
        <f>$L112*AU112</f>
        <v>1</v>
      </c>
      <c r="CC112" s="23">
        <f>$L112*AV112</f>
        <v>0</v>
      </c>
      <c r="CD112" s="23">
        <f>$L112*AW112</f>
        <v>0</v>
      </c>
      <c r="CE112" s="23">
        <f>$L112*AX112</f>
        <v>1</v>
      </c>
      <c r="CF112" s="23">
        <f>$L112*AY112</f>
        <v>0</v>
      </c>
      <c r="CG112" s="23">
        <f>$L112*AZ112</f>
        <v>0</v>
      </c>
      <c r="CH112" s="23">
        <f>$L112*BA112</f>
        <v>0</v>
      </c>
      <c r="CI112" s="23">
        <f>$L112*BB112</f>
        <v>1</v>
      </c>
      <c r="CJ112" s="23">
        <f>$L112*BC112</f>
        <v>0</v>
      </c>
      <c r="CK112" s="23">
        <f>$L112*BD112</f>
        <v>0</v>
      </c>
      <c r="CL112" s="23">
        <f>$L112*BE112</f>
        <v>0</v>
      </c>
      <c r="CM112" s="23">
        <f>$L112*BF112</f>
        <v>1</v>
      </c>
      <c r="CN112" s="23">
        <f>$L112*BG112</f>
        <v>0</v>
      </c>
      <c r="CO112" s="23">
        <f>$L112*BH112</f>
        <v>0</v>
      </c>
      <c r="CP112" s="23">
        <f>$L112*BI112</f>
        <v>0</v>
      </c>
      <c r="CQ112" s="23">
        <f>$L112*BJ112</f>
        <v>0</v>
      </c>
      <c r="CR112" s="23">
        <f>$L112*BK112</f>
        <v>0</v>
      </c>
      <c r="CS112" s="23">
        <f>$L112*BL112</f>
        <v>0</v>
      </c>
      <c r="CT112" s="23">
        <f>$L112*BM112</f>
        <v>0</v>
      </c>
      <c r="CU112" s="23">
        <f>$L112*BN112</f>
        <v>0</v>
      </c>
      <c r="CV112" s="23">
        <f>$L112*BO112</f>
        <v>0</v>
      </c>
    </row>
    <row r="113" spans="1:100" ht="13.5" x14ac:dyDescent="0.15">
      <c r="A113" s="15">
        <v>458</v>
      </c>
      <c r="B113" s="27" t="s">
        <v>355</v>
      </c>
      <c r="C113" t="s">
        <v>322</v>
      </c>
      <c r="F113" t="s">
        <v>155</v>
      </c>
      <c r="G113" t="s">
        <v>323</v>
      </c>
      <c r="H113" t="s">
        <v>324</v>
      </c>
      <c r="I113" s="6" t="s">
        <v>136</v>
      </c>
      <c r="J113" s="6">
        <v>0</v>
      </c>
      <c r="L113" s="15">
        <v>1</v>
      </c>
      <c r="M113" s="7">
        <v>46226</v>
      </c>
      <c r="N113" s="7">
        <v>46238</v>
      </c>
      <c r="O113" s="7">
        <v>46237</v>
      </c>
      <c r="P113" s="7">
        <v>46237</v>
      </c>
      <c r="S113" s="6" t="s">
        <v>323</v>
      </c>
      <c r="U113" s="6" t="s">
        <v>150</v>
      </c>
      <c r="V113" s="6" t="str">
        <f>TEXT(N113,"YY/MM")</f>
        <v>26/08</v>
      </c>
      <c r="W113">
        <v>21484</v>
      </c>
      <c r="Y113" s="6" t="s">
        <v>203</v>
      </c>
      <c r="Z113" s="6" t="s">
        <v>152</v>
      </c>
      <c r="AE113">
        <v>1291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0</v>
      </c>
      <c r="AP113" s="23">
        <v>1</v>
      </c>
      <c r="AQ113" s="23">
        <v>0</v>
      </c>
      <c r="AR113" s="23">
        <v>0</v>
      </c>
      <c r="AS113" s="23">
        <v>1</v>
      </c>
      <c r="AT113" s="23">
        <v>0</v>
      </c>
      <c r="AU113" s="23">
        <v>1</v>
      </c>
      <c r="AV113" s="23">
        <v>0</v>
      </c>
      <c r="AW113" s="23">
        <v>0</v>
      </c>
      <c r="AX113" s="23">
        <v>1</v>
      </c>
      <c r="AY113" s="23">
        <v>0</v>
      </c>
      <c r="AZ113" s="23">
        <v>0</v>
      </c>
      <c r="BA113" s="23">
        <v>0</v>
      </c>
      <c r="BB113" s="23">
        <v>1</v>
      </c>
      <c r="BC113" s="23">
        <v>0</v>
      </c>
      <c r="BD113" s="23">
        <v>0</v>
      </c>
      <c r="BE113" s="23">
        <v>0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>$L113*AI113</f>
        <v>1</v>
      </c>
      <c r="BQ113" s="23">
        <f>$L113*AJ113</f>
        <v>1</v>
      </c>
      <c r="BR113" s="23">
        <f>$L113*AK113</f>
        <v>0</v>
      </c>
      <c r="BS113" s="23">
        <f>$L113*AL113</f>
        <v>0</v>
      </c>
      <c r="BT113" s="23">
        <f>$L113*AM113</f>
        <v>1</v>
      </c>
      <c r="BU113" s="23">
        <f>$L113*AN113</f>
        <v>0</v>
      </c>
      <c r="BV113" s="23">
        <f>$L113*AO113</f>
        <v>0</v>
      </c>
      <c r="BW113" s="23">
        <f>$L113*AP113</f>
        <v>1</v>
      </c>
      <c r="BX113" s="23">
        <f>$L113*AQ113</f>
        <v>0</v>
      </c>
      <c r="BY113" s="23">
        <f>$L113*AR113</f>
        <v>0</v>
      </c>
      <c r="BZ113" s="23">
        <f>$L113*AS113</f>
        <v>1</v>
      </c>
      <c r="CA113" s="23">
        <f>$L113*AT113</f>
        <v>0</v>
      </c>
      <c r="CB113" s="23">
        <f>$L113*AU113</f>
        <v>1</v>
      </c>
      <c r="CC113" s="23">
        <f>$L113*AV113</f>
        <v>0</v>
      </c>
      <c r="CD113" s="23">
        <f>$L113*AW113</f>
        <v>0</v>
      </c>
      <c r="CE113" s="23">
        <f>$L113*AX113</f>
        <v>1</v>
      </c>
      <c r="CF113" s="23">
        <f>$L113*AY113</f>
        <v>0</v>
      </c>
      <c r="CG113" s="23">
        <f>$L113*AZ113</f>
        <v>0</v>
      </c>
      <c r="CH113" s="23">
        <f>$L113*BA113</f>
        <v>0</v>
      </c>
      <c r="CI113" s="23">
        <f>$L113*BB113</f>
        <v>1</v>
      </c>
      <c r="CJ113" s="23">
        <f>$L113*BC113</f>
        <v>0</v>
      </c>
      <c r="CK113" s="23">
        <f>$L113*BD113</f>
        <v>0</v>
      </c>
      <c r="CL113" s="23">
        <f>$L113*BE113</f>
        <v>0</v>
      </c>
      <c r="CM113" s="23">
        <f>$L113*BF113</f>
        <v>1</v>
      </c>
      <c r="CN113" s="23">
        <f>$L113*BG113</f>
        <v>0</v>
      </c>
      <c r="CO113" s="23">
        <f>$L113*BH113</f>
        <v>0</v>
      </c>
      <c r="CP113" s="23">
        <f>$L113*BI113</f>
        <v>0</v>
      </c>
      <c r="CQ113" s="23">
        <f>$L113*BJ113</f>
        <v>0</v>
      </c>
      <c r="CR113" s="23">
        <f>$L113*BK113</f>
        <v>0</v>
      </c>
      <c r="CS113" s="23">
        <f>$L113*BL113</f>
        <v>0</v>
      </c>
      <c r="CT113" s="23">
        <f>$L113*BM113</f>
        <v>0</v>
      </c>
      <c r="CU113" s="23">
        <f>$L113*BN113</f>
        <v>0</v>
      </c>
      <c r="CV113" s="23">
        <f>$L113*BO113</f>
        <v>0</v>
      </c>
    </row>
    <row r="114" spans="1:100" ht="13.5" x14ac:dyDescent="0.15">
      <c r="A114" s="15">
        <v>553</v>
      </c>
      <c r="B114" s="27" t="s">
        <v>357</v>
      </c>
      <c r="C114" t="s">
        <v>146</v>
      </c>
      <c r="D114" t="s">
        <v>358</v>
      </c>
      <c r="E114" t="s">
        <v>359</v>
      </c>
      <c r="F114" t="s">
        <v>147</v>
      </c>
      <c r="G114" t="s">
        <v>360</v>
      </c>
      <c r="H114" t="s">
        <v>361</v>
      </c>
      <c r="I114" s="6" t="s">
        <v>130</v>
      </c>
      <c r="J114" s="6">
        <v>0</v>
      </c>
      <c r="K114" t="s">
        <v>208</v>
      </c>
      <c r="L114" s="15">
        <v>1</v>
      </c>
      <c r="M114" s="7">
        <v>46225</v>
      </c>
      <c r="N114" s="7">
        <v>46240</v>
      </c>
      <c r="O114" s="7">
        <v>46239</v>
      </c>
      <c r="P114" s="7">
        <v>46251</v>
      </c>
      <c r="S114" s="6" t="s">
        <v>149</v>
      </c>
      <c r="U114" s="6" t="s">
        <v>150</v>
      </c>
      <c r="V114" s="6" t="str">
        <f>TEXT(N114,"YY/MM")</f>
        <v>26/08</v>
      </c>
      <c r="W114">
        <v>21485</v>
      </c>
      <c r="Y114" s="6" t="s">
        <v>151</v>
      </c>
      <c r="Z114" s="6" t="s">
        <v>152</v>
      </c>
      <c r="AD114">
        <v>8241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1</v>
      </c>
      <c r="AP114" s="23">
        <v>0</v>
      </c>
      <c r="AQ114" s="23">
        <v>0</v>
      </c>
      <c r="AR114" s="23">
        <v>0</v>
      </c>
      <c r="AS114" s="23">
        <v>1</v>
      </c>
      <c r="AT114" s="23">
        <v>0</v>
      </c>
      <c r="AU114" s="23">
        <v>1</v>
      </c>
      <c r="AV114" s="23">
        <v>0</v>
      </c>
      <c r="AW114" s="23">
        <v>0</v>
      </c>
      <c r="AX114" s="23">
        <v>1</v>
      </c>
      <c r="AY114" s="23">
        <v>0</v>
      </c>
      <c r="AZ114" s="23">
        <v>0</v>
      </c>
      <c r="BA114" s="23">
        <v>0</v>
      </c>
      <c r="BB114" s="23">
        <v>1</v>
      </c>
      <c r="BC114" s="23">
        <v>0</v>
      </c>
      <c r="BD114" s="23">
        <v>0</v>
      </c>
      <c r="BE114" s="23">
        <v>0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>$L114*AI114</f>
        <v>1</v>
      </c>
      <c r="BQ114" s="23">
        <f>$L114*AJ114</f>
        <v>1</v>
      </c>
      <c r="BR114" s="23">
        <f>$L114*AK114</f>
        <v>0</v>
      </c>
      <c r="BS114" s="23">
        <f>$L114*AL114</f>
        <v>0</v>
      </c>
      <c r="BT114" s="23">
        <f>$L114*AM114</f>
        <v>1</v>
      </c>
      <c r="BU114" s="23">
        <f>$L114*AN114</f>
        <v>0</v>
      </c>
      <c r="BV114" s="23">
        <f>$L114*AO114</f>
        <v>1</v>
      </c>
      <c r="BW114" s="23">
        <f>$L114*AP114</f>
        <v>0</v>
      </c>
      <c r="BX114" s="23">
        <f>$L114*AQ114</f>
        <v>0</v>
      </c>
      <c r="BY114" s="23">
        <f>$L114*AR114</f>
        <v>0</v>
      </c>
      <c r="BZ114" s="23">
        <f>$L114*AS114</f>
        <v>1</v>
      </c>
      <c r="CA114" s="23">
        <f>$L114*AT114</f>
        <v>0</v>
      </c>
      <c r="CB114" s="23">
        <f>$L114*AU114</f>
        <v>1</v>
      </c>
      <c r="CC114" s="23">
        <f>$L114*AV114</f>
        <v>0</v>
      </c>
      <c r="CD114" s="23">
        <f>$L114*AW114</f>
        <v>0</v>
      </c>
      <c r="CE114" s="23">
        <f>$L114*AX114</f>
        <v>1</v>
      </c>
      <c r="CF114" s="23">
        <f>$L114*AY114</f>
        <v>0</v>
      </c>
      <c r="CG114" s="23">
        <f>$L114*AZ114</f>
        <v>0</v>
      </c>
      <c r="CH114" s="23">
        <f>$L114*BA114</f>
        <v>0</v>
      </c>
      <c r="CI114" s="23">
        <f>$L114*BB114</f>
        <v>1</v>
      </c>
      <c r="CJ114" s="23">
        <f>$L114*BC114</f>
        <v>0</v>
      </c>
      <c r="CK114" s="23">
        <f>$L114*BD114</f>
        <v>0</v>
      </c>
      <c r="CL114" s="23">
        <f>$L114*BE114</f>
        <v>0</v>
      </c>
      <c r="CM114" s="23">
        <f>$L114*BF114</f>
        <v>1</v>
      </c>
      <c r="CN114" s="23">
        <f>$L114*BG114</f>
        <v>0</v>
      </c>
      <c r="CO114" s="23">
        <f>$L114*BH114</f>
        <v>0</v>
      </c>
      <c r="CP114" s="23">
        <f>$L114*BI114</f>
        <v>0</v>
      </c>
      <c r="CQ114" s="23">
        <f>$L114*BJ114</f>
        <v>0</v>
      </c>
      <c r="CR114" s="23">
        <f>$L114*BK114</f>
        <v>0</v>
      </c>
      <c r="CS114" s="23">
        <f>$L114*BL114</f>
        <v>0</v>
      </c>
      <c r="CT114" s="23">
        <f>$L114*BM114</f>
        <v>0</v>
      </c>
      <c r="CU114" s="23">
        <f>$L114*BN114</f>
        <v>0</v>
      </c>
      <c r="CV114" s="23">
        <f>$L114*BO114</f>
        <v>0</v>
      </c>
    </row>
    <row r="115" spans="1:100" ht="13.5" x14ac:dyDescent="0.15">
      <c r="A115" s="15">
        <v>570</v>
      </c>
      <c r="B115" s="27" t="s">
        <v>373</v>
      </c>
      <c r="C115" t="s">
        <v>153</v>
      </c>
      <c r="E115" t="s">
        <v>286</v>
      </c>
      <c r="F115" t="s">
        <v>155</v>
      </c>
      <c r="G115" t="s">
        <v>286</v>
      </c>
      <c r="H115" t="s">
        <v>287</v>
      </c>
      <c r="I115" s="6" t="s">
        <v>136</v>
      </c>
      <c r="J115" s="6">
        <v>1</v>
      </c>
      <c r="L115" s="15">
        <v>6</v>
      </c>
      <c r="N115" s="7">
        <v>46266</v>
      </c>
      <c r="O115" s="7">
        <v>46265</v>
      </c>
      <c r="P115" s="7">
        <v>46266</v>
      </c>
      <c r="S115" s="6" t="s">
        <v>286</v>
      </c>
      <c r="U115" s="6" t="s">
        <v>150</v>
      </c>
      <c r="V115" s="6" t="str">
        <f>TEXT(N115,"YY/MM")</f>
        <v>26/09</v>
      </c>
      <c r="W115">
        <v>21486</v>
      </c>
      <c r="Y115" s="6" t="s">
        <v>157</v>
      </c>
      <c r="Z115" s="6" t="s">
        <v>158</v>
      </c>
      <c r="AA115">
        <v>3270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1</v>
      </c>
      <c r="AP115" s="23">
        <v>0</v>
      </c>
      <c r="AQ115" s="23">
        <v>0</v>
      </c>
      <c r="AR115" s="23">
        <v>0</v>
      </c>
      <c r="AS115" s="23">
        <v>0</v>
      </c>
      <c r="AT115" s="23">
        <v>1</v>
      </c>
      <c r="AU115" s="23">
        <v>0</v>
      </c>
      <c r="AV115" s="23">
        <v>0</v>
      </c>
      <c r="AW115" s="23">
        <v>1</v>
      </c>
      <c r="AX115" s="23">
        <v>0</v>
      </c>
      <c r="AY115" s="23">
        <v>0</v>
      </c>
      <c r="AZ115" s="23">
        <v>0</v>
      </c>
      <c r="BA115" s="23">
        <v>1</v>
      </c>
      <c r="BB115" s="23">
        <v>0</v>
      </c>
      <c r="BC115" s="23">
        <v>0</v>
      </c>
      <c r="BD115" s="23">
        <v>0</v>
      </c>
      <c r="BE115" s="23">
        <v>1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>$L115*AI115</f>
        <v>6</v>
      </c>
      <c r="BQ115" s="23">
        <f>$L115*AJ115</f>
        <v>6</v>
      </c>
      <c r="BR115" s="23">
        <f>$L115*AK115</f>
        <v>0</v>
      </c>
      <c r="BS115" s="23">
        <f>$L115*AL115</f>
        <v>0</v>
      </c>
      <c r="BT115" s="23">
        <f>$L115*AM115</f>
        <v>6</v>
      </c>
      <c r="BU115" s="23">
        <f>$L115*AN115</f>
        <v>0</v>
      </c>
      <c r="BV115" s="23">
        <f>$L115*AO115</f>
        <v>6</v>
      </c>
      <c r="BW115" s="23">
        <f>$L115*AP115</f>
        <v>0</v>
      </c>
      <c r="BX115" s="23">
        <f>$L115*AQ115</f>
        <v>0</v>
      </c>
      <c r="BY115" s="23">
        <f>$L115*AR115</f>
        <v>0</v>
      </c>
      <c r="BZ115" s="23">
        <f>$L115*AS115</f>
        <v>0</v>
      </c>
      <c r="CA115" s="23">
        <f>$L115*AT115</f>
        <v>6</v>
      </c>
      <c r="CB115" s="23">
        <f>$L115*AU115</f>
        <v>0</v>
      </c>
      <c r="CC115" s="23">
        <f>$L115*AV115</f>
        <v>0</v>
      </c>
      <c r="CD115" s="23">
        <f>$L115*AW115</f>
        <v>6</v>
      </c>
      <c r="CE115" s="23">
        <f>$L115*AX115</f>
        <v>0</v>
      </c>
      <c r="CF115" s="23">
        <f>$L115*AY115</f>
        <v>0</v>
      </c>
      <c r="CG115" s="23">
        <f>$L115*AZ115</f>
        <v>0</v>
      </c>
      <c r="CH115" s="23">
        <f>$L115*BA115</f>
        <v>6</v>
      </c>
      <c r="CI115" s="23">
        <f>$L115*BB115</f>
        <v>0</v>
      </c>
      <c r="CJ115" s="23">
        <f>$L115*BC115</f>
        <v>0</v>
      </c>
      <c r="CK115" s="23">
        <f>$L115*BD115</f>
        <v>0</v>
      </c>
      <c r="CL115" s="23">
        <f>$L115*BE115</f>
        <v>6</v>
      </c>
      <c r="CM115" s="23">
        <f>$L115*BF115</f>
        <v>6</v>
      </c>
      <c r="CN115" s="23">
        <f>$L115*BG115</f>
        <v>0</v>
      </c>
      <c r="CO115" s="23">
        <f>$L115*BH115</f>
        <v>0</v>
      </c>
      <c r="CP115" s="23">
        <f>$L115*BI115</f>
        <v>0</v>
      </c>
      <c r="CQ115" s="23">
        <f>$L115*BJ115</f>
        <v>0</v>
      </c>
      <c r="CR115" s="23">
        <f>$L115*BK115</f>
        <v>0</v>
      </c>
      <c r="CS115" s="23">
        <f>$L115*BL115</f>
        <v>0</v>
      </c>
      <c r="CT115" s="23">
        <f>$L115*BM115</f>
        <v>0</v>
      </c>
      <c r="CU115" s="23">
        <f>$L115*BN115</f>
        <v>0</v>
      </c>
      <c r="CV115" s="23">
        <f>$L115*BO115</f>
        <v>0</v>
      </c>
    </row>
    <row r="116" spans="1:100" ht="13.5" x14ac:dyDescent="0.15">
      <c r="A116" s="15">
        <v>558</v>
      </c>
      <c r="B116" s="27" t="s">
        <v>362</v>
      </c>
      <c r="C116" t="s">
        <v>197</v>
      </c>
      <c r="F116" t="s">
        <v>236</v>
      </c>
      <c r="G116" t="s">
        <v>247</v>
      </c>
      <c r="H116" t="s">
        <v>248</v>
      </c>
      <c r="I116" s="6" t="s">
        <v>130</v>
      </c>
      <c r="J116" s="6">
        <v>0</v>
      </c>
      <c r="L116" s="15">
        <v>3</v>
      </c>
      <c r="N116" s="7">
        <v>46266</v>
      </c>
      <c r="O116" s="7">
        <v>46265</v>
      </c>
      <c r="P116" s="7">
        <v>46266</v>
      </c>
      <c r="S116" s="6" t="s">
        <v>199</v>
      </c>
      <c r="U116" s="6" t="s">
        <v>150</v>
      </c>
      <c r="V116" s="6" t="str">
        <f>TEXT(N116,"YY/MM")</f>
        <v>26/09</v>
      </c>
      <c r="W116">
        <v>21487</v>
      </c>
      <c r="Y116" s="6" t="s">
        <v>203</v>
      </c>
      <c r="Z116" s="6" t="s">
        <v>152</v>
      </c>
      <c r="AE116">
        <v>1292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0</v>
      </c>
      <c r="AP116" s="23">
        <v>1</v>
      </c>
      <c r="AQ116" s="23">
        <v>0</v>
      </c>
      <c r="AR116" s="23">
        <v>0</v>
      </c>
      <c r="AS116" s="23">
        <v>1</v>
      </c>
      <c r="AT116" s="23">
        <v>0</v>
      </c>
      <c r="AU116" s="23">
        <v>1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1</v>
      </c>
      <c r="BC116" s="23">
        <v>0</v>
      </c>
      <c r="BD116" s="23">
        <v>0</v>
      </c>
      <c r="BE116" s="23">
        <v>0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>$L116*AI116</f>
        <v>3</v>
      </c>
      <c r="BQ116" s="23">
        <f>$L116*AJ116</f>
        <v>3</v>
      </c>
      <c r="BR116" s="23">
        <f>$L116*AK116</f>
        <v>0</v>
      </c>
      <c r="BS116" s="23">
        <f>$L116*AL116</f>
        <v>0</v>
      </c>
      <c r="BT116" s="23">
        <f>$L116*AM116</f>
        <v>3</v>
      </c>
      <c r="BU116" s="23">
        <f>$L116*AN116</f>
        <v>0</v>
      </c>
      <c r="BV116" s="23">
        <f>$L116*AO116</f>
        <v>0</v>
      </c>
      <c r="BW116" s="23">
        <f>$L116*AP116</f>
        <v>3</v>
      </c>
      <c r="BX116" s="23">
        <f>$L116*AQ116</f>
        <v>0</v>
      </c>
      <c r="BY116" s="23">
        <f>$L116*AR116</f>
        <v>0</v>
      </c>
      <c r="BZ116" s="23">
        <f>$L116*AS116</f>
        <v>3</v>
      </c>
      <c r="CA116" s="23">
        <f>$L116*AT116</f>
        <v>0</v>
      </c>
      <c r="CB116" s="23">
        <f>$L116*AU116</f>
        <v>3</v>
      </c>
      <c r="CC116" s="23">
        <f>$L116*AV116</f>
        <v>0</v>
      </c>
      <c r="CD116" s="23">
        <f>$L116*AW116</f>
        <v>0</v>
      </c>
      <c r="CE116" s="23">
        <f>$L116*AX116</f>
        <v>3</v>
      </c>
      <c r="CF116" s="23">
        <f>$L116*AY116</f>
        <v>0</v>
      </c>
      <c r="CG116" s="23">
        <f>$L116*AZ116</f>
        <v>0</v>
      </c>
      <c r="CH116" s="23">
        <f>$L116*BA116</f>
        <v>0</v>
      </c>
      <c r="CI116" s="23">
        <f>$L116*BB116</f>
        <v>3</v>
      </c>
      <c r="CJ116" s="23">
        <f>$L116*BC116</f>
        <v>0</v>
      </c>
      <c r="CK116" s="23">
        <f>$L116*BD116</f>
        <v>0</v>
      </c>
      <c r="CL116" s="23">
        <f>$L116*BE116</f>
        <v>0</v>
      </c>
      <c r="CM116" s="23">
        <f>$L116*BF116</f>
        <v>3</v>
      </c>
      <c r="CN116" s="23">
        <f>$L116*BG116</f>
        <v>0</v>
      </c>
      <c r="CO116" s="23">
        <f>$L116*BH116</f>
        <v>0</v>
      </c>
      <c r="CP116" s="23">
        <f>$L116*BI116</f>
        <v>0</v>
      </c>
      <c r="CQ116" s="23">
        <f>$L116*BJ116</f>
        <v>0</v>
      </c>
      <c r="CR116" s="23">
        <f>$L116*BK116</f>
        <v>0</v>
      </c>
      <c r="CS116" s="23">
        <f>$L116*BL116</f>
        <v>0</v>
      </c>
      <c r="CT116" s="23">
        <f>$L116*BM116</f>
        <v>0</v>
      </c>
      <c r="CU116" s="23">
        <f>$L116*BN116</f>
        <v>0</v>
      </c>
      <c r="CV116" s="23">
        <f>$L116*BO116</f>
        <v>0</v>
      </c>
    </row>
    <row r="117" spans="1:100" ht="13.5" x14ac:dyDescent="0.15">
      <c r="A117" s="15">
        <v>626</v>
      </c>
      <c r="B117" s="27" t="s">
        <v>363</v>
      </c>
      <c r="C117" t="s">
        <v>364</v>
      </c>
      <c r="F117" t="s">
        <v>365</v>
      </c>
      <c r="G117" t="s">
        <v>366</v>
      </c>
      <c r="H117" t="s">
        <v>367</v>
      </c>
      <c r="I117" s="6" t="s">
        <v>130</v>
      </c>
      <c r="J117" s="6">
        <v>0</v>
      </c>
      <c r="K117" t="s">
        <v>208</v>
      </c>
      <c r="L117" s="15">
        <v>5</v>
      </c>
      <c r="N117" s="7">
        <v>46266</v>
      </c>
      <c r="O117" s="7">
        <v>46265</v>
      </c>
      <c r="P117" s="7">
        <v>46266</v>
      </c>
      <c r="S117" s="6" t="s">
        <v>368</v>
      </c>
      <c r="U117" s="6" t="s">
        <v>150</v>
      </c>
      <c r="V117" s="6" t="str">
        <f>TEXT(N117,"YY/MM")</f>
        <v>26/09</v>
      </c>
      <c r="W117">
        <v>21488</v>
      </c>
      <c r="Y117" s="6" t="s">
        <v>151</v>
      </c>
      <c r="Z117" s="6" t="s">
        <v>152</v>
      </c>
      <c r="AD117">
        <v>8242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1</v>
      </c>
      <c r="AP117" s="23">
        <v>0</v>
      </c>
      <c r="AQ117" s="23">
        <v>0</v>
      </c>
      <c r="AR117" s="23">
        <v>0</v>
      </c>
      <c r="AS117" s="23">
        <v>0</v>
      </c>
      <c r="AT117" s="23">
        <v>1</v>
      </c>
      <c r="AU117" s="23">
        <v>1</v>
      </c>
      <c r="AV117" s="23">
        <v>0</v>
      </c>
      <c r="AW117" s="23">
        <v>0</v>
      </c>
      <c r="AX117" s="23">
        <v>1</v>
      </c>
      <c r="AY117" s="23">
        <v>0</v>
      </c>
      <c r="AZ117" s="23">
        <v>0</v>
      </c>
      <c r="BA117" s="23">
        <v>0</v>
      </c>
      <c r="BB117" s="23">
        <v>1</v>
      </c>
      <c r="BC117" s="23">
        <v>0</v>
      </c>
      <c r="BD117" s="23">
        <v>0</v>
      </c>
      <c r="BE117" s="23">
        <v>0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>$L117*AI117</f>
        <v>5</v>
      </c>
      <c r="BQ117" s="23">
        <f>$L117*AJ117</f>
        <v>5</v>
      </c>
      <c r="BR117" s="23">
        <f>$L117*AK117</f>
        <v>0</v>
      </c>
      <c r="BS117" s="23">
        <f>$L117*AL117</f>
        <v>0</v>
      </c>
      <c r="BT117" s="23">
        <f>$L117*AM117</f>
        <v>5</v>
      </c>
      <c r="BU117" s="23">
        <f>$L117*AN117</f>
        <v>0</v>
      </c>
      <c r="BV117" s="23">
        <f>$L117*AO117</f>
        <v>5</v>
      </c>
      <c r="BW117" s="23">
        <f>$L117*AP117</f>
        <v>0</v>
      </c>
      <c r="BX117" s="23">
        <f>$L117*AQ117</f>
        <v>0</v>
      </c>
      <c r="BY117" s="23">
        <f>$L117*AR117</f>
        <v>0</v>
      </c>
      <c r="BZ117" s="23">
        <f>$L117*AS117</f>
        <v>0</v>
      </c>
      <c r="CA117" s="23">
        <f>$L117*AT117</f>
        <v>5</v>
      </c>
      <c r="CB117" s="23">
        <f>$L117*AU117</f>
        <v>5</v>
      </c>
      <c r="CC117" s="23">
        <f>$L117*AV117</f>
        <v>0</v>
      </c>
      <c r="CD117" s="23">
        <f>$L117*AW117</f>
        <v>0</v>
      </c>
      <c r="CE117" s="23">
        <f>$L117*AX117</f>
        <v>5</v>
      </c>
      <c r="CF117" s="23">
        <f>$L117*AY117</f>
        <v>0</v>
      </c>
      <c r="CG117" s="23">
        <f>$L117*AZ117</f>
        <v>0</v>
      </c>
      <c r="CH117" s="23">
        <f>$L117*BA117</f>
        <v>0</v>
      </c>
      <c r="CI117" s="23">
        <f>$L117*BB117</f>
        <v>5</v>
      </c>
      <c r="CJ117" s="23">
        <f>$L117*BC117</f>
        <v>0</v>
      </c>
      <c r="CK117" s="23">
        <f>$L117*BD117</f>
        <v>0</v>
      </c>
      <c r="CL117" s="23">
        <f>$L117*BE117</f>
        <v>0</v>
      </c>
      <c r="CM117" s="23">
        <f>$L117*BF117</f>
        <v>5</v>
      </c>
      <c r="CN117" s="23">
        <f>$L117*BG117</f>
        <v>0</v>
      </c>
      <c r="CO117" s="23">
        <f>$L117*BH117</f>
        <v>0</v>
      </c>
      <c r="CP117" s="23">
        <f>$L117*BI117</f>
        <v>0</v>
      </c>
      <c r="CQ117" s="23">
        <f>$L117*BJ117</f>
        <v>0</v>
      </c>
      <c r="CR117" s="23">
        <f>$L117*BK117</f>
        <v>0</v>
      </c>
      <c r="CS117" s="23">
        <f>$L117*BL117</f>
        <v>0</v>
      </c>
      <c r="CT117" s="23">
        <f>$L117*BM117</f>
        <v>0</v>
      </c>
      <c r="CU117" s="23">
        <f>$L117*BN117</f>
        <v>0</v>
      </c>
      <c r="CV117" s="23">
        <f>$L117*BO117</f>
        <v>0</v>
      </c>
    </row>
    <row r="118" spans="1:100" ht="13.5" x14ac:dyDescent="0.15">
      <c r="A118" s="15">
        <v>629</v>
      </c>
      <c r="B118" s="27" t="s">
        <v>369</v>
      </c>
      <c r="C118" t="s">
        <v>364</v>
      </c>
      <c r="F118" t="s">
        <v>365</v>
      </c>
      <c r="G118" t="s">
        <v>370</v>
      </c>
      <c r="H118" t="s">
        <v>371</v>
      </c>
      <c r="I118" s="6" t="s">
        <v>130</v>
      </c>
      <c r="J118" s="6">
        <v>0</v>
      </c>
      <c r="K118" t="s">
        <v>372</v>
      </c>
      <c r="L118" s="15">
        <v>1</v>
      </c>
      <c r="N118" s="7">
        <v>46266</v>
      </c>
      <c r="O118" s="7">
        <v>46265</v>
      </c>
      <c r="P118" s="7">
        <v>46266</v>
      </c>
      <c r="S118" s="6" t="s">
        <v>368</v>
      </c>
      <c r="U118" s="6" t="s">
        <v>150</v>
      </c>
      <c r="V118" s="6" t="str">
        <f>TEXT(N118,"YY/MM")</f>
        <v>26/09</v>
      </c>
      <c r="W118">
        <v>21489</v>
      </c>
      <c r="Y118" s="6" t="s">
        <v>151</v>
      </c>
      <c r="Z118" s="6" t="s">
        <v>152</v>
      </c>
      <c r="AD118">
        <v>8243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1</v>
      </c>
      <c r="AP118" s="23">
        <v>0</v>
      </c>
      <c r="AQ118" s="23">
        <v>0</v>
      </c>
      <c r="AR118" s="23">
        <v>0</v>
      </c>
      <c r="AS118" s="23">
        <v>0</v>
      </c>
      <c r="AT118" s="23">
        <v>1</v>
      </c>
      <c r="AU118" s="23">
        <v>1</v>
      </c>
      <c r="AV118" s="23">
        <v>0</v>
      </c>
      <c r="AW118" s="23">
        <v>0</v>
      </c>
      <c r="AX118" s="23">
        <v>1</v>
      </c>
      <c r="AY118" s="23">
        <v>0</v>
      </c>
      <c r="AZ118" s="23">
        <v>0</v>
      </c>
      <c r="BA118" s="23">
        <v>0</v>
      </c>
      <c r="BB118" s="23">
        <v>1</v>
      </c>
      <c r="BC118" s="23">
        <v>0</v>
      </c>
      <c r="BD118" s="23">
        <v>0</v>
      </c>
      <c r="BE118" s="23">
        <v>0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>$L118*AI118</f>
        <v>1</v>
      </c>
      <c r="BQ118" s="23">
        <f>$L118*AJ118</f>
        <v>1</v>
      </c>
      <c r="BR118" s="23">
        <f>$L118*AK118</f>
        <v>0</v>
      </c>
      <c r="BS118" s="23">
        <f>$L118*AL118</f>
        <v>0</v>
      </c>
      <c r="BT118" s="23">
        <f>$L118*AM118</f>
        <v>1</v>
      </c>
      <c r="BU118" s="23">
        <f>$L118*AN118</f>
        <v>0</v>
      </c>
      <c r="BV118" s="23">
        <f>$L118*AO118</f>
        <v>1</v>
      </c>
      <c r="BW118" s="23">
        <f>$L118*AP118</f>
        <v>0</v>
      </c>
      <c r="BX118" s="23">
        <f>$L118*AQ118</f>
        <v>0</v>
      </c>
      <c r="BY118" s="23">
        <f>$L118*AR118</f>
        <v>0</v>
      </c>
      <c r="BZ118" s="23">
        <f>$L118*AS118</f>
        <v>0</v>
      </c>
      <c r="CA118" s="23">
        <f>$L118*AT118</f>
        <v>1</v>
      </c>
      <c r="CB118" s="23">
        <f>$L118*AU118</f>
        <v>1</v>
      </c>
      <c r="CC118" s="23">
        <f>$L118*AV118</f>
        <v>0</v>
      </c>
      <c r="CD118" s="23">
        <f>$L118*AW118</f>
        <v>0</v>
      </c>
      <c r="CE118" s="23">
        <f>$L118*AX118</f>
        <v>1</v>
      </c>
      <c r="CF118" s="23">
        <f>$L118*AY118</f>
        <v>0</v>
      </c>
      <c r="CG118" s="23">
        <f>$L118*AZ118</f>
        <v>0</v>
      </c>
      <c r="CH118" s="23">
        <f>$L118*BA118</f>
        <v>0</v>
      </c>
      <c r="CI118" s="23">
        <f>$L118*BB118</f>
        <v>1</v>
      </c>
      <c r="CJ118" s="23">
        <f>$L118*BC118</f>
        <v>0</v>
      </c>
      <c r="CK118" s="23">
        <f>$L118*BD118</f>
        <v>0</v>
      </c>
      <c r="CL118" s="23">
        <f>$L118*BE118</f>
        <v>0</v>
      </c>
      <c r="CM118" s="23">
        <f>$L118*BF118</f>
        <v>1</v>
      </c>
      <c r="CN118" s="23">
        <f>$L118*BG118</f>
        <v>0</v>
      </c>
      <c r="CO118" s="23">
        <f>$L118*BH118</f>
        <v>0</v>
      </c>
      <c r="CP118" s="23">
        <f>$L118*BI118</f>
        <v>0</v>
      </c>
      <c r="CQ118" s="23">
        <f>$L118*BJ118</f>
        <v>0</v>
      </c>
      <c r="CR118" s="23">
        <f>$L118*BK118</f>
        <v>0</v>
      </c>
      <c r="CS118" s="23">
        <f>$L118*BL118</f>
        <v>0</v>
      </c>
      <c r="CT118" s="23">
        <f>$L118*BM118</f>
        <v>0</v>
      </c>
      <c r="CU118" s="23">
        <f>$L118*BN118</f>
        <v>0</v>
      </c>
      <c r="CV118" s="23">
        <f>$L118*BO118</f>
        <v>0</v>
      </c>
    </row>
    <row r="119" spans="1:100" ht="13.5" x14ac:dyDescent="0.15">
      <c r="A119" s="15">
        <v>557</v>
      </c>
      <c r="B119" s="27" t="s">
        <v>374</v>
      </c>
      <c r="C119" t="s">
        <v>197</v>
      </c>
      <c r="E119" t="s">
        <v>199</v>
      </c>
      <c r="F119" t="s">
        <v>155</v>
      </c>
      <c r="G119" t="s">
        <v>199</v>
      </c>
      <c r="H119" t="s">
        <v>200</v>
      </c>
      <c r="I119" s="6" t="s">
        <v>136</v>
      </c>
      <c r="J119" s="6">
        <v>0</v>
      </c>
      <c r="K119" t="s">
        <v>201</v>
      </c>
      <c r="L119" s="15">
        <v>1</v>
      </c>
      <c r="M119" s="7">
        <v>46255</v>
      </c>
      <c r="N119" s="7">
        <v>46267</v>
      </c>
      <c r="O119" s="7">
        <v>46266</v>
      </c>
      <c r="P119" s="7">
        <v>46266</v>
      </c>
      <c r="S119" s="6" t="s">
        <v>199</v>
      </c>
      <c r="U119" s="6" t="s">
        <v>150</v>
      </c>
      <c r="V119" s="6" t="str">
        <f>TEXT(N119,"YY/MM")</f>
        <v>26/09</v>
      </c>
      <c r="W119">
        <v>21490</v>
      </c>
      <c r="Y119" s="6" t="s">
        <v>203</v>
      </c>
      <c r="Z119" s="6" t="s">
        <v>152</v>
      </c>
      <c r="AE119">
        <v>1293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0</v>
      </c>
      <c r="AP119" s="23">
        <v>1</v>
      </c>
      <c r="AQ119" s="23">
        <v>0</v>
      </c>
      <c r="AR119" s="23">
        <v>0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1</v>
      </c>
      <c r="AY119" s="23">
        <v>0</v>
      </c>
      <c r="AZ119" s="23">
        <v>0</v>
      </c>
      <c r="BA119" s="23">
        <v>0</v>
      </c>
      <c r="BB119" s="23">
        <v>1</v>
      </c>
      <c r="BC119" s="23">
        <v>0</v>
      </c>
      <c r="BD119" s="23">
        <v>0</v>
      </c>
      <c r="BE119" s="23">
        <v>0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>$L119*AI119</f>
        <v>1</v>
      </c>
      <c r="BQ119" s="23">
        <f>$L119*AJ119</f>
        <v>1</v>
      </c>
      <c r="BR119" s="23">
        <f>$L119*AK119</f>
        <v>0</v>
      </c>
      <c r="BS119" s="23">
        <f>$L119*AL119</f>
        <v>0</v>
      </c>
      <c r="BT119" s="23">
        <f>$L119*AM119</f>
        <v>1</v>
      </c>
      <c r="BU119" s="23">
        <f>$L119*AN119</f>
        <v>0</v>
      </c>
      <c r="BV119" s="23">
        <f>$L119*AO119</f>
        <v>0</v>
      </c>
      <c r="BW119" s="23">
        <f>$L119*AP119</f>
        <v>1</v>
      </c>
      <c r="BX119" s="23">
        <f>$L119*AQ119</f>
        <v>0</v>
      </c>
      <c r="BY119" s="23">
        <f>$L119*AR119</f>
        <v>0</v>
      </c>
      <c r="BZ119" s="23">
        <f>$L119*AS119</f>
        <v>1</v>
      </c>
      <c r="CA119" s="23">
        <f>$L119*AT119</f>
        <v>0</v>
      </c>
      <c r="CB119" s="23">
        <f>$L119*AU119</f>
        <v>1</v>
      </c>
      <c r="CC119" s="23">
        <f>$L119*AV119</f>
        <v>0</v>
      </c>
      <c r="CD119" s="23">
        <f>$L119*AW119</f>
        <v>0</v>
      </c>
      <c r="CE119" s="23">
        <f>$L119*AX119</f>
        <v>1</v>
      </c>
      <c r="CF119" s="23">
        <f>$L119*AY119</f>
        <v>0</v>
      </c>
      <c r="CG119" s="23">
        <f>$L119*AZ119</f>
        <v>0</v>
      </c>
      <c r="CH119" s="23">
        <f>$L119*BA119</f>
        <v>0</v>
      </c>
      <c r="CI119" s="23">
        <f>$L119*BB119</f>
        <v>1</v>
      </c>
      <c r="CJ119" s="23">
        <f>$L119*BC119</f>
        <v>0</v>
      </c>
      <c r="CK119" s="23">
        <f>$L119*BD119</f>
        <v>0</v>
      </c>
      <c r="CL119" s="23">
        <f>$L119*BE119</f>
        <v>0</v>
      </c>
      <c r="CM119" s="23">
        <f>$L119*BF119</f>
        <v>1</v>
      </c>
      <c r="CN119" s="23">
        <f>$L119*BG119</f>
        <v>0</v>
      </c>
      <c r="CO119" s="23">
        <f>$L119*BH119</f>
        <v>0</v>
      </c>
      <c r="CP119" s="23">
        <f>$L119*BI119</f>
        <v>0</v>
      </c>
      <c r="CQ119" s="23">
        <f>$L119*BJ119</f>
        <v>0</v>
      </c>
      <c r="CR119" s="23">
        <f>$L119*BK119</f>
        <v>0</v>
      </c>
      <c r="CS119" s="23">
        <f>$L119*BL119</f>
        <v>0</v>
      </c>
      <c r="CT119" s="23">
        <f>$L119*BM119</f>
        <v>0</v>
      </c>
      <c r="CU119" s="23">
        <f>$L119*BN119</f>
        <v>0</v>
      </c>
      <c r="CV119" s="23">
        <f>$L119*BO119</f>
        <v>0</v>
      </c>
    </row>
    <row r="120" spans="1:100" ht="13.5" x14ac:dyDescent="0.15">
      <c r="A120" s="15">
        <v>560</v>
      </c>
      <c r="B120" s="27" t="s">
        <v>376</v>
      </c>
      <c r="C120" t="s">
        <v>138</v>
      </c>
      <c r="E120" t="s">
        <v>256</v>
      </c>
      <c r="F120" t="s">
        <v>155</v>
      </c>
      <c r="G120" t="s">
        <v>256</v>
      </c>
      <c r="H120" t="s">
        <v>257</v>
      </c>
      <c r="I120" s="6" t="s">
        <v>136</v>
      </c>
      <c r="J120" s="6">
        <v>1</v>
      </c>
      <c r="K120" t="s">
        <v>258</v>
      </c>
      <c r="L120" s="15">
        <v>1</v>
      </c>
      <c r="M120" s="7">
        <v>46255</v>
      </c>
      <c r="N120" s="7">
        <v>46267</v>
      </c>
      <c r="O120" s="7">
        <v>46266</v>
      </c>
      <c r="P120" s="7">
        <v>46266</v>
      </c>
      <c r="S120" s="6" t="s">
        <v>256</v>
      </c>
      <c r="U120" s="6" t="s">
        <v>150</v>
      </c>
      <c r="V120" s="6" t="str">
        <f>TEXT(N120,"YY/MM")</f>
        <v>26/09</v>
      </c>
      <c r="W120">
        <v>21491</v>
      </c>
      <c r="Y120" s="6" t="s">
        <v>151</v>
      </c>
      <c r="Z120" s="6" t="s">
        <v>152</v>
      </c>
      <c r="AD120">
        <v>8244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1</v>
      </c>
      <c r="AP120" s="23">
        <v>0</v>
      </c>
      <c r="AQ120" s="23">
        <v>0</v>
      </c>
      <c r="AR120" s="23">
        <v>0</v>
      </c>
      <c r="AS120" s="23">
        <v>0</v>
      </c>
      <c r="AT120" s="23">
        <v>1</v>
      </c>
      <c r="AU120" s="23">
        <v>1</v>
      </c>
      <c r="AV120" s="23">
        <v>0</v>
      </c>
      <c r="AW120" s="23">
        <v>0</v>
      </c>
      <c r="AX120" s="23">
        <v>1</v>
      </c>
      <c r="AY120" s="23">
        <v>0</v>
      </c>
      <c r="AZ120" s="23">
        <v>0</v>
      </c>
      <c r="BA120" s="23">
        <v>0</v>
      </c>
      <c r="BB120" s="23">
        <v>1</v>
      </c>
      <c r="BC120" s="23">
        <v>0</v>
      </c>
      <c r="BD120" s="23">
        <v>0</v>
      </c>
      <c r="BE120" s="23">
        <v>0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>$L120*AI120</f>
        <v>1</v>
      </c>
      <c r="BQ120" s="23">
        <f>$L120*AJ120</f>
        <v>1</v>
      </c>
      <c r="BR120" s="23">
        <f>$L120*AK120</f>
        <v>0</v>
      </c>
      <c r="BS120" s="23">
        <f>$L120*AL120</f>
        <v>0</v>
      </c>
      <c r="BT120" s="23">
        <f>$L120*AM120</f>
        <v>1</v>
      </c>
      <c r="BU120" s="23">
        <f>$L120*AN120</f>
        <v>0</v>
      </c>
      <c r="BV120" s="23">
        <f>$L120*AO120</f>
        <v>1</v>
      </c>
      <c r="BW120" s="23">
        <f>$L120*AP120</f>
        <v>0</v>
      </c>
      <c r="BX120" s="23">
        <f>$L120*AQ120</f>
        <v>0</v>
      </c>
      <c r="BY120" s="23">
        <f>$L120*AR120</f>
        <v>0</v>
      </c>
      <c r="BZ120" s="23">
        <f>$L120*AS120</f>
        <v>0</v>
      </c>
      <c r="CA120" s="23">
        <f>$L120*AT120</f>
        <v>1</v>
      </c>
      <c r="CB120" s="23">
        <f>$L120*AU120</f>
        <v>1</v>
      </c>
      <c r="CC120" s="23">
        <f>$L120*AV120</f>
        <v>0</v>
      </c>
      <c r="CD120" s="23">
        <f>$L120*AW120</f>
        <v>0</v>
      </c>
      <c r="CE120" s="23">
        <f>$L120*AX120</f>
        <v>1</v>
      </c>
      <c r="CF120" s="23">
        <f>$L120*AY120</f>
        <v>0</v>
      </c>
      <c r="CG120" s="23">
        <f>$L120*AZ120</f>
        <v>0</v>
      </c>
      <c r="CH120" s="23">
        <f>$L120*BA120</f>
        <v>0</v>
      </c>
      <c r="CI120" s="23">
        <f>$L120*BB120</f>
        <v>1</v>
      </c>
      <c r="CJ120" s="23">
        <f>$L120*BC120</f>
        <v>0</v>
      </c>
      <c r="CK120" s="23">
        <f>$L120*BD120</f>
        <v>0</v>
      </c>
      <c r="CL120" s="23">
        <f>$L120*BE120</f>
        <v>0</v>
      </c>
      <c r="CM120" s="23">
        <f>$L120*BF120</f>
        <v>1</v>
      </c>
      <c r="CN120" s="23">
        <f>$L120*BG120</f>
        <v>0</v>
      </c>
      <c r="CO120" s="23">
        <f>$L120*BH120</f>
        <v>0</v>
      </c>
      <c r="CP120" s="23">
        <f>$L120*BI120</f>
        <v>0</v>
      </c>
      <c r="CQ120" s="23">
        <f>$L120*BJ120</f>
        <v>0</v>
      </c>
      <c r="CR120" s="23">
        <f>$L120*BK120</f>
        <v>0</v>
      </c>
      <c r="CS120" s="23">
        <f>$L120*BL120</f>
        <v>0</v>
      </c>
      <c r="CT120" s="23">
        <f>$L120*BM120</f>
        <v>0</v>
      </c>
      <c r="CU120" s="23">
        <f>$L120*BN120</f>
        <v>0</v>
      </c>
      <c r="CV120" s="23">
        <f>$L120*BO120</f>
        <v>0</v>
      </c>
    </row>
    <row r="121" spans="1:100" ht="13.5" x14ac:dyDescent="0.15">
      <c r="A121" s="15">
        <v>559</v>
      </c>
      <c r="B121" s="27" t="s">
        <v>375</v>
      </c>
      <c r="C121" t="s">
        <v>138</v>
      </c>
      <c r="E121" t="s">
        <v>256</v>
      </c>
      <c r="F121" t="s">
        <v>155</v>
      </c>
      <c r="G121" t="s">
        <v>256</v>
      </c>
      <c r="H121" t="s">
        <v>257</v>
      </c>
      <c r="I121" s="6" t="s">
        <v>136</v>
      </c>
      <c r="J121" s="6">
        <v>1</v>
      </c>
      <c r="K121" t="s">
        <v>258</v>
      </c>
      <c r="L121" s="15">
        <v>1</v>
      </c>
      <c r="M121" s="7">
        <v>46255</v>
      </c>
      <c r="N121" s="7">
        <v>46267</v>
      </c>
      <c r="O121" s="7">
        <v>46266</v>
      </c>
      <c r="P121" s="7">
        <v>46266</v>
      </c>
      <c r="S121" s="6" t="s">
        <v>256</v>
      </c>
      <c r="U121" s="6" t="s">
        <v>150</v>
      </c>
      <c r="V121" s="6" t="str">
        <f>TEXT(N121,"YY/MM")</f>
        <v>26/09</v>
      </c>
      <c r="W121">
        <v>21492</v>
      </c>
      <c r="Y121" s="6" t="s">
        <v>151</v>
      </c>
      <c r="Z121" s="6" t="s">
        <v>152</v>
      </c>
      <c r="AD121">
        <v>8245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1</v>
      </c>
      <c r="AP121" s="23">
        <v>0</v>
      </c>
      <c r="AQ121" s="23">
        <v>0</v>
      </c>
      <c r="AR121" s="23">
        <v>0</v>
      </c>
      <c r="AS121" s="23">
        <v>0</v>
      </c>
      <c r="AT121" s="23">
        <v>1</v>
      </c>
      <c r="AU121" s="23">
        <v>1</v>
      </c>
      <c r="AV121" s="23">
        <v>0</v>
      </c>
      <c r="AW121" s="23">
        <v>0</v>
      </c>
      <c r="AX121" s="23">
        <v>1</v>
      </c>
      <c r="AY121" s="23">
        <v>0</v>
      </c>
      <c r="AZ121" s="23">
        <v>0</v>
      </c>
      <c r="BA121" s="23">
        <v>0</v>
      </c>
      <c r="BB121" s="23">
        <v>1</v>
      </c>
      <c r="BC121" s="23">
        <v>0</v>
      </c>
      <c r="BD121" s="23">
        <v>0</v>
      </c>
      <c r="BE121" s="23">
        <v>0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>$L121*AI121</f>
        <v>1</v>
      </c>
      <c r="BQ121" s="23">
        <f>$L121*AJ121</f>
        <v>1</v>
      </c>
      <c r="BR121" s="23">
        <f>$L121*AK121</f>
        <v>0</v>
      </c>
      <c r="BS121" s="23">
        <f>$L121*AL121</f>
        <v>0</v>
      </c>
      <c r="BT121" s="23">
        <f>$L121*AM121</f>
        <v>1</v>
      </c>
      <c r="BU121" s="23">
        <f>$L121*AN121</f>
        <v>0</v>
      </c>
      <c r="BV121" s="23">
        <f>$L121*AO121</f>
        <v>1</v>
      </c>
      <c r="BW121" s="23">
        <f>$L121*AP121</f>
        <v>0</v>
      </c>
      <c r="BX121" s="23">
        <f>$L121*AQ121</f>
        <v>0</v>
      </c>
      <c r="BY121" s="23">
        <f>$L121*AR121</f>
        <v>0</v>
      </c>
      <c r="BZ121" s="23">
        <f>$L121*AS121</f>
        <v>0</v>
      </c>
      <c r="CA121" s="23">
        <f>$L121*AT121</f>
        <v>1</v>
      </c>
      <c r="CB121" s="23">
        <f>$L121*AU121</f>
        <v>1</v>
      </c>
      <c r="CC121" s="23">
        <f>$L121*AV121</f>
        <v>0</v>
      </c>
      <c r="CD121" s="23">
        <f>$L121*AW121</f>
        <v>0</v>
      </c>
      <c r="CE121" s="23">
        <f>$L121*AX121</f>
        <v>1</v>
      </c>
      <c r="CF121" s="23">
        <f>$L121*AY121</f>
        <v>0</v>
      </c>
      <c r="CG121" s="23">
        <f>$L121*AZ121</f>
        <v>0</v>
      </c>
      <c r="CH121" s="23">
        <f>$L121*BA121</f>
        <v>0</v>
      </c>
      <c r="CI121" s="23">
        <f>$L121*BB121</f>
        <v>1</v>
      </c>
      <c r="CJ121" s="23">
        <f>$L121*BC121</f>
        <v>0</v>
      </c>
      <c r="CK121" s="23">
        <f>$L121*BD121</f>
        <v>0</v>
      </c>
      <c r="CL121" s="23">
        <f>$L121*BE121</f>
        <v>0</v>
      </c>
      <c r="CM121" s="23">
        <f>$L121*BF121</f>
        <v>1</v>
      </c>
      <c r="CN121" s="23">
        <f>$L121*BG121</f>
        <v>0</v>
      </c>
      <c r="CO121" s="23">
        <f>$L121*BH121</f>
        <v>0</v>
      </c>
      <c r="CP121" s="23">
        <f>$L121*BI121</f>
        <v>0</v>
      </c>
      <c r="CQ121" s="23">
        <f>$L121*BJ121</f>
        <v>0</v>
      </c>
      <c r="CR121" s="23">
        <f>$L121*BK121</f>
        <v>0</v>
      </c>
      <c r="CS121" s="23">
        <f>$L121*BL121</f>
        <v>0</v>
      </c>
      <c r="CT121" s="23">
        <f>$L121*BM121</f>
        <v>0</v>
      </c>
      <c r="CU121" s="23">
        <f>$L121*BN121</f>
        <v>0</v>
      </c>
      <c r="CV121" s="23">
        <f>$L121*BO121</f>
        <v>0</v>
      </c>
    </row>
    <row r="122" spans="1:100" ht="13.5" x14ac:dyDescent="0.15">
      <c r="A122" s="15">
        <v>569</v>
      </c>
      <c r="B122" s="27" t="s">
        <v>384</v>
      </c>
      <c r="C122" t="s">
        <v>153</v>
      </c>
      <c r="E122" t="s">
        <v>154</v>
      </c>
      <c r="F122" t="s">
        <v>155</v>
      </c>
      <c r="G122" t="s">
        <v>154</v>
      </c>
      <c r="H122" t="s">
        <v>156</v>
      </c>
      <c r="I122" s="6" t="s">
        <v>136</v>
      </c>
      <c r="J122" s="6">
        <v>1</v>
      </c>
      <c r="L122" s="15">
        <v>1</v>
      </c>
      <c r="M122" s="7">
        <v>46255</v>
      </c>
      <c r="N122" s="7">
        <v>46267</v>
      </c>
      <c r="O122" s="7">
        <v>46266</v>
      </c>
      <c r="P122" s="7">
        <v>46266</v>
      </c>
      <c r="S122" s="6" t="s">
        <v>154</v>
      </c>
      <c r="U122" s="6" t="s">
        <v>150</v>
      </c>
      <c r="V122" s="6" t="str">
        <f>TEXT(N122,"YY/MM")</f>
        <v>26/09</v>
      </c>
      <c r="W122">
        <v>21493</v>
      </c>
      <c r="Y122" s="6" t="s">
        <v>157</v>
      </c>
      <c r="Z122" s="6" t="s">
        <v>158</v>
      </c>
      <c r="AA122">
        <v>3271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1</v>
      </c>
      <c r="AP122" s="23">
        <v>0</v>
      </c>
      <c r="AQ122" s="23">
        <v>0</v>
      </c>
      <c r="AR122" s="23">
        <v>0</v>
      </c>
      <c r="AS122" s="23">
        <v>0</v>
      </c>
      <c r="AT122" s="23">
        <v>1</v>
      </c>
      <c r="AU122" s="23">
        <v>1</v>
      </c>
      <c r="AV122" s="23">
        <v>0</v>
      </c>
      <c r="AW122" s="23">
        <v>0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3">
        <v>0</v>
      </c>
      <c r="BD122" s="23">
        <v>0</v>
      </c>
      <c r="BE122" s="23">
        <v>0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>$L122*AI122</f>
        <v>1</v>
      </c>
      <c r="BQ122" s="23">
        <f>$L122*AJ122</f>
        <v>1</v>
      </c>
      <c r="BR122" s="23">
        <f>$L122*AK122</f>
        <v>0</v>
      </c>
      <c r="BS122" s="23">
        <f>$L122*AL122</f>
        <v>0</v>
      </c>
      <c r="BT122" s="23">
        <f>$L122*AM122</f>
        <v>1</v>
      </c>
      <c r="BU122" s="23">
        <f>$L122*AN122</f>
        <v>0</v>
      </c>
      <c r="BV122" s="23">
        <f>$L122*AO122</f>
        <v>1</v>
      </c>
      <c r="BW122" s="23">
        <f>$L122*AP122</f>
        <v>0</v>
      </c>
      <c r="BX122" s="23">
        <f>$L122*AQ122</f>
        <v>0</v>
      </c>
      <c r="BY122" s="23">
        <f>$L122*AR122</f>
        <v>0</v>
      </c>
      <c r="BZ122" s="23">
        <f>$L122*AS122</f>
        <v>0</v>
      </c>
      <c r="CA122" s="23">
        <f>$L122*AT122</f>
        <v>1</v>
      </c>
      <c r="CB122" s="23">
        <f>$L122*AU122</f>
        <v>1</v>
      </c>
      <c r="CC122" s="23">
        <f>$L122*AV122</f>
        <v>0</v>
      </c>
      <c r="CD122" s="23">
        <f>$L122*AW122</f>
        <v>0</v>
      </c>
      <c r="CE122" s="23">
        <f>$L122*AX122</f>
        <v>1</v>
      </c>
      <c r="CF122" s="23">
        <f>$L122*AY122</f>
        <v>0</v>
      </c>
      <c r="CG122" s="23">
        <f>$L122*AZ122</f>
        <v>0</v>
      </c>
      <c r="CH122" s="23">
        <f>$L122*BA122</f>
        <v>0</v>
      </c>
      <c r="CI122" s="23">
        <f>$L122*BB122</f>
        <v>1</v>
      </c>
      <c r="CJ122" s="23">
        <f>$L122*BC122</f>
        <v>0</v>
      </c>
      <c r="CK122" s="23">
        <f>$L122*BD122</f>
        <v>0</v>
      </c>
      <c r="CL122" s="23">
        <f>$L122*BE122</f>
        <v>0</v>
      </c>
      <c r="CM122" s="23">
        <f>$L122*BF122</f>
        <v>1</v>
      </c>
      <c r="CN122" s="23">
        <f>$L122*BG122</f>
        <v>0</v>
      </c>
      <c r="CO122" s="23">
        <f>$L122*BH122</f>
        <v>0</v>
      </c>
      <c r="CP122" s="23">
        <f>$L122*BI122</f>
        <v>0</v>
      </c>
      <c r="CQ122" s="23">
        <f>$L122*BJ122</f>
        <v>0</v>
      </c>
      <c r="CR122" s="23">
        <f>$L122*BK122</f>
        <v>0</v>
      </c>
      <c r="CS122" s="23">
        <f>$L122*BL122</f>
        <v>0</v>
      </c>
      <c r="CT122" s="23">
        <f>$L122*BM122</f>
        <v>0</v>
      </c>
      <c r="CU122" s="23">
        <f>$L122*BN122</f>
        <v>0</v>
      </c>
      <c r="CV122" s="23">
        <f>$L122*BO122</f>
        <v>0</v>
      </c>
    </row>
    <row r="123" spans="1:100" ht="13.5" x14ac:dyDescent="0.15">
      <c r="A123" s="15">
        <v>568</v>
      </c>
      <c r="B123" s="27" t="s">
        <v>383</v>
      </c>
      <c r="C123" t="s">
        <v>153</v>
      </c>
      <c r="E123" t="s">
        <v>154</v>
      </c>
      <c r="F123" t="s">
        <v>155</v>
      </c>
      <c r="G123" t="s">
        <v>154</v>
      </c>
      <c r="H123" t="s">
        <v>156</v>
      </c>
      <c r="I123" s="6" t="s">
        <v>136</v>
      </c>
      <c r="J123" s="6">
        <v>1</v>
      </c>
      <c r="L123" s="15">
        <v>1</v>
      </c>
      <c r="M123" s="7">
        <v>46255</v>
      </c>
      <c r="N123" s="7">
        <v>46267</v>
      </c>
      <c r="O123" s="7">
        <v>46266</v>
      </c>
      <c r="P123" s="7">
        <v>46266</v>
      </c>
      <c r="S123" s="6" t="s">
        <v>154</v>
      </c>
      <c r="U123" s="6" t="s">
        <v>150</v>
      </c>
      <c r="V123" s="6" t="str">
        <f>TEXT(N123,"YY/MM")</f>
        <v>26/09</v>
      </c>
      <c r="W123">
        <v>21494</v>
      </c>
      <c r="Y123" s="6" t="s">
        <v>157</v>
      </c>
      <c r="Z123" s="6" t="s">
        <v>158</v>
      </c>
      <c r="AA123">
        <v>3272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1</v>
      </c>
      <c r="AP123" s="23">
        <v>0</v>
      </c>
      <c r="AQ123" s="23">
        <v>0</v>
      </c>
      <c r="AR123" s="23">
        <v>0</v>
      </c>
      <c r="AS123" s="23">
        <v>0</v>
      </c>
      <c r="AT123" s="23">
        <v>1</v>
      </c>
      <c r="AU123" s="23">
        <v>1</v>
      </c>
      <c r="AV123" s="23">
        <v>0</v>
      </c>
      <c r="AW123" s="23">
        <v>0</v>
      </c>
      <c r="AX123" s="23">
        <v>1</v>
      </c>
      <c r="AY123" s="23">
        <v>0</v>
      </c>
      <c r="AZ123" s="23">
        <v>0</v>
      </c>
      <c r="BA123" s="23">
        <v>0</v>
      </c>
      <c r="BB123" s="23">
        <v>1</v>
      </c>
      <c r="BC123" s="23">
        <v>0</v>
      </c>
      <c r="BD123" s="23">
        <v>0</v>
      </c>
      <c r="BE123" s="23">
        <v>0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>$L123*AI123</f>
        <v>1</v>
      </c>
      <c r="BQ123" s="23">
        <f>$L123*AJ123</f>
        <v>1</v>
      </c>
      <c r="BR123" s="23">
        <f>$L123*AK123</f>
        <v>0</v>
      </c>
      <c r="BS123" s="23">
        <f>$L123*AL123</f>
        <v>0</v>
      </c>
      <c r="BT123" s="23">
        <f>$L123*AM123</f>
        <v>1</v>
      </c>
      <c r="BU123" s="23">
        <f>$L123*AN123</f>
        <v>0</v>
      </c>
      <c r="BV123" s="23">
        <f>$L123*AO123</f>
        <v>1</v>
      </c>
      <c r="BW123" s="23">
        <f>$L123*AP123</f>
        <v>0</v>
      </c>
      <c r="BX123" s="23">
        <f>$L123*AQ123</f>
        <v>0</v>
      </c>
      <c r="BY123" s="23">
        <f>$L123*AR123</f>
        <v>0</v>
      </c>
      <c r="BZ123" s="23">
        <f>$L123*AS123</f>
        <v>0</v>
      </c>
      <c r="CA123" s="23">
        <f>$L123*AT123</f>
        <v>1</v>
      </c>
      <c r="CB123" s="23">
        <f>$L123*AU123</f>
        <v>1</v>
      </c>
      <c r="CC123" s="23">
        <f>$L123*AV123</f>
        <v>0</v>
      </c>
      <c r="CD123" s="23">
        <f>$L123*AW123</f>
        <v>0</v>
      </c>
      <c r="CE123" s="23">
        <f>$L123*AX123</f>
        <v>1</v>
      </c>
      <c r="CF123" s="23">
        <f>$L123*AY123</f>
        <v>0</v>
      </c>
      <c r="CG123" s="23">
        <f>$L123*AZ123</f>
        <v>0</v>
      </c>
      <c r="CH123" s="23">
        <f>$L123*BA123</f>
        <v>0</v>
      </c>
      <c r="CI123" s="23">
        <f>$L123*BB123</f>
        <v>1</v>
      </c>
      <c r="CJ123" s="23">
        <f>$L123*BC123</f>
        <v>0</v>
      </c>
      <c r="CK123" s="23">
        <f>$L123*BD123</f>
        <v>0</v>
      </c>
      <c r="CL123" s="23">
        <f>$L123*BE123</f>
        <v>0</v>
      </c>
      <c r="CM123" s="23">
        <f>$L123*BF123</f>
        <v>1</v>
      </c>
      <c r="CN123" s="23">
        <f>$L123*BG123</f>
        <v>0</v>
      </c>
      <c r="CO123" s="23">
        <f>$L123*BH123</f>
        <v>0</v>
      </c>
      <c r="CP123" s="23">
        <f>$L123*BI123</f>
        <v>0</v>
      </c>
      <c r="CQ123" s="23">
        <f>$L123*BJ123</f>
        <v>0</v>
      </c>
      <c r="CR123" s="23">
        <f>$L123*BK123</f>
        <v>0</v>
      </c>
      <c r="CS123" s="23">
        <f>$L123*BL123</f>
        <v>0</v>
      </c>
      <c r="CT123" s="23">
        <f>$L123*BM123</f>
        <v>0</v>
      </c>
      <c r="CU123" s="23">
        <f>$L123*BN123</f>
        <v>0</v>
      </c>
      <c r="CV123" s="23">
        <f>$L123*BO123</f>
        <v>0</v>
      </c>
    </row>
    <row r="124" spans="1:100" ht="13.5" x14ac:dyDescent="0.15">
      <c r="A124" s="15">
        <v>562</v>
      </c>
      <c r="B124" s="27" t="s">
        <v>377</v>
      </c>
      <c r="C124" t="s">
        <v>153</v>
      </c>
      <c r="E124" t="s">
        <v>154</v>
      </c>
      <c r="F124" t="s">
        <v>155</v>
      </c>
      <c r="G124" t="s">
        <v>154</v>
      </c>
      <c r="H124" t="s">
        <v>156</v>
      </c>
      <c r="I124" s="6" t="s">
        <v>136</v>
      </c>
      <c r="J124" s="6">
        <v>1</v>
      </c>
      <c r="L124" s="15">
        <v>1</v>
      </c>
      <c r="M124" s="7">
        <v>46255</v>
      </c>
      <c r="N124" s="7">
        <v>46267</v>
      </c>
      <c r="O124" s="7">
        <v>46266</v>
      </c>
      <c r="P124" s="7">
        <v>46266</v>
      </c>
      <c r="S124" s="6" t="s">
        <v>154</v>
      </c>
      <c r="U124" s="6" t="s">
        <v>150</v>
      </c>
      <c r="V124" s="6" t="str">
        <f>TEXT(N124,"YY/MM")</f>
        <v>26/09</v>
      </c>
      <c r="W124">
        <v>21495</v>
      </c>
      <c r="Y124" s="6" t="s">
        <v>157</v>
      </c>
      <c r="Z124" s="6" t="s">
        <v>158</v>
      </c>
      <c r="AA124">
        <v>3273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1</v>
      </c>
      <c r="AP124" s="23">
        <v>0</v>
      </c>
      <c r="AQ124" s="23">
        <v>0</v>
      </c>
      <c r="AR124" s="23">
        <v>0</v>
      </c>
      <c r="AS124" s="23">
        <v>0</v>
      </c>
      <c r="AT124" s="23">
        <v>1</v>
      </c>
      <c r="AU124" s="23">
        <v>1</v>
      </c>
      <c r="AV124" s="23">
        <v>0</v>
      </c>
      <c r="AW124" s="23">
        <v>0</v>
      </c>
      <c r="AX124" s="23">
        <v>1</v>
      </c>
      <c r="AY124" s="23">
        <v>0</v>
      </c>
      <c r="AZ124" s="23">
        <v>0</v>
      </c>
      <c r="BA124" s="23">
        <v>0</v>
      </c>
      <c r="BB124" s="23">
        <v>1</v>
      </c>
      <c r="BC124" s="23">
        <v>0</v>
      </c>
      <c r="BD124" s="23">
        <v>0</v>
      </c>
      <c r="BE124" s="23">
        <v>0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>$L124*AI124</f>
        <v>1</v>
      </c>
      <c r="BQ124" s="23">
        <f>$L124*AJ124</f>
        <v>1</v>
      </c>
      <c r="BR124" s="23">
        <f>$L124*AK124</f>
        <v>0</v>
      </c>
      <c r="BS124" s="23">
        <f>$L124*AL124</f>
        <v>0</v>
      </c>
      <c r="BT124" s="23">
        <f>$L124*AM124</f>
        <v>1</v>
      </c>
      <c r="BU124" s="23">
        <f>$L124*AN124</f>
        <v>0</v>
      </c>
      <c r="BV124" s="23">
        <f>$L124*AO124</f>
        <v>1</v>
      </c>
      <c r="BW124" s="23">
        <f>$L124*AP124</f>
        <v>0</v>
      </c>
      <c r="BX124" s="23">
        <f>$L124*AQ124</f>
        <v>0</v>
      </c>
      <c r="BY124" s="23">
        <f>$L124*AR124</f>
        <v>0</v>
      </c>
      <c r="BZ124" s="23">
        <f>$L124*AS124</f>
        <v>0</v>
      </c>
      <c r="CA124" s="23">
        <f>$L124*AT124</f>
        <v>1</v>
      </c>
      <c r="CB124" s="23">
        <f>$L124*AU124</f>
        <v>1</v>
      </c>
      <c r="CC124" s="23">
        <f>$L124*AV124</f>
        <v>0</v>
      </c>
      <c r="CD124" s="23">
        <f>$L124*AW124</f>
        <v>0</v>
      </c>
      <c r="CE124" s="23">
        <f>$L124*AX124</f>
        <v>1</v>
      </c>
      <c r="CF124" s="23">
        <f>$L124*AY124</f>
        <v>0</v>
      </c>
      <c r="CG124" s="23">
        <f>$L124*AZ124</f>
        <v>0</v>
      </c>
      <c r="CH124" s="23">
        <f>$L124*BA124</f>
        <v>0</v>
      </c>
      <c r="CI124" s="23">
        <f>$L124*BB124</f>
        <v>1</v>
      </c>
      <c r="CJ124" s="23">
        <f>$L124*BC124</f>
        <v>0</v>
      </c>
      <c r="CK124" s="23">
        <f>$L124*BD124</f>
        <v>0</v>
      </c>
      <c r="CL124" s="23">
        <f>$L124*BE124</f>
        <v>0</v>
      </c>
      <c r="CM124" s="23">
        <f>$L124*BF124</f>
        <v>1</v>
      </c>
      <c r="CN124" s="23">
        <f>$L124*BG124</f>
        <v>0</v>
      </c>
      <c r="CO124" s="23">
        <f>$L124*BH124</f>
        <v>0</v>
      </c>
      <c r="CP124" s="23">
        <f>$L124*BI124</f>
        <v>0</v>
      </c>
      <c r="CQ124" s="23">
        <f>$L124*BJ124</f>
        <v>0</v>
      </c>
      <c r="CR124" s="23">
        <f>$L124*BK124</f>
        <v>0</v>
      </c>
      <c r="CS124" s="23">
        <f>$L124*BL124</f>
        <v>0</v>
      </c>
      <c r="CT124" s="23">
        <f>$L124*BM124</f>
        <v>0</v>
      </c>
      <c r="CU124" s="23">
        <f>$L124*BN124</f>
        <v>0</v>
      </c>
      <c r="CV124" s="23">
        <f>$L124*BO124</f>
        <v>0</v>
      </c>
    </row>
    <row r="125" spans="1:100" ht="13.5" x14ac:dyDescent="0.15">
      <c r="A125" s="15">
        <v>564</v>
      </c>
      <c r="B125" s="27" t="s">
        <v>379</v>
      </c>
      <c r="C125" t="s">
        <v>153</v>
      </c>
      <c r="E125" t="s">
        <v>154</v>
      </c>
      <c r="F125" t="s">
        <v>155</v>
      </c>
      <c r="G125" t="s">
        <v>154</v>
      </c>
      <c r="H125" t="s">
        <v>156</v>
      </c>
      <c r="I125" s="6" t="s">
        <v>136</v>
      </c>
      <c r="J125" s="6">
        <v>1</v>
      </c>
      <c r="L125" s="15">
        <v>1</v>
      </c>
      <c r="M125" s="7">
        <v>46255</v>
      </c>
      <c r="N125" s="7">
        <v>46267</v>
      </c>
      <c r="O125" s="7">
        <v>46266</v>
      </c>
      <c r="P125" s="7">
        <v>46266</v>
      </c>
      <c r="S125" s="6" t="s">
        <v>154</v>
      </c>
      <c r="U125" s="6" t="s">
        <v>150</v>
      </c>
      <c r="V125" s="6" t="str">
        <f>TEXT(N125,"YY/MM")</f>
        <v>26/09</v>
      </c>
      <c r="W125">
        <v>21496</v>
      </c>
      <c r="Y125" s="6" t="s">
        <v>157</v>
      </c>
      <c r="Z125" s="6" t="s">
        <v>158</v>
      </c>
      <c r="AA125">
        <v>3274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1</v>
      </c>
      <c r="AP125" s="23">
        <v>0</v>
      </c>
      <c r="AQ125" s="23">
        <v>0</v>
      </c>
      <c r="AR125" s="23">
        <v>0</v>
      </c>
      <c r="AS125" s="23">
        <v>0</v>
      </c>
      <c r="AT125" s="23">
        <v>1</v>
      </c>
      <c r="AU125" s="23">
        <v>1</v>
      </c>
      <c r="AV125" s="23">
        <v>0</v>
      </c>
      <c r="AW125" s="23">
        <v>0</v>
      </c>
      <c r="AX125" s="23">
        <v>1</v>
      </c>
      <c r="AY125" s="23">
        <v>0</v>
      </c>
      <c r="AZ125" s="23">
        <v>0</v>
      </c>
      <c r="BA125" s="23">
        <v>0</v>
      </c>
      <c r="BB125" s="23">
        <v>1</v>
      </c>
      <c r="BC125" s="23">
        <v>0</v>
      </c>
      <c r="BD125" s="23">
        <v>0</v>
      </c>
      <c r="BE125" s="23">
        <v>0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>$L125*AI125</f>
        <v>1</v>
      </c>
      <c r="BQ125" s="23">
        <f>$L125*AJ125</f>
        <v>1</v>
      </c>
      <c r="BR125" s="23">
        <f>$L125*AK125</f>
        <v>0</v>
      </c>
      <c r="BS125" s="23">
        <f>$L125*AL125</f>
        <v>0</v>
      </c>
      <c r="BT125" s="23">
        <f>$L125*AM125</f>
        <v>1</v>
      </c>
      <c r="BU125" s="23">
        <f>$L125*AN125</f>
        <v>0</v>
      </c>
      <c r="BV125" s="23">
        <f>$L125*AO125</f>
        <v>1</v>
      </c>
      <c r="BW125" s="23">
        <f>$L125*AP125</f>
        <v>0</v>
      </c>
      <c r="BX125" s="23">
        <f>$L125*AQ125</f>
        <v>0</v>
      </c>
      <c r="BY125" s="23">
        <f>$L125*AR125</f>
        <v>0</v>
      </c>
      <c r="BZ125" s="23">
        <f>$L125*AS125</f>
        <v>0</v>
      </c>
      <c r="CA125" s="23">
        <f>$L125*AT125</f>
        <v>1</v>
      </c>
      <c r="CB125" s="23">
        <f>$L125*AU125</f>
        <v>1</v>
      </c>
      <c r="CC125" s="23">
        <f>$L125*AV125</f>
        <v>0</v>
      </c>
      <c r="CD125" s="23">
        <f>$L125*AW125</f>
        <v>0</v>
      </c>
      <c r="CE125" s="23">
        <f>$L125*AX125</f>
        <v>1</v>
      </c>
      <c r="CF125" s="23">
        <f>$L125*AY125</f>
        <v>0</v>
      </c>
      <c r="CG125" s="23">
        <f>$L125*AZ125</f>
        <v>0</v>
      </c>
      <c r="CH125" s="23">
        <f>$L125*BA125</f>
        <v>0</v>
      </c>
      <c r="CI125" s="23">
        <f>$L125*BB125</f>
        <v>1</v>
      </c>
      <c r="CJ125" s="23">
        <f>$L125*BC125</f>
        <v>0</v>
      </c>
      <c r="CK125" s="23">
        <f>$L125*BD125</f>
        <v>0</v>
      </c>
      <c r="CL125" s="23">
        <f>$L125*BE125</f>
        <v>0</v>
      </c>
      <c r="CM125" s="23">
        <f>$L125*BF125</f>
        <v>1</v>
      </c>
      <c r="CN125" s="23">
        <f>$L125*BG125</f>
        <v>0</v>
      </c>
      <c r="CO125" s="23">
        <f>$L125*BH125</f>
        <v>0</v>
      </c>
      <c r="CP125" s="23">
        <f>$L125*BI125</f>
        <v>0</v>
      </c>
      <c r="CQ125" s="23">
        <f>$L125*BJ125</f>
        <v>0</v>
      </c>
      <c r="CR125" s="23">
        <f>$L125*BK125</f>
        <v>0</v>
      </c>
      <c r="CS125" s="23">
        <f>$L125*BL125</f>
        <v>0</v>
      </c>
      <c r="CT125" s="23">
        <f>$L125*BM125</f>
        <v>0</v>
      </c>
      <c r="CU125" s="23">
        <f>$L125*BN125</f>
        <v>0</v>
      </c>
      <c r="CV125" s="23">
        <f>$L125*BO125</f>
        <v>0</v>
      </c>
    </row>
    <row r="126" spans="1:100" ht="13.5" x14ac:dyDescent="0.15">
      <c r="A126" s="15">
        <v>566</v>
      </c>
      <c r="B126" s="27" t="s">
        <v>381</v>
      </c>
      <c r="C126" t="s">
        <v>153</v>
      </c>
      <c r="E126" t="s">
        <v>154</v>
      </c>
      <c r="F126" t="s">
        <v>155</v>
      </c>
      <c r="G126" t="s">
        <v>154</v>
      </c>
      <c r="H126" t="s">
        <v>156</v>
      </c>
      <c r="I126" s="6" t="s">
        <v>136</v>
      </c>
      <c r="J126" s="6">
        <v>1</v>
      </c>
      <c r="L126" s="15">
        <v>1</v>
      </c>
      <c r="M126" s="7">
        <v>46255</v>
      </c>
      <c r="N126" s="7">
        <v>46267</v>
      </c>
      <c r="O126" s="7">
        <v>46266</v>
      </c>
      <c r="P126" s="7">
        <v>46266</v>
      </c>
      <c r="S126" s="6" t="s">
        <v>154</v>
      </c>
      <c r="U126" s="6" t="s">
        <v>150</v>
      </c>
      <c r="V126" s="6" t="str">
        <f>TEXT(N126,"YY/MM")</f>
        <v>26/09</v>
      </c>
      <c r="W126">
        <v>21497</v>
      </c>
      <c r="Y126" s="6" t="s">
        <v>157</v>
      </c>
      <c r="Z126" s="6" t="s">
        <v>158</v>
      </c>
      <c r="AA126">
        <v>3275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1</v>
      </c>
      <c r="AP126" s="23">
        <v>0</v>
      </c>
      <c r="AQ126" s="23">
        <v>0</v>
      </c>
      <c r="AR126" s="23">
        <v>0</v>
      </c>
      <c r="AS126" s="23">
        <v>0</v>
      </c>
      <c r="AT126" s="23">
        <v>1</v>
      </c>
      <c r="AU126" s="23">
        <v>1</v>
      </c>
      <c r="AV126" s="23">
        <v>0</v>
      </c>
      <c r="AW126" s="23">
        <v>0</v>
      </c>
      <c r="AX126" s="23">
        <v>1</v>
      </c>
      <c r="AY126" s="23">
        <v>0</v>
      </c>
      <c r="AZ126" s="23">
        <v>0</v>
      </c>
      <c r="BA126" s="23">
        <v>0</v>
      </c>
      <c r="BB126" s="23">
        <v>1</v>
      </c>
      <c r="BC126" s="23">
        <v>0</v>
      </c>
      <c r="BD126" s="23">
        <v>0</v>
      </c>
      <c r="BE126" s="23">
        <v>0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>$L126*AI126</f>
        <v>1</v>
      </c>
      <c r="BQ126" s="23">
        <f>$L126*AJ126</f>
        <v>1</v>
      </c>
      <c r="BR126" s="23">
        <f>$L126*AK126</f>
        <v>0</v>
      </c>
      <c r="BS126" s="23">
        <f>$L126*AL126</f>
        <v>0</v>
      </c>
      <c r="BT126" s="23">
        <f>$L126*AM126</f>
        <v>1</v>
      </c>
      <c r="BU126" s="23">
        <f>$L126*AN126</f>
        <v>0</v>
      </c>
      <c r="BV126" s="23">
        <f>$L126*AO126</f>
        <v>1</v>
      </c>
      <c r="BW126" s="23">
        <f>$L126*AP126</f>
        <v>0</v>
      </c>
      <c r="BX126" s="23">
        <f>$L126*AQ126</f>
        <v>0</v>
      </c>
      <c r="BY126" s="23">
        <f>$L126*AR126</f>
        <v>0</v>
      </c>
      <c r="BZ126" s="23">
        <f>$L126*AS126</f>
        <v>0</v>
      </c>
      <c r="CA126" s="23">
        <f>$L126*AT126</f>
        <v>1</v>
      </c>
      <c r="CB126" s="23">
        <f>$L126*AU126</f>
        <v>1</v>
      </c>
      <c r="CC126" s="23">
        <f>$L126*AV126</f>
        <v>0</v>
      </c>
      <c r="CD126" s="23">
        <f>$L126*AW126</f>
        <v>0</v>
      </c>
      <c r="CE126" s="23">
        <f>$L126*AX126</f>
        <v>1</v>
      </c>
      <c r="CF126" s="23">
        <f>$L126*AY126</f>
        <v>0</v>
      </c>
      <c r="CG126" s="23">
        <f>$L126*AZ126</f>
        <v>0</v>
      </c>
      <c r="CH126" s="23">
        <f>$L126*BA126</f>
        <v>0</v>
      </c>
      <c r="CI126" s="23">
        <f>$L126*BB126</f>
        <v>1</v>
      </c>
      <c r="CJ126" s="23">
        <f>$L126*BC126</f>
        <v>0</v>
      </c>
      <c r="CK126" s="23">
        <f>$L126*BD126</f>
        <v>0</v>
      </c>
      <c r="CL126" s="23">
        <f>$L126*BE126</f>
        <v>0</v>
      </c>
      <c r="CM126" s="23">
        <f>$L126*BF126</f>
        <v>1</v>
      </c>
      <c r="CN126" s="23">
        <f>$L126*BG126</f>
        <v>0</v>
      </c>
      <c r="CO126" s="23">
        <f>$L126*BH126</f>
        <v>0</v>
      </c>
      <c r="CP126" s="23">
        <f>$L126*BI126</f>
        <v>0</v>
      </c>
      <c r="CQ126" s="23">
        <f>$L126*BJ126</f>
        <v>0</v>
      </c>
      <c r="CR126" s="23">
        <f>$L126*BK126</f>
        <v>0</v>
      </c>
      <c r="CS126" s="23">
        <f>$L126*BL126</f>
        <v>0</v>
      </c>
      <c r="CT126" s="23">
        <f>$L126*BM126</f>
        <v>0</v>
      </c>
      <c r="CU126" s="23">
        <f>$L126*BN126</f>
        <v>0</v>
      </c>
      <c r="CV126" s="23">
        <f>$L126*BO126</f>
        <v>0</v>
      </c>
    </row>
    <row r="127" spans="1:100" ht="13.5" x14ac:dyDescent="0.15">
      <c r="A127" s="15">
        <v>567</v>
      </c>
      <c r="B127" s="27" t="s">
        <v>382</v>
      </c>
      <c r="C127" t="s">
        <v>153</v>
      </c>
      <c r="E127" t="s">
        <v>154</v>
      </c>
      <c r="F127" t="s">
        <v>155</v>
      </c>
      <c r="G127" t="s">
        <v>154</v>
      </c>
      <c r="H127" t="s">
        <v>156</v>
      </c>
      <c r="I127" s="6" t="s">
        <v>136</v>
      </c>
      <c r="J127" s="6">
        <v>1</v>
      </c>
      <c r="L127" s="15">
        <v>1</v>
      </c>
      <c r="M127" s="7">
        <v>46255</v>
      </c>
      <c r="N127" s="7">
        <v>46267</v>
      </c>
      <c r="O127" s="7">
        <v>46266</v>
      </c>
      <c r="P127" s="7">
        <v>46266</v>
      </c>
      <c r="S127" s="6" t="s">
        <v>154</v>
      </c>
      <c r="U127" s="6" t="s">
        <v>150</v>
      </c>
      <c r="V127" s="6" t="str">
        <f>TEXT(N127,"YY/MM")</f>
        <v>26/09</v>
      </c>
      <c r="W127">
        <v>21498</v>
      </c>
      <c r="Y127" s="6" t="s">
        <v>157</v>
      </c>
      <c r="Z127" s="6" t="s">
        <v>158</v>
      </c>
      <c r="AA127">
        <v>3276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1</v>
      </c>
      <c r="AP127" s="23">
        <v>0</v>
      </c>
      <c r="AQ127" s="23">
        <v>0</v>
      </c>
      <c r="AR127" s="23">
        <v>0</v>
      </c>
      <c r="AS127" s="23">
        <v>0</v>
      </c>
      <c r="AT127" s="23">
        <v>1</v>
      </c>
      <c r="AU127" s="23">
        <v>1</v>
      </c>
      <c r="AV127" s="23">
        <v>0</v>
      </c>
      <c r="AW127" s="23">
        <v>0</v>
      </c>
      <c r="AX127" s="23">
        <v>1</v>
      </c>
      <c r="AY127" s="23">
        <v>0</v>
      </c>
      <c r="AZ127" s="23">
        <v>0</v>
      </c>
      <c r="BA127" s="23">
        <v>0</v>
      </c>
      <c r="BB127" s="23">
        <v>1</v>
      </c>
      <c r="BC127" s="23">
        <v>0</v>
      </c>
      <c r="BD127" s="23">
        <v>0</v>
      </c>
      <c r="BE127" s="23">
        <v>0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>$L127*AI127</f>
        <v>1</v>
      </c>
      <c r="BQ127" s="23">
        <f>$L127*AJ127</f>
        <v>1</v>
      </c>
      <c r="BR127" s="23">
        <f>$L127*AK127</f>
        <v>0</v>
      </c>
      <c r="BS127" s="23">
        <f>$L127*AL127</f>
        <v>0</v>
      </c>
      <c r="BT127" s="23">
        <f>$L127*AM127</f>
        <v>1</v>
      </c>
      <c r="BU127" s="23">
        <f>$L127*AN127</f>
        <v>0</v>
      </c>
      <c r="BV127" s="23">
        <f>$L127*AO127</f>
        <v>1</v>
      </c>
      <c r="BW127" s="23">
        <f>$L127*AP127</f>
        <v>0</v>
      </c>
      <c r="BX127" s="23">
        <f>$L127*AQ127</f>
        <v>0</v>
      </c>
      <c r="BY127" s="23">
        <f>$L127*AR127</f>
        <v>0</v>
      </c>
      <c r="BZ127" s="23">
        <f>$L127*AS127</f>
        <v>0</v>
      </c>
      <c r="CA127" s="23">
        <f>$L127*AT127</f>
        <v>1</v>
      </c>
      <c r="CB127" s="23">
        <f>$L127*AU127</f>
        <v>1</v>
      </c>
      <c r="CC127" s="23">
        <f>$L127*AV127</f>
        <v>0</v>
      </c>
      <c r="CD127" s="23">
        <f>$L127*AW127</f>
        <v>0</v>
      </c>
      <c r="CE127" s="23">
        <f>$L127*AX127</f>
        <v>1</v>
      </c>
      <c r="CF127" s="23">
        <f>$L127*AY127</f>
        <v>0</v>
      </c>
      <c r="CG127" s="23">
        <f>$L127*AZ127</f>
        <v>0</v>
      </c>
      <c r="CH127" s="23">
        <f>$L127*BA127</f>
        <v>0</v>
      </c>
      <c r="CI127" s="23">
        <f>$L127*BB127</f>
        <v>1</v>
      </c>
      <c r="CJ127" s="23">
        <f>$L127*BC127</f>
        <v>0</v>
      </c>
      <c r="CK127" s="23">
        <f>$L127*BD127</f>
        <v>0</v>
      </c>
      <c r="CL127" s="23">
        <f>$L127*BE127</f>
        <v>0</v>
      </c>
      <c r="CM127" s="23">
        <f>$L127*BF127</f>
        <v>1</v>
      </c>
      <c r="CN127" s="23">
        <f>$L127*BG127</f>
        <v>0</v>
      </c>
      <c r="CO127" s="23">
        <f>$L127*BH127</f>
        <v>0</v>
      </c>
      <c r="CP127" s="23">
        <f>$L127*BI127</f>
        <v>0</v>
      </c>
      <c r="CQ127" s="23">
        <f>$L127*BJ127</f>
        <v>0</v>
      </c>
      <c r="CR127" s="23">
        <f>$L127*BK127</f>
        <v>0</v>
      </c>
      <c r="CS127" s="23">
        <f>$L127*BL127</f>
        <v>0</v>
      </c>
      <c r="CT127" s="23">
        <f>$L127*BM127</f>
        <v>0</v>
      </c>
      <c r="CU127" s="23">
        <f>$L127*BN127</f>
        <v>0</v>
      </c>
      <c r="CV127" s="23">
        <f>$L127*BO127</f>
        <v>0</v>
      </c>
    </row>
    <row r="128" spans="1:100" ht="13.5" x14ac:dyDescent="0.15">
      <c r="A128" s="15">
        <v>565</v>
      </c>
      <c r="B128" s="27" t="s">
        <v>380</v>
      </c>
      <c r="C128" t="s">
        <v>153</v>
      </c>
      <c r="E128" t="s">
        <v>154</v>
      </c>
      <c r="F128" t="s">
        <v>155</v>
      </c>
      <c r="G128" t="s">
        <v>154</v>
      </c>
      <c r="H128" t="s">
        <v>156</v>
      </c>
      <c r="I128" s="6" t="s">
        <v>136</v>
      </c>
      <c r="J128" s="6">
        <v>1</v>
      </c>
      <c r="L128" s="15">
        <v>1</v>
      </c>
      <c r="M128" s="7">
        <v>46255</v>
      </c>
      <c r="N128" s="7">
        <v>46267</v>
      </c>
      <c r="O128" s="7">
        <v>46266</v>
      </c>
      <c r="P128" s="7">
        <v>46266</v>
      </c>
      <c r="S128" s="6" t="s">
        <v>154</v>
      </c>
      <c r="U128" s="6" t="s">
        <v>150</v>
      </c>
      <c r="V128" s="6" t="str">
        <f>TEXT(N128,"YY/MM")</f>
        <v>26/09</v>
      </c>
      <c r="W128">
        <v>21499</v>
      </c>
      <c r="Y128" s="6" t="s">
        <v>157</v>
      </c>
      <c r="Z128" s="6" t="s">
        <v>158</v>
      </c>
      <c r="AA128">
        <v>3277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1</v>
      </c>
      <c r="AP128" s="23">
        <v>0</v>
      </c>
      <c r="AQ128" s="23">
        <v>0</v>
      </c>
      <c r="AR128" s="23">
        <v>0</v>
      </c>
      <c r="AS128" s="23">
        <v>0</v>
      </c>
      <c r="AT128" s="23">
        <v>1</v>
      </c>
      <c r="AU128" s="23">
        <v>1</v>
      </c>
      <c r="AV128" s="23">
        <v>0</v>
      </c>
      <c r="AW128" s="23">
        <v>0</v>
      </c>
      <c r="AX128" s="23">
        <v>1</v>
      </c>
      <c r="AY128" s="23">
        <v>0</v>
      </c>
      <c r="AZ128" s="23">
        <v>0</v>
      </c>
      <c r="BA128" s="23">
        <v>0</v>
      </c>
      <c r="BB128" s="23">
        <v>1</v>
      </c>
      <c r="BC128" s="23">
        <v>0</v>
      </c>
      <c r="BD128" s="23">
        <v>0</v>
      </c>
      <c r="BE128" s="23">
        <v>0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>$L128*AI128</f>
        <v>1</v>
      </c>
      <c r="BQ128" s="23">
        <f>$L128*AJ128</f>
        <v>1</v>
      </c>
      <c r="BR128" s="23">
        <f>$L128*AK128</f>
        <v>0</v>
      </c>
      <c r="BS128" s="23">
        <f>$L128*AL128</f>
        <v>0</v>
      </c>
      <c r="BT128" s="23">
        <f>$L128*AM128</f>
        <v>1</v>
      </c>
      <c r="BU128" s="23">
        <f>$L128*AN128</f>
        <v>0</v>
      </c>
      <c r="BV128" s="23">
        <f>$L128*AO128</f>
        <v>1</v>
      </c>
      <c r="BW128" s="23">
        <f>$L128*AP128</f>
        <v>0</v>
      </c>
      <c r="BX128" s="23">
        <f>$L128*AQ128</f>
        <v>0</v>
      </c>
      <c r="BY128" s="23">
        <f>$L128*AR128</f>
        <v>0</v>
      </c>
      <c r="BZ128" s="23">
        <f>$L128*AS128</f>
        <v>0</v>
      </c>
      <c r="CA128" s="23">
        <f>$L128*AT128</f>
        <v>1</v>
      </c>
      <c r="CB128" s="23">
        <f>$L128*AU128</f>
        <v>1</v>
      </c>
      <c r="CC128" s="23">
        <f>$L128*AV128</f>
        <v>0</v>
      </c>
      <c r="CD128" s="23">
        <f>$L128*AW128</f>
        <v>0</v>
      </c>
      <c r="CE128" s="23">
        <f>$L128*AX128</f>
        <v>1</v>
      </c>
      <c r="CF128" s="23">
        <f>$L128*AY128</f>
        <v>0</v>
      </c>
      <c r="CG128" s="23">
        <f>$L128*AZ128</f>
        <v>0</v>
      </c>
      <c r="CH128" s="23">
        <f>$L128*BA128</f>
        <v>0</v>
      </c>
      <c r="CI128" s="23">
        <f>$L128*BB128</f>
        <v>1</v>
      </c>
      <c r="CJ128" s="23">
        <f>$L128*BC128</f>
        <v>0</v>
      </c>
      <c r="CK128" s="23">
        <f>$L128*BD128</f>
        <v>0</v>
      </c>
      <c r="CL128" s="23">
        <f>$L128*BE128</f>
        <v>0</v>
      </c>
      <c r="CM128" s="23">
        <f>$L128*BF128</f>
        <v>1</v>
      </c>
      <c r="CN128" s="23">
        <f>$L128*BG128</f>
        <v>0</v>
      </c>
      <c r="CO128" s="23">
        <f>$L128*BH128</f>
        <v>0</v>
      </c>
      <c r="CP128" s="23">
        <f>$L128*BI128</f>
        <v>0</v>
      </c>
      <c r="CQ128" s="23">
        <f>$L128*BJ128</f>
        <v>0</v>
      </c>
      <c r="CR128" s="23">
        <f>$L128*BK128</f>
        <v>0</v>
      </c>
      <c r="CS128" s="23">
        <f>$L128*BL128</f>
        <v>0</v>
      </c>
      <c r="CT128" s="23">
        <f>$L128*BM128</f>
        <v>0</v>
      </c>
      <c r="CU128" s="23">
        <f>$L128*BN128</f>
        <v>0</v>
      </c>
      <c r="CV128" s="23">
        <f>$L128*BO128</f>
        <v>0</v>
      </c>
    </row>
    <row r="129" spans="1:100" ht="13.5" x14ac:dyDescent="0.15">
      <c r="A129" s="15">
        <v>563</v>
      </c>
      <c r="B129" s="27" t="s">
        <v>378</v>
      </c>
      <c r="C129" t="s">
        <v>153</v>
      </c>
      <c r="E129" t="s">
        <v>154</v>
      </c>
      <c r="F129" t="s">
        <v>155</v>
      </c>
      <c r="G129" t="s">
        <v>154</v>
      </c>
      <c r="H129" t="s">
        <v>156</v>
      </c>
      <c r="I129" s="6" t="s">
        <v>136</v>
      </c>
      <c r="J129" s="6">
        <v>1</v>
      </c>
      <c r="L129" s="15">
        <v>1</v>
      </c>
      <c r="M129" s="7">
        <v>46255</v>
      </c>
      <c r="N129" s="7">
        <v>46267</v>
      </c>
      <c r="O129" s="7">
        <v>46266</v>
      </c>
      <c r="P129" s="7">
        <v>46266</v>
      </c>
      <c r="S129" s="6" t="s">
        <v>154</v>
      </c>
      <c r="U129" s="6" t="s">
        <v>150</v>
      </c>
      <c r="V129" s="6" t="str">
        <f>TEXT(N129,"YY/MM")</f>
        <v>26/09</v>
      </c>
      <c r="W129">
        <v>21500</v>
      </c>
      <c r="Y129" s="6" t="s">
        <v>157</v>
      </c>
      <c r="Z129" s="6" t="s">
        <v>158</v>
      </c>
      <c r="AA129">
        <v>3278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1</v>
      </c>
      <c r="AP129" s="23">
        <v>0</v>
      </c>
      <c r="AQ129" s="23">
        <v>0</v>
      </c>
      <c r="AR129" s="23">
        <v>0</v>
      </c>
      <c r="AS129" s="23">
        <v>0</v>
      </c>
      <c r="AT129" s="23">
        <v>1</v>
      </c>
      <c r="AU129" s="23">
        <v>1</v>
      </c>
      <c r="AV129" s="23">
        <v>0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1</v>
      </c>
      <c r="BC129" s="23">
        <v>0</v>
      </c>
      <c r="BD129" s="23">
        <v>0</v>
      </c>
      <c r="BE129" s="23">
        <v>0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>$L129*AI129</f>
        <v>1</v>
      </c>
      <c r="BQ129" s="23">
        <f>$L129*AJ129</f>
        <v>1</v>
      </c>
      <c r="BR129" s="23">
        <f>$L129*AK129</f>
        <v>0</v>
      </c>
      <c r="BS129" s="23">
        <f>$L129*AL129</f>
        <v>0</v>
      </c>
      <c r="BT129" s="23">
        <f>$L129*AM129</f>
        <v>1</v>
      </c>
      <c r="BU129" s="23">
        <f>$L129*AN129</f>
        <v>0</v>
      </c>
      <c r="BV129" s="23">
        <f>$L129*AO129</f>
        <v>1</v>
      </c>
      <c r="BW129" s="23">
        <f>$L129*AP129</f>
        <v>0</v>
      </c>
      <c r="BX129" s="23">
        <f>$L129*AQ129</f>
        <v>0</v>
      </c>
      <c r="BY129" s="23">
        <f>$L129*AR129</f>
        <v>0</v>
      </c>
      <c r="BZ129" s="23">
        <f>$L129*AS129</f>
        <v>0</v>
      </c>
      <c r="CA129" s="23">
        <f>$L129*AT129</f>
        <v>1</v>
      </c>
      <c r="CB129" s="23">
        <f>$L129*AU129</f>
        <v>1</v>
      </c>
      <c r="CC129" s="23">
        <f>$L129*AV129</f>
        <v>0</v>
      </c>
      <c r="CD129" s="23">
        <f>$L129*AW129</f>
        <v>0</v>
      </c>
      <c r="CE129" s="23">
        <f>$L129*AX129</f>
        <v>1</v>
      </c>
      <c r="CF129" s="23">
        <f>$L129*AY129</f>
        <v>0</v>
      </c>
      <c r="CG129" s="23">
        <f>$L129*AZ129</f>
        <v>0</v>
      </c>
      <c r="CH129" s="23">
        <f>$L129*BA129</f>
        <v>0</v>
      </c>
      <c r="CI129" s="23">
        <f>$L129*BB129</f>
        <v>1</v>
      </c>
      <c r="CJ129" s="23">
        <f>$L129*BC129</f>
        <v>0</v>
      </c>
      <c r="CK129" s="23">
        <f>$L129*BD129</f>
        <v>0</v>
      </c>
      <c r="CL129" s="23">
        <f>$L129*BE129</f>
        <v>0</v>
      </c>
      <c r="CM129" s="23">
        <f>$L129*BF129</f>
        <v>1</v>
      </c>
      <c r="CN129" s="23">
        <f>$L129*BG129</f>
        <v>0</v>
      </c>
      <c r="CO129" s="23">
        <f>$L129*BH129</f>
        <v>0</v>
      </c>
      <c r="CP129" s="23">
        <f>$L129*BI129</f>
        <v>0</v>
      </c>
      <c r="CQ129" s="23">
        <f>$L129*BJ129</f>
        <v>0</v>
      </c>
      <c r="CR129" s="23">
        <f>$L129*BK129</f>
        <v>0</v>
      </c>
      <c r="CS129" s="23">
        <f>$L129*BL129</f>
        <v>0</v>
      </c>
      <c r="CT129" s="23">
        <f>$L129*BM129</f>
        <v>0</v>
      </c>
      <c r="CU129" s="23">
        <f>$L129*BN129</f>
        <v>0</v>
      </c>
      <c r="CV129" s="23">
        <f>$L129*BO129</f>
        <v>0</v>
      </c>
    </row>
    <row r="130" spans="1:100" ht="13.5" x14ac:dyDescent="0.15">
      <c r="A130" s="15">
        <v>654</v>
      </c>
      <c r="B130" s="27" t="s">
        <v>386</v>
      </c>
      <c r="C130" t="s">
        <v>153</v>
      </c>
      <c r="E130" t="s">
        <v>350</v>
      </c>
      <c r="F130" t="s">
        <v>155</v>
      </c>
      <c r="G130" t="s">
        <v>350</v>
      </c>
      <c r="H130" t="s">
        <v>351</v>
      </c>
      <c r="I130" s="6" t="s">
        <v>136</v>
      </c>
      <c r="J130" s="6">
        <v>1</v>
      </c>
      <c r="L130" s="15">
        <v>10</v>
      </c>
      <c r="N130" s="7">
        <v>46296</v>
      </c>
      <c r="O130" s="7">
        <v>46295</v>
      </c>
      <c r="P130" s="7">
        <v>46296</v>
      </c>
      <c r="S130" s="6" t="s">
        <v>350</v>
      </c>
      <c r="U130" s="6" t="s">
        <v>150</v>
      </c>
      <c r="V130" s="6" t="str">
        <f>TEXT(N130,"YY/MM")</f>
        <v>26/10</v>
      </c>
      <c r="W130">
        <v>21501</v>
      </c>
      <c r="Y130" s="6" t="s">
        <v>157</v>
      </c>
      <c r="Z130" s="6" t="s">
        <v>158</v>
      </c>
      <c r="AA130">
        <v>3279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1</v>
      </c>
      <c r="AP130" s="23">
        <v>0</v>
      </c>
      <c r="AQ130" s="23">
        <v>0</v>
      </c>
      <c r="AR130" s="23">
        <v>0</v>
      </c>
      <c r="AS130" s="23">
        <v>1</v>
      </c>
      <c r="AT130" s="23">
        <v>0</v>
      </c>
      <c r="AU130" s="23">
        <v>1</v>
      </c>
      <c r="AV130" s="23">
        <v>0</v>
      </c>
      <c r="AW130" s="23">
        <v>0</v>
      </c>
      <c r="AX130" s="23">
        <v>1</v>
      </c>
      <c r="AY130" s="23">
        <v>0</v>
      </c>
      <c r="AZ130" s="23">
        <v>0</v>
      </c>
      <c r="BA130" s="23">
        <v>0</v>
      </c>
      <c r="BB130" s="23">
        <v>1</v>
      </c>
      <c r="BC130" s="23">
        <v>0</v>
      </c>
      <c r="BD130" s="23">
        <v>0</v>
      </c>
      <c r="BE130" s="23">
        <v>0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>$L130*AI130</f>
        <v>10</v>
      </c>
      <c r="BQ130" s="23">
        <f>$L130*AJ130</f>
        <v>10</v>
      </c>
      <c r="BR130" s="23">
        <f>$L130*AK130</f>
        <v>0</v>
      </c>
      <c r="BS130" s="23">
        <f>$L130*AL130</f>
        <v>0</v>
      </c>
      <c r="BT130" s="23">
        <f>$L130*AM130</f>
        <v>10</v>
      </c>
      <c r="BU130" s="23">
        <f>$L130*AN130</f>
        <v>0</v>
      </c>
      <c r="BV130" s="23">
        <f>$L130*AO130</f>
        <v>10</v>
      </c>
      <c r="BW130" s="23">
        <f>$L130*AP130</f>
        <v>0</v>
      </c>
      <c r="BX130" s="23">
        <f>$L130*AQ130</f>
        <v>0</v>
      </c>
      <c r="BY130" s="23">
        <f>$L130*AR130</f>
        <v>0</v>
      </c>
      <c r="BZ130" s="23">
        <f>$L130*AS130</f>
        <v>10</v>
      </c>
      <c r="CA130" s="23">
        <f>$L130*AT130</f>
        <v>0</v>
      </c>
      <c r="CB130" s="23">
        <f>$L130*AU130</f>
        <v>10</v>
      </c>
      <c r="CC130" s="23">
        <f>$L130*AV130</f>
        <v>0</v>
      </c>
      <c r="CD130" s="23">
        <f>$L130*AW130</f>
        <v>0</v>
      </c>
      <c r="CE130" s="23">
        <f>$L130*AX130</f>
        <v>10</v>
      </c>
      <c r="CF130" s="23">
        <f>$L130*AY130</f>
        <v>0</v>
      </c>
      <c r="CG130" s="23">
        <f>$L130*AZ130</f>
        <v>0</v>
      </c>
      <c r="CH130" s="23">
        <f>$L130*BA130</f>
        <v>0</v>
      </c>
      <c r="CI130" s="23">
        <f>$L130*BB130</f>
        <v>10</v>
      </c>
      <c r="CJ130" s="23">
        <f>$L130*BC130</f>
        <v>0</v>
      </c>
      <c r="CK130" s="23">
        <f>$L130*BD130</f>
        <v>0</v>
      </c>
      <c r="CL130" s="23">
        <f>$L130*BE130</f>
        <v>0</v>
      </c>
      <c r="CM130" s="23">
        <f>$L130*BF130</f>
        <v>10</v>
      </c>
      <c r="CN130" s="23">
        <f>$L130*BG130</f>
        <v>0</v>
      </c>
      <c r="CO130" s="23">
        <f>$L130*BH130</f>
        <v>0</v>
      </c>
      <c r="CP130" s="23">
        <f>$L130*BI130</f>
        <v>0</v>
      </c>
      <c r="CQ130" s="23">
        <f>$L130*BJ130</f>
        <v>0</v>
      </c>
      <c r="CR130" s="23">
        <f>$L130*BK130</f>
        <v>0</v>
      </c>
      <c r="CS130" s="23">
        <f>$L130*BL130</f>
        <v>0</v>
      </c>
      <c r="CT130" s="23">
        <f>$L130*BM130</f>
        <v>0</v>
      </c>
      <c r="CU130" s="23">
        <f>$L130*BN130</f>
        <v>0</v>
      </c>
      <c r="CV130" s="23">
        <f>$L130*BO130</f>
        <v>0</v>
      </c>
    </row>
    <row r="131" spans="1:100" ht="13.5" x14ac:dyDescent="0.15">
      <c r="A131" s="15">
        <v>653</v>
      </c>
      <c r="B131" s="27" t="s">
        <v>385</v>
      </c>
      <c r="C131" t="s">
        <v>153</v>
      </c>
      <c r="E131" t="s">
        <v>154</v>
      </c>
      <c r="F131" t="s">
        <v>155</v>
      </c>
      <c r="G131" t="s">
        <v>154</v>
      </c>
      <c r="H131" t="s">
        <v>156</v>
      </c>
      <c r="I131" s="6" t="s">
        <v>136</v>
      </c>
      <c r="J131" s="6">
        <v>1</v>
      </c>
      <c r="L131" s="15">
        <v>9</v>
      </c>
      <c r="N131" s="7">
        <v>46296</v>
      </c>
      <c r="O131" s="7">
        <v>46295</v>
      </c>
      <c r="P131" s="7">
        <v>46296</v>
      </c>
      <c r="S131" s="6" t="s">
        <v>154</v>
      </c>
      <c r="U131" s="6" t="s">
        <v>150</v>
      </c>
      <c r="V131" s="6" t="str">
        <f>TEXT(N131,"YY/MM")</f>
        <v>26/10</v>
      </c>
      <c r="W131">
        <v>21502</v>
      </c>
      <c r="Y131" s="6" t="s">
        <v>157</v>
      </c>
      <c r="Z131" s="6" t="s">
        <v>158</v>
      </c>
      <c r="AA131">
        <v>3280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1</v>
      </c>
      <c r="AP131" s="23">
        <v>0</v>
      </c>
      <c r="AQ131" s="23">
        <v>0</v>
      </c>
      <c r="AR131" s="23">
        <v>0</v>
      </c>
      <c r="AS131" s="23">
        <v>0</v>
      </c>
      <c r="AT131" s="23">
        <v>1</v>
      </c>
      <c r="AU131" s="23">
        <v>1</v>
      </c>
      <c r="AV131" s="23">
        <v>0</v>
      </c>
      <c r="AW131" s="23">
        <v>0</v>
      </c>
      <c r="AX131" s="23">
        <v>1</v>
      </c>
      <c r="AY131" s="23">
        <v>0</v>
      </c>
      <c r="AZ131" s="23">
        <v>0</v>
      </c>
      <c r="BA131" s="23">
        <v>0</v>
      </c>
      <c r="BB131" s="23">
        <v>1</v>
      </c>
      <c r="BC131" s="23">
        <v>0</v>
      </c>
      <c r="BD131" s="23">
        <v>0</v>
      </c>
      <c r="BE131" s="23">
        <v>0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>$L131*AI131</f>
        <v>9</v>
      </c>
      <c r="BQ131" s="23">
        <f>$L131*AJ131</f>
        <v>9</v>
      </c>
      <c r="BR131" s="23">
        <f>$L131*AK131</f>
        <v>0</v>
      </c>
      <c r="BS131" s="23">
        <f>$L131*AL131</f>
        <v>0</v>
      </c>
      <c r="BT131" s="23">
        <f>$L131*AM131</f>
        <v>9</v>
      </c>
      <c r="BU131" s="23">
        <f>$L131*AN131</f>
        <v>0</v>
      </c>
      <c r="BV131" s="23">
        <f>$L131*AO131</f>
        <v>9</v>
      </c>
      <c r="BW131" s="23">
        <f>$L131*AP131</f>
        <v>0</v>
      </c>
      <c r="BX131" s="23">
        <f>$L131*AQ131</f>
        <v>0</v>
      </c>
      <c r="BY131" s="23">
        <f>$L131*AR131</f>
        <v>0</v>
      </c>
      <c r="BZ131" s="23">
        <f>$L131*AS131</f>
        <v>0</v>
      </c>
      <c r="CA131" s="23">
        <f>$L131*AT131</f>
        <v>9</v>
      </c>
      <c r="CB131" s="23">
        <f>$L131*AU131</f>
        <v>9</v>
      </c>
      <c r="CC131" s="23">
        <f>$L131*AV131</f>
        <v>0</v>
      </c>
      <c r="CD131" s="23">
        <f>$L131*AW131</f>
        <v>0</v>
      </c>
      <c r="CE131" s="23">
        <f>$L131*AX131</f>
        <v>9</v>
      </c>
      <c r="CF131" s="23">
        <f>$L131*AY131</f>
        <v>0</v>
      </c>
      <c r="CG131" s="23">
        <f>$L131*AZ131</f>
        <v>0</v>
      </c>
      <c r="CH131" s="23">
        <f>$L131*BA131</f>
        <v>0</v>
      </c>
      <c r="CI131" s="23">
        <f>$L131*BB131</f>
        <v>9</v>
      </c>
      <c r="CJ131" s="23">
        <f>$L131*BC131</f>
        <v>0</v>
      </c>
      <c r="CK131" s="23">
        <f>$L131*BD131</f>
        <v>0</v>
      </c>
      <c r="CL131" s="23">
        <f>$L131*BE131</f>
        <v>0</v>
      </c>
      <c r="CM131" s="23">
        <f>$L131*BF131</f>
        <v>9</v>
      </c>
      <c r="CN131" s="23">
        <f>$L131*BG131</f>
        <v>0</v>
      </c>
      <c r="CO131" s="23">
        <f>$L131*BH131</f>
        <v>0</v>
      </c>
      <c r="CP131" s="23">
        <f>$L131*BI131</f>
        <v>0</v>
      </c>
      <c r="CQ131" s="23">
        <f>$L131*BJ131</f>
        <v>0</v>
      </c>
      <c r="CR131" s="23">
        <f>$L131*BK131</f>
        <v>0</v>
      </c>
      <c r="CS131" s="23">
        <f>$L131*BL131</f>
        <v>0</v>
      </c>
      <c r="CT131" s="23">
        <f>$L131*BM131</f>
        <v>0</v>
      </c>
      <c r="CU131" s="23">
        <f>$L131*BN131</f>
        <v>0</v>
      </c>
      <c r="CV131" s="23">
        <f>$L131*BO131</f>
        <v>0</v>
      </c>
    </row>
    <row r="132" spans="1:100" ht="13.5" x14ac:dyDescent="0.15">
      <c r="A132" s="15">
        <v>735</v>
      </c>
      <c r="B132" s="27" t="s">
        <v>387</v>
      </c>
      <c r="C132" t="s">
        <v>153</v>
      </c>
      <c r="E132" t="s">
        <v>275</v>
      </c>
      <c r="F132" t="s">
        <v>155</v>
      </c>
      <c r="G132" t="s">
        <v>275</v>
      </c>
      <c r="H132" t="s">
        <v>276</v>
      </c>
      <c r="I132" s="6" t="s">
        <v>136</v>
      </c>
      <c r="J132" s="6">
        <v>1</v>
      </c>
      <c r="L132" s="15">
        <v>1</v>
      </c>
      <c r="N132" s="7">
        <v>46328</v>
      </c>
      <c r="O132" s="7">
        <v>46325</v>
      </c>
      <c r="P132" s="7">
        <v>46328</v>
      </c>
      <c r="S132" s="6" t="s">
        <v>275</v>
      </c>
      <c r="U132" s="6" t="s">
        <v>150</v>
      </c>
      <c r="V132" s="6" t="str">
        <f>TEXT(N132,"YY/MM")</f>
        <v>26/11</v>
      </c>
      <c r="W132">
        <v>21503</v>
      </c>
      <c r="Y132" s="6" t="s">
        <v>157</v>
      </c>
      <c r="Z132" s="6" t="s">
        <v>158</v>
      </c>
      <c r="AA132">
        <v>3281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1</v>
      </c>
      <c r="AP132" s="23">
        <v>0</v>
      </c>
      <c r="AQ132" s="23">
        <v>0</v>
      </c>
      <c r="AR132" s="23">
        <v>1</v>
      </c>
      <c r="AS132" s="23">
        <v>0</v>
      </c>
      <c r="AT132" s="23">
        <v>0</v>
      </c>
      <c r="AU132" s="23">
        <v>1</v>
      </c>
      <c r="AV132" s="23">
        <v>0</v>
      </c>
      <c r="AW132" s="23">
        <v>0</v>
      </c>
      <c r="AX132" s="23">
        <v>1</v>
      </c>
      <c r="AY132" s="23">
        <v>0</v>
      </c>
      <c r="AZ132" s="23">
        <v>0</v>
      </c>
      <c r="BA132" s="23">
        <v>0</v>
      </c>
      <c r="BB132" s="23">
        <v>1</v>
      </c>
      <c r="BC132" s="23">
        <v>0</v>
      </c>
      <c r="BD132" s="23">
        <v>0</v>
      </c>
      <c r="BE132" s="23">
        <v>0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>$L132*AI132</f>
        <v>1</v>
      </c>
      <c r="BQ132" s="23">
        <f>$L132*AJ132</f>
        <v>1</v>
      </c>
      <c r="BR132" s="23">
        <f>$L132*AK132</f>
        <v>0</v>
      </c>
      <c r="BS132" s="23">
        <f>$L132*AL132</f>
        <v>0</v>
      </c>
      <c r="BT132" s="23">
        <f>$L132*AM132</f>
        <v>1</v>
      </c>
      <c r="BU132" s="23">
        <f>$L132*AN132</f>
        <v>0</v>
      </c>
      <c r="BV132" s="23">
        <f>$L132*AO132</f>
        <v>1</v>
      </c>
      <c r="BW132" s="23">
        <f>$L132*AP132</f>
        <v>0</v>
      </c>
      <c r="BX132" s="23">
        <f>$L132*AQ132</f>
        <v>0</v>
      </c>
      <c r="BY132" s="23">
        <f>$L132*AR132</f>
        <v>1</v>
      </c>
      <c r="BZ132" s="23">
        <f>$L132*AS132</f>
        <v>0</v>
      </c>
      <c r="CA132" s="23">
        <f>$L132*AT132</f>
        <v>0</v>
      </c>
      <c r="CB132" s="23">
        <f>$L132*AU132</f>
        <v>1</v>
      </c>
      <c r="CC132" s="23">
        <f>$L132*AV132</f>
        <v>0</v>
      </c>
      <c r="CD132" s="23">
        <f>$L132*AW132</f>
        <v>0</v>
      </c>
      <c r="CE132" s="23">
        <f>$L132*AX132</f>
        <v>1</v>
      </c>
      <c r="CF132" s="23">
        <f>$L132*AY132</f>
        <v>0</v>
      </c>
      <c r="CG132" s="23">
        <f>$L132*AZ132</f>
        <v>0</v>
      </c>
      <c r="CH132" s="23">
        <f>$L132*BA132</f>
        <v>0</v>
      </c>
      <c r="CI132" s="23">
        <f>$L132*BB132</f>
        <v>1</v>
      </c>
      <c r="CJ132" s="23">
        <f>$L132*BC132</f>
        <v>0</v>
      </c>
      <c r="CK132" s="23">
        <f>$L132*BD132</f>
        <v>0</v>
      </c>
      <c r="CL132" s="23">
        <f>$L132*BE132</f>
        <v>0</v>
      </c>
      <c r="CM132" s="23">
        <f>$L132*BF132</f>
        <v>1</v>
      </c>
      <c r="CN132" s="23">
        <f>$L132*BG132</f>
        <v>0</v>
      </c>
      <c r="CO132" s="23">
        <f>$L132*BH132</f>
        <v>0</v>
      </c>
      <c r="CP132" s="23">
        <f>$L132*BI132</f>
        <v>0</v>
      </c>
      <c r="CQ132" s="23">
        <f>$L132*BJ132</f>
        <v>0</v>
      </c>
      <c r="CR132" s="23">
        <f>$L132*BK132</f>
        <v>0</v>
      </c>
      <c r="CS132" s="23">
        <f>$L132*BL132</f>
        <v>0</v>
      </c>
      <c r="CT132" s="23">
        <f>$L132*BM132</f>
        <v>0</v>
      </c>
      <c r="CU132" s="23">
        <f>$L132*BN132</f>
        <v>0</v>
      </c>
      <c r="CV132" s="23">
        <f>$L132*BO132</f>
        <v>0</v>
      </c>
    </row>
    <row r="133" spans="1:100" ht="13.5" x14ac:dyDescent="0.15">
      <c r="A133" s="15">
        <v>736</v>
      </c>
      <c r="B133" s="27" t="s">
        <v>388</v>
      </c>
      <c r="C133" t="s">
        <v>153</v>
      </c>
      <c r="E133" t="s">
        <v>286</v>
      </c>
      <c r="F133" t="s">
        <v>155</v>
      </c>
      <c r="G133" t="s">
        <v>286</v>
      </c>
      <c r="H133" t="s">
        <v>287</v>
      </c>
      <c r="I133" s="6" t="s">
        <v>136</v>
      </c>
      <c r="J133" s="6">
        <v>1</v>
      </c>
      <c r="L133" s="15">
        <v>6</v>
      </c>
      <c r="N133" s="7">
        <v>46328</v>
      </c>
      <c r="O133" s="7">
        <v>46325</v>
      </c>
      <c r="P133" s="7">
        <v>46328</v>
      </c>
      <c r="S133" s="6" t="s">
        <v>286</v>
      </c>
      <c r="U133" s="6" t="s">
        <v>150</v>
      </c>
      <c r="V133" s="6" t="str">
        <f>TEXT(N133,"YY/MM")</f>
        <v>26/11</v>
      </c>
      <c r="W133">
        <v>21504</v>
      </c>
      <c r="Y133" s="6" t="s">
        <v>157</v>
      </c>
      <c r="Z133" s="6" t="s">
        <v>158</v>
      </c>
      <c r="AA133">
        <v>3282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1</v>
      </c>
      <c r="AP133" s="23">
        <v>0</v>
      </c>
      <c r="AQ133" s="23">
        <v>0</v>
      </c>
      <c r="AR133" s="23">
        <v>0</v>
      </c>
      <c r="AS133" s="23">
        <v>0</v>
      </c>
      <c r="AT133" s="23">
        <v>1</v>
      </c>
      <c r="AU133" s="23">
        <v>0</v>
      </c>
      <c r="AV133" s="23">
        <v>0</v>
      </c>
      <c r="AW133" s="23">
        <v>1</v>
      </c>
      <c r="AX133" s="23">
        <v>0</v>
      </c>
      <c r="AY133" s="23">
        <v>0</v>
      </c>
      <c r="AZ133" s="23">
        <v>0</v>
      </c>
      <c r="BA133" s="23">
        <v>1</v>
      </c>
      <c r="BB133" s="23">
        <v>0</v>
      </c>
      <c r="BC133" s="23">
        <v>0</v>
      </c>
      <c r="BD133" s="23">
        <v>0</v>
      </c>
      <c r="BE133" s="23">
        <v>1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>$L133*AI133</f>
        <v>6</v>
      </c>
      <c r="BQ133" s="23">
        <f>$L133*AJ133</f>
        <v>6</v>
      </c>
      <c r="BR133" s="23">
        <f>$L133*AK133</f>
        <v>0</v>
      </c>
      <c r="BS133" s="23">
        <f>$L133*AL133</f>
        <v>0</v>
      </c>
      <c r="BT133" s="23">
        <f>$L133*AM133</f>
        <v>6</v>
      </c>
      <c r="BU133" s="23">
        <f>$L133*AN133</f>
        <v>0</v>
      </c>
      <c r="BV133" s="23">
        <f>$L133*AO133</f>
        <v>6</v>
      </c>
      <c r="BW133" s="23">
        <f>$L133*AP133</f>
        <v>0</v>
      </c>
      <c r="BX133" s="23">
        <f>$L133*AQ133</f>
        <v>0</v>
      </c>
      <c r="BY133" s="23">
        <f>$L133*AR133</f>
        <v>0</v>
      </c>
      <c r="BZ133" s="23">
        <f>$L133*AS133</f>
        <v>0</v>
      </c>
      <c r="CA133" s="23">
        <f>$L133*AT133</f>
        <v>6</v>
      </c>
      <c r="CB133" s="23">
        <f>$L133*AU133</f>
        <v>0</v>
      </c>
      <c r="CC133" s="23">
        <f>$L133*AV133</f>
        <v>0</v>
      </c>
      <c r="CD133" s="23">
        <f>$L133*AW133</f>
        <v>6</v>
      </c>
      <c r="CE133" s="23">
        <f>$L133*AX133</f>
        <v>0</v>
      </c>
      <c r="CF133" s="23">
        <f>$L133*AY133</f>
        <v>0</v>
      </c>
      <c r="CG133" s="23">
        <f>$L133*AZ133</f>
        <v>0</v>
      </c>
      <c r="CH133" s="23">
        <f>$L133*BA133</f>
        <v>6</v>
      </c>
      <c r="CI133" s="23">
        <f>$L133*BB133</f>
        <v>0</v>
      </c>
      <c r="CJ133" s="23">
        <f>$L133*BC133</f>
        <v>0</v>
      </c>
      <c r="CK133" s="23">
        <f>$L133*BD133</f>
        <v>0</v>
      </c>
      <c r="CL133" s="23">
        <f>$L133*BE133</f>
        <v>6</v>
      </c>
      <c r="CM133" s="23">
        <f>$L133*BF133</f>
        <v>6</v>
      </c>
      <c r="CN133" s="23">
        <f>$L133*BG133</f>
        <v>0</v>
      </c>
      <c r="CO133" s="23">
        <f>$L133*BH133</f>
        <v>0</v>
      </c>
      <c r="CP133" s="23">
        <f>$L133*BI133</f>
        <v>0</v>
      </c>
      <c r="CQ133" s="23">
        <f>$L133*BJ133</f>
        <v>0</v>
      </c>
      <c r="CR133" s="23">
        <f>$L133*BK133</f>
        <v>0</v>
      </c>
      <c r="CS133" s="23">
        <f>$L133*BL133</f>
        <v>0</v>
      </c>
      <c r="CT133" s="23">
        <f>$L133*BM133</f>
        <v>0</v>
      </c>
      <c r="CU133" s="23">
        <f>$L133*BN133</f>
        <v>0</v>
      </c>
      <c r="CV133" s="23">
        <f>$L133*BO133</f>
        <v>0</v>
      </c>
    </row>
    <row r="134" spans="1:100" ht="13.5" x14ac:dyDescent="0.15">
      <c r="A134" s="15">
        <v>774</v>
      </c>
      <c r="B134" s="27" t="s">
        <v>389</v>
      </c>
      <c r="C134" t="s">
        <v>138</v>
      </c>
      <c r="E134" t="s">
        <v>256</v>
      </c>
      <c r="F134" t="s">
        <v>155</v>
      </c>
      <c r="G134" t="s">
        <v>256</v>
      </c>
      <c r="H134" t="s">
        <v>257</v>
      </c>
      <c r="I134" s="6" t="s">
        <v>136</v>
      </c>
      <c r="J134" s="6">
        <v>1</v>
      </c>
      <c r="L134" s="15">
        <v>4</v>
      </c>
      <c r="N134" s="7">
        <v>46329</v>
      </c>
      <c r="O134" s="7">
        <v>46328</v>
      </c>
      <c r="P134" s="7">
        <v>46329</v>
      </c>
      <c r="S134" s="6" t="s">
        <v>256</v>
      </c>
      <c r="U134" s="6" t="s">
        <v>150</v>
      </c>
      <c r="V134" s="6" t="str">
        <f>TEXT(N134,"YY/MM")</f>
        <v>26/11</v>
      </c>
      <c r="W134">
        <v>21505</v>
      </c>
      <c r="Y134" s="6" t="s">
        <v>151</v>
      </c>
      <c r="Z134" s="6" t="s">
        <v>152</v>
      </c>
      <c r="AD134">
        <v>8246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1</v>
      </c>
      <c r="AP134" s="23">
        <v>0</v>
      </c>
      <c r="AQ134" s="23">
        <v>0</v>
      </c>
      <c r="AR134" s="23">
        <v>0</v>
      </c>
      <c r="AS134" s="23">
        <v>0</v>
      </c>
      <c r="AT134" s="23">
        <v>1</v>
      </c>
      <c r="AU134" s="23">
        <v>1</v>
      </c>
      <c r="AV134" s="23">
        <v>0</v>
      </c>
      <c r="AW134" s="23">
        <v>0</v>
      </c>
      <c r="AX134" s="23">
        <v>1</v>
      </c>
      <c r="AY134" s="23">
        <v>0</v>
      </c>
      <c r="AZ134" s="23">
        <v>0</v>
      </c>
      <c r="BA134" s="23">
        <v>0</v>
      </c>
      <c r="BB134" s="23">
        <v>1</v>
      </c>
      <c r="BC134" s="23">
        <v>0</v>
      </c>
      <c r="BD134" s="23">
        <v>0</v>
      </c>
      <c r="BE134" s="23">
        <v>0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>$L134*AI134</f>
        <v>4</v>
      </c>
      <c r="BQ134" s="23">
        <f>$L134*AJ134</f>
        <v>4</v>
      </c>
      <c r="BR134" s="23">
        <f>$L134*AK134</f>
        <v>0</v>
      </c>
      <c r="BS134" s="23">
        <f>$L134*AL134</f>
        <v>0</v>
      </c>
      <c r="BT134" s="23">
        <f>$L134*AM134</f>
        <v>4</v>
      </c>
      <c r="BU134" s="23">
        <f>$L134*AN134</f>
        <v>0</v>
      </c>
      <c r="BV134" s="23">
        <f>$L134*AO134</f>
        <v>4</v>
      </c>
      <c r="BW134" s="23">
        <f>$L134*AP134</f>
        <v>0</v>
      </c>
      <c r="BX134" s="23">
        <f>$L134*AQ134</f>
        <v>0</v>
      </c>
      <c r="BY134" s="23">
        <f>$L134*AR134</f>
        <v>0</v>
      </c>
      <c r="BZ134" s="23">
        <f>$L134*AS134</f>
        <v>0</v>
      </c>
      <c r="CA134" s="23">
        <f>$L134*AT134</f>
        <v>4</v>
      </c>
      <c r="CB134" s="23">
        <f>$L134*AU134</f>
        <v>4</v>
      </c>
      <c r="CC134" s="23">
        <f>$L134*AV134</f>
        <v>0</v>
      </c>
      <c r="CD134" s="23">
        <f>$L134*AW134</f>
        <v>0</v>
      </c>
      <c r="CE134" s="23">
        <f>$L134*AX134</f>
        <v>4</v>
      </c>
      <c r="CF134" s="23">
        <f>$L134*AY134</f>
        <v>0</v>
      </c>
      <c r="CG134" s="23">
        <f>$L134*AZ134</f>
        <v>0</v>
      </c>
      <c r="CH134" s="23">
        <f>$L134*BA134</f>
        <v>0</v>
      </c>
      <c r="CI134" s="23">
        <f>$L134*BB134</f>
        <v>4</v>
      </c>
      <c r="CJ134" s="23">
        <f>$L134*BC134</f>
        <v>0</v>
      </c>
      <c r="CK134" s="23">
        <f>$L134*BD134</f>
        <v>0</v>
      </c>
      <c r="CL134" s="23">
        <f>$L134*BE134</f>
        <v>0</v>
      </c>
      <c r="CM134" s="23">
        <f>$L134*BF134</f>
        <v>4</v>
      </c>
      <c r="CN134" s="23">
        <f>$L134*BG134</f>
        <v>0</v>
      </c>
      <c r="CO134" s="23">
        <f>$L134*BH134</f>
        <v>0</v>
      </c>
      <c r="CP134" s="23">
        <f>$L134*BI134</f>
        <v>0</v>
      </c>
      <c r="CQ134" s="23">
        <f>$L134*BJ134</f>
        <v>0</v>
      </c>
      <c r="CR134" s="23">
        <f>$L134*BK134</f>
        <v>0</v>
      </c>
      <c r="CS134" s="23">
        <f>$L134*BL134</f>
        <v>0</v>
      </c>
      <c r="CT134" s="23">
        <f>$L134*BM134</f>
        <v>0</v>
      </c>
      <c r="CU134" s="23">
        <f>$L134*BN134</f>
        <v>0</v>
      </c>
      <c r="CV134" s="23">
        <f>$L134*BO134</f>
        <v>0</v>
      </c>
    </row>
    <row r="135" spans="1:100" ht="13.5" x14ac:dyDescent="0.15">
      <c r="A135" s="15">
        <v>776</v>
      </c>
      <c r="B135" s="27" t="s">
        <v>391</v>
      </c>
      <c r="C135" t="s">
        <v>153</v>
      </c>
      <c r="E135" t="s">
        <v>350</v>
      </c>
      <c r="F135" t="s">
        <v>155</v>
      </c>
      <c r="G135" t="s">
        <v>350</v>
      </c>
      <c r="H135" t="s">
        <v>351</v>
      </c>
      <c r="I135" s="6" t="s">
        <v>136</v>
      </c>
      <c r="J135" s="6">
        <v>1</v>
      </c>
      <c r="L135" s="15">
        <v>10</v>
      </c>
      <c r="N135" s="7">
        <v>46330</v>
      </c>
      <c r="O135" s="7">
        <v>46329</v>
      </c>
      <c r="P135" s="7">
        <v>46330</v>
      </c>
      <c r="S135" s="6" t="s">
        <v>350</v>
      </c>
      <c r="U135" s="6" t="s">
        <v>150</v>
      </c>
      <c r="V135" s="6" t="str">
        <f>TEXT(N135,"YY/MM")</f>
        <v>26/11</v>
      </c>
      <c r="W135">
        <v>21506</v>
      </c>
      <c r="Y135" s="6" t="s">
        <v>157</v>
      </c>
      <c r="Z135" s="6" t="s">
        <v>158</v>
      </c>
      <c r="AA135">
        <v>3283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1</v>
      </c>
      <c r="AP135" s="23">
        <v>0</v>
      </c>
      <c r="AQ135" s="23">
        <v>0</v>
      </c>
      <c r="AR135" s="23">
        <v>0</v>
      </c>
      <c r="AS135" s="23">
        <v>1</v>
      </c>
      <c r="AT135" s="23">
        <v>0</v>
      </c>
      <c r="AU135" s="23">
        <v>1</v>
      </c>
      <c r="AV135" s="23">
        <v>0</v>
      </c>
      <c r="AW135" s="23">
        <v>0</v>
      </c>
      <c r="AX135" s="23">
        <v>1</v>
      </c>
      <c r="AY135" s="23">
        <v>0</v>
      </c>
      <c r="AZ135" s="23">
        <v>0</v>
      </c>
      <c r="BA135" s="23">
        <v>0</v>
      </c>
      <c r="BB135" s="23">
        <v>1</v>
      </c>
      <c r="BC135" s="23">
        <v>0</v>
      </c>
      <c r="BD135" s="23">
        <v>0</v>
      </c>
      <c r="BE135" s="23">
        <v>0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>$L135*AI135</f>
        <v>10</v>
      </c>
      <c r="BQ135" s="23">
        <f>$L135*AJ135</f>
        <v>10</v>
      </c>
      <c r="BR135" s="23">
        <f>$L135*AK135</f>
        <v>0</v>
      </c>
      <c r="BS135" s="23">
        <f>$L135*AL135</f>
        <v>0</v>
      </c>
      <c r="BT135" s="23">
        <f>$L135*AM135</f>
        <v>10</v>
      </c>
      <c r="BU135" s="23">
        <f>$L135*AN135</f>
        <v>0</v>
      </c>
      <c r="BV135" s="23">
        <f>$L135*AO135</f>
        <v>10</v>
      </c>
      <c r="BW135" s="23">
        <f>$L135*AP135</f>
        <v>0</v>
      </c>
      <c r="BX135" s="23">
        <f>$L135*AQ135</f>
        <v>0</v>
      </c>
      <c r="BY135" s="23">
        <f>$L135*AR135</f>
        <v>0</v>
      </c>
      <c r="BZ135" s="23">
        <f>$L135*AS135</f>
        <v>10</v>
      </c>
      <c r="CA135" s="23">
        <f>$L135*AT135</f>
        <v>0</v>
      </c>
      <c r="CB135" s="23">
        <f>$L135*AU135</f>
        <v>10</v>
      </c>
      <c r="CC135" s="23">
        <f>$L135*AV135</f>
        <v>0</v>
      </c>
      <c r="CD135" s="23">
        <f>$L135*AW135</f>
        <v>0</v>
      </c>
      <c r="CE135" s="23">
        <f>$L135*AX135</f>
        <v>10</v>
      </c>
      <c r="CF135" s="23">
        <f>$L135*AY135</f>
        <v>0</v>
      </c>
      <c r="CG135" s="23">
        <f>$L135*AZ135</f>
        <v>0</v>
      </c>
      <c r="CH135" s="23">
        <f>$L135*BA135</f>
        <v>0</v>
      </c>
      <c r="CI135" s="23">
        <f>$L135*BB135</f>
        <v>10</v>
      </c>
      <c r="CJ135" s="23">
        <f>$L135*BC135</f>
        <v>0</v>
      </c>
      <c r="CK135" s="23">
        <f>$L135*BD135</f>
        <v>0</v>
      </c>
      <c r="CL135" s="23">
        <f>$L135*BE135</f>
        <v>0</v>
      </c>
      <c r="CM135" s="23">
        <f>$L135*BF135</f>
        <v>10</v>
      </c>
      <c r="CN135" s="23">
        <f>$L135*BG135</f>
        <v>0</v>
      </c>
      <c r="CO135" s="23">
        <f>$L135*BH135</f>
        <v>0</v>
      </c>
      <c r="CP135" s="23">
        <f>$L135*BI135</f>
        <v>0</v>
      </c>
      <c r="CQ135" s="23">
        <f>$L135*BJ135</f>
        <v>0</v>
      </c>
      <c r="CR135" s="23">
        <f>$L135*BK135</f>
        <v>0</v>
      </c>
      <c r="CS135" s="23">
        <f>$L135*BL135</f>
        <v>0</v>
      </c>
      <c r="CT135" s="23">
        <f>$L135*BM135</f>
        <v>0</v>
      </c>
      <c r="CU135" s="23">
        <f>$L135*BN135</f>
        <v>0</v>
      </c>
      <c r="CV135" s="23">
        <f>$L135*BO135</f>
        <v>0</v>
      </c>
    </row>
    <row r="136" spans="1:100" ht="13.5" x14ac:dyDescent="0.15">
      <c r="A136" s="15">
        <v>775</v>
      </c>
      <c r="B136" s="27" t="s">
        <v>390</v>
      </c>
      <c r="C136" t="s">
        <v>153</v>
      </c>
      <c r="E136" t="s">
        <v>154</v>
      </c>
      <c r="F136" t="s">
        <v>155</v>
      </c>
      <c r="G136" t="s">
        <v>154</v>
      </c>
      <c r="H136" t="s">
        <v>156</v>
      </c>
      <c r="I136" s="6" t="s">
        <v>136</v>
      </c>
      <c r="J136" s="6">
        <v>1</v>
      </c>
      <c r="L136" s="15">
        <v>10</v>
      </c>
      <c r="N136" s="7">
        <v>46330</v>
      </c>
      <c r="O136" s="7">
        <v>46329</v>
      </c>
      <c r="P136" s="7">
        <v>46330</v>
      </c>
      <c r="S136" s="6" t="s">
        <v>154</v>
      </c>
      <c r="U136" s="6" t="s">
        <v>150</v>
      </c>
      <c r="V136" s="6" t="str">
        <f>TEXT(N136,"YY/MM")</f>
        <v>26/11</v>
      </c>
      <c r="W136">
        <v>21507</v>
      </c>
      <c r="Y136" s="6" t="s">
        <v>157</v>
      </c>
      <c r="Z136" s="6" t="s">
        <v>158</v>
      </c>
      <c r="AA136">
        <v>3284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1</v>
      </c>
      <c r="AP136" s="23">
        <v>0</v>
      </c>
      <c r="AQ136" s="23">
        <v>0</v>
      </c>
      <c r="AR136" s="23">
        <v>0</v>
      </c>
      <c r="AS136" s="23">
        <v>0</v>
      </c>
      <c r="AT136" s="23">
        <v>1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>$L136*AI136</f>
        <v>10</v>
      </c>
      <c r="BQ136" s="23">
        <f>$L136*AJ136</f>
        <v>10</v>
      </c>
      <c r="BR136" s="23">
        <f>$L136*AK136</f>
        <v>0</v>
      </c>
      <c r="BS136" s="23">
        <f>$L136*AL136</f>
        <v>0</v>
      </c>
      <c r="BT136" s="23">
        <f>$L136*AM136</f>
        <v>10</v>
      </c>
      <c r="BU136" s="23">
        <f>$L136*AN136</f>
        <v>0</v>
      </c>
      <c r="BV136" s="23">
        <f>$L136*AO136</f>
        <v>10</v>
      </c>
      <c r="BW136" s="23">
        <f>$L136*AP136</f>
        <v>0</v>
      </c>
      <c r="BX136" s="23">
        <f>$L136*AQ136</f>
        <v>0</v>
      </c>
      <c r="BY136" s="23">
        <f>$L136*AR136</f>
        <v>0</v>
      </c>
      <c r="BZ136" s="23">
        <f>$L136*AS136</f>
        <v>0</v>
      </c>
      <c r="CA136" s="23">
        <f>$L136*AT136</f>
        <v>10</v>
      </c>
      <c r="CB136" s="23">
        <f>$L136*AU136</f>
        <v>10</v>
      </c>
      <c r="CC136" s="23">
        <f>$L136*AV136</f>
        <v>0</v>
      </c>
      <c r="CD136" s="23">
        <f>$L136*AW136</f>
        <v>0</v>
      </c>
      <c r="CE136" s="23">
        <f>$L136*AX136</f>
        <v>10</v>
      </c>
      <c r="CF136" s="23">
        <f>$L136*AY136</f>
        <v>0</v>
      </c>
      <c r="CG136" s="23">
        <f>$L136*AZ136</f>
        <v>0</v>
      </c>
      <c r="CH136" s="23">
        <f>$L136*BA136</f>
        <v>0</v>
      </c>
      <c r="CI136" s="23">
        <f>$L136*BB136</f>
        <v>10</v>
      </c>
      <c r="CJ136" s="23">
        <f>$L136*BC136</f>
        <v>0</v>
      </c>
      <c r="CK136" s="23">
        <f>$L136*BD136</f>
        <v>0</v>
      </c>
      <c r="CL136" s="23">
        <f>$L136*BE136</f>
        <v>0</v>
      </c>
      <c r="CM136" s="23">
        <f>$L136*BF136</f>
        <v>10</v>
      </c>
      <c r="CN136" s="23">
        <f>$L136*BG136</f>
        <v>0</v>
      </c>
      <c r="CO136" s="23">
        <f>$L136*BH136</f>
        <v>0</v>
      </c>
      <c r="CP136" s="23">
        <f>$L136*BI136</f>
        <v>0</v>
      </c>
      <c r="CQ136" s="23">
        <f>$L136*BJ136</f>
        <v>0</v>
      </c>
      <c r="CR136" s="23">
        <f>$L136*BK136</f>
        <v>0</v>
      </c>
      <c r="CS136" s="23">
        <f>$L136*BL136</f>
        <v>0</v>
      </c>
      <c r="CT136" s="23">
        <f>$L136*BM136</f>
        <v>0</v>
      </c>
      <c r="CU136" s="23">
        <f>$L136*BN136</f>
        <v>0</v>
      </c>
      <c r="CV136" s="23">
        <f>$L136*BO136</f>
        <v>0</v>
      </c>
    </row>
    <row r="137" spans="1:100" ht="13.5" x14ac:dyDescent="0.15">
      <c r="A137" s="15">
        <v>781</v>
      </c>
      <c r="B137" s="27" t="s">
        <v>392</v>
      </c>
      <c r="C137" t="s">
        <v>197</v>
      </c>
      <c r="E137" t="s">
        <v>199</v>
      </c>
      <c r="F137" t="s">
        <v>155</v>
      </c>
      <c r="G137" t="s">
        <v>199</v>
      </c>
      <c r="H137" t="s">
        <v>200</v>
      </c>
      <c r="I137" s="6" t="s">
        <v>136</v>
      </c>
      <c r="J137" s="6">
        <v>0</v>
      </c>
      <c r="K137" t="s">
        <v>201</v>
      </c>
      <c r="L137" s="15">
        <v>1</v>
      </c>
      <c r="N137" s="7">
        <v>46357</v>
      </c>
      <c r="O137" s="7">
        <v>46356</v>
      </c>
      <c r="P137" s="7">
        <v>46357</v>
      </c>
      <c r="S137" s="6" t="s">
        <v>199</v>
      </c>
      <c r="U137" s="6" t="s">
        <v>150</v>
      </c>
      <c r="V137" s="6" t="str">
        <f>TEXT(N137,"YY/MM")</f>
        <v>26/12</v>
      </c>
      <c r="W137">
        <v>21508</v>
      </c>
      <c r="Y137" s="6" t="s">
        <v>203</v>
      </c>
      <c r="Z137" s="6" t="s">
        <v>152</v>
      </c>
      <c r="AE137">
        <v>1294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0</v>
      </c>
      <c r="AP137" s="23">
        <v>1</v>
      </c>
      <c r="AQ137" s="23">
        <v>0</v>
      </c>
      <c r="AR137" s="23">
        <v>0</v>
      </c>
      <c r="AS137" s="23">
        <v>1</v>
      </c>
      <c r="AT137" s="23">
        <v>0</v>
      </c>
      <c r="AU137" s="23">
        <v>1</v>
      </c>
      <c r="AV137" s="23">
        <v>0</v>
      </c>
      <c r="AW137" s="23">
        <v>0</v>
      </c>
      <c r="AX137" s="23">
        <v>1</v>
      </c>
      <c r="AY137" s="23">
        <v>0</v>
      </c>
      <c r="AZ137" s="23">
        <v>0</v>
      </c>
      <c r="BA137" s="23">
        <v>0</v>
      </c>
      <c r="BB137" s="23">
        <v>1</v>
      </c>
      <c r="BC137" s="23">
        <v>0</v>
      </c>
      <c r="BD137" s="23">
        <v>0</v>
      </c>
      <c r="BE137" s="23">
        <v>0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>$L137*AI137</f>
        <v>1</v>
      </c>
      <c r="BQ137" s="23">
        <f>$L137*AJ137</f>
        <v>1</v>
      </c>
      <c r="BR137" s="23">
        <f>$L137*AK137</f>
        <v>0</v>
      </c>
      <c r="BS137" s="23">
        <f>$L137*AL137</f>
        <v>0</v>
      </c>
      <c r="BT137" s="23">
        <f>$L137*AM137</f>
        <v>1</v>
      </c>
      <c r="BU137" s="23">
        <f>$L137*AN137</f>
        <v>0</v>
      </c>
      <c r="BV137" s="23">
        <f>$L137*AO137</f>
        <v>0</v>
      </c>
      <c r="BW137" s="23">
        <f>$L137*AP137</f>
        <v>1</v>
      </c>
      <c r="BX137" s="23">
        <f>$L137*AQ137</f>
        <v>0</v>
      </c>
      <c r="BY137" s="23">
        <f>$L137*AR137</f>
        <v>0</v>
      </c>
      <c r="BZ137" s="23">
        <f>$L137*AS137</f>
        <v>1</v>
      </c>
      <c r="CA137" s="23">
        <f>$L137*AT137</f>
        <v>0</v>
      </c>
      <c r="CB137" s="23">
        <f>$L137*AU137</f>
        <v>1</v>
      </c>
      <c r="CC137" s="23">
        <f>$L137*AV137</f>
        <v>0</v>
      </c>
      <c r="CD137" s="23">
        <f>$L137*AW137</f>
        <v>0</v>
      </c>
      <c r="CE137" s="23">
        <f>$L137*AX137</f>
        <v>1</v>
      </c>
      <c r="CF137" s="23">
        <f>$L137*AY137</f>
        <v>0</v>
      </c>
      <c r="CG137" s="23">
        <f>$L137*AZ137</f>
        <v>0</v>
      </c>
      <c r="CH137" s="23">
        <f>$L137*BA137</f>
        <v>0</v>
      </c>
      <c r="CI137" s="23">
        <f>$L137*BB137</f>
        <v>1</v>
      </c>
      <c r="CJ137" s="23">
        <f>$L137*BC137</f>
        <v>0</v>
      </c>
      <c r="CK137" s="23">
        <f>$L137*BD137</f>
        <v>0</v>
      </c>
      <c r="CL137" s="23">
        <f>$L137*BE137</f>
        <v>0</v>
      </c>
      <c r="CM137" s="23">
        <f>$L137*BF137</f>
        <v>1</v>
      </c>
      <c r="CN137" s="23">
        <f>$L137*BG137</f>
        <v>0</v>
      </c>
      <c r="CO137" s="23">
        <f>$L137*BH137</f>
        <v>0</v>
      </c>
      <c r="CP137" s="23">
        <f>$L137*BI137</f>
        <v>0</v>
      </c>
      <c r="CQ137" s="23">
        <f>$L137*BJ137</f>
        <v>0</v>
      </c>
      <c r="CR137" s="23">
        <f>$L137*BK137</f>
        <v>0</v>
      </c>
      <c r="CS137" s="23">
        <f>$L137*BL137</f>
        <v>0</v>
      </c>
      <c r="CT137" s="23">
        <f>$L137*BM137</f>
        <v>0</v>
      </c>
      <c r="CU137" s="23">
        <f>$L137*BN137</f>
        <v>0</v>
      </c>
      <c r="CV137" s="23">
        <f>$L137*BO137</f>
        <v>0</v>
      </c>
    </row>
    <row r="138" spans="1:100" ht="13.5" x14ac:dyDescent="0.15">
      <c r="A138" s="15">
        <v>783</v>
      </c>
      <c r="B138" s="27" t="s">
        <v>394</v>
      </c>
      <c r="C138" t="s">
        <v>138</v>
      </c>
      <c r="E138" t="s">
        <v>395</v>
      </c>
      <c r="F138" t="s">
        <v>155</v>
      </c>
      <c r="G138" t="s">
        <v>395</v>
      </c>
      <c r="H138" t="s">
        <v>396</v>
      </c>
      <c r="I138" s="6" t="s">
        <v>136</v>
      </c>
      <c r="J138" s="6">
        <v>1</v>
      </c>
      <c r="L138" s="15">
        <v>3</v>
      </c>
      <c r="N138" s="7">
        <v>46357</v>
      </c>
      <c r="O138" s="7">
        <v>46356</v>
      </c>
      <c r="P138" s="7">
        <v>46357</v>
      </c>
      <c r="S138" s="6" t="s">
        <v>395</v>
      </c>
      <c r="U138" s="6" t="s">
        <v>150</v>
      </c>
      <c r="V138" s="6" t="str">
        <f>TEXT(N138,"YY/MM")</f>
        <v>26/12</v>
      </c>
      <c r="W138">
        <v>21509</v>
      </c>
      <c r="Y138" s="6" t="s">
        <v>151</v>
      </c>
      <c r="Z138" s="6" t="s">
        <v>152</v>
      </c>
      <c r="AD138">
        <v>8247</v>
      </c>
      <c r="AI138" s="23">
        <v>1</v>
      </c>
      <c r="AJ138" s="23">
        <v>1</v>
      </c>
      <c r="AK138" s="23">
        <v>0</v>
      </c>
      <c r="AL138" s="23">
        <v>0</v>
      </c>
      <c r="AM138" s="23">
        <v>1</v>
      </c>
      <c r="AN138" s="23">
        <v>0</v>
      </c>
      <c r="AO138" s="23">
        <v>1</v>
      </c>
      <c r="AP138" s="23">
        <v>0</v>
      </c>
      <c r="AQ138" s="23">
        <v>0</v>
      </c>
      <c r="AR138" s="23">
        <v>0</v>
      </c>
      <c r="AS138" s="23">
        <v>1</v>
      </c>
      <c r="AT138" s="23">
        <v>0</v>
      </c>
      <c r="AU138" s="23">
        <v>1</v>
      </c>
      <c r="AV138" s="23">
        <v>0</v>
      </c>
      <c r="AW138" s="23">
        <v>0</v>
      </c>
      <c r="AX138" s="23">
        <v>1</v>
      </c>
      <c r="AY138" s="23">
        <v>0</v>
      </c>
      <c r="AZ138" s="23">
        <v>0</v>
      </c>
      <c r="BA138" s="23">
        <v>0</v>
      </c>
      <c r="BB138" s="23">
        <v>1</v>
      </c>
      <c r="BC138" s="23">
        <v>0</v>
      </c>
      <c r="BD138" s="23">
        <v>0</v>
      </c>
      <c r="BE138" s="23">
        <v>0</v>
      </c>
      <c r="BF138" s="23">
        <v>1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f>$L138*AI138</f>
        <v>3</v>
      </c>
      <c r="BQ138" s="23">
        <f>$L138*AJ138</f>
        <v>3</v>
      </c>
      <c r="BR138" s="23">
        <f>$L138*AK138</f>
        <v>0</v>
      </c>
      <c r="BS138" s="23">
        <f>$L138*AL138</f>
        <v>0</v>
      </c>
      <c r="BT138" s="23">
        <f>$L138*AM138</f>
        <v>3</v>
      </c>
      <c r="BU138" s="23">
        <f>$L138*AN138</f>
        <v>0</v>
      </c>
      <c r="BV138" s="23">
        <f>$L138*AO138</f>
        <v>3</v>
      </c>
      <c r="BW138" s="23">
        <f>$L138*AP138</f>
        <v>0</v>
      </c>
      <c r="BX138" s="23">
        <f>$L138*AQ138</f>
        <v>0</v>
      </c>
      <c r="BY138" s="23">
        <f>$L138*AR138</f>
        <v>0</v>
      </c>
      <c r="BZ138" s="23">
        <f>$L138*AS138</f>
        <v>3</v>
      </c>
      <c r="CA138" s="23">
        <f>$L138*AT138</f>
        <v>0</v>
      </c>
      <c r="CB138" s="23">
        <f>$L138*AU138</f>
        <v>3</v>
      </c>
      <c r="CC138" s="23">
        <f>$L138*AV138</f>
        <v>0</v>
      </c>
      <c r="CD138" s="23">
        <f>$L138*AW138</f>
        <v>0</v>
      </c>
      <c r="CE138" s="23">
        <f>$L138*AX138</f>
        <v>3</v>
      </c>
      <c r="CF138" s="23">
        <f>$L138*AY138</f>
        <v>0</v>
      </c>
      <c r="CG138" s="23">
        <f>$L138*AZ138</f>
        <v>0</v>
      </c>
      <c r="CH138" s="23">
        <f>$L138*BA138</f>
        <v>0</v>
      </c>
      <c r="CI138" s="23">
        <f>$L138*BB138</f>
        <v>3</v>
      </c>
      <c r="CJ138" s="23">
        <f>$L138*BC138</f>
        <v>0</v>
      </c>
      <c r="CK138" s="23">
        <f>$L138*BD138</f>
        <v>0</v>
      </c>
      <c r="CL138" s="23">
        <f>$L138*BE138</f>
        <v>0</v>
      </c>
      <c r="CM138" s="23">
        <f>$L138*BF138</f>
        <v>3</v>
      </c>
      <c r="CN138" s="23">
        <f>$L138*BG138</f>
        <v>0</v>
      </c>
      <c r="CO138" s="23">
        <f>$L138*BH138</f>
        <v>0</v>
      </c>
      <c r="CP138" s="23">
        <f>$L138*BI138</f>
        <v>0</v>
      </c>
      <c r="CQ138" s="23">
        <f>$L138*BJ138</f>
        <v>0</v>
      </c>
      <c r="CR138" s="23">
        <f>$L138*BK138</f>
        <v>0</v>
      </c>
      <c r="CS138" s="23">
        <f>$L138*BL138</f>
        <v>0</v>
      </c>
      <c r="CT138" s="23">
        <f>$L138*BM138</f>
        <v>0</v>
      </c>
      <c r="CU138" s="23">
        <f>$L138*BN138</f>
        <v>0</v>
      </c>
      <c r="CV138" s="23">
        <f>$L138*BO138</f>
        <v>0</v>
      </c>
    </row>
    <row r="139" spans="1:100" ht="13.5" x14ac:dyDescent="0.15">
      <c r="A139" s="15">
        <v>782</v>
      </c>
      <c r="B139" s="27" t="s">
        <v>393</v>
      </c>
      <c r="C139" t="s">
        <v>138</v>
      </c>
      <c r="E139" t="s">
        <v>256</v>
      </c>
      <c r="F139" t="s">
        <v>155</v>
      </c>
      <c r="G139" t="s">
        <v>256</v>
      </c>
      <c r="H139" t="s">
        <v>257</v>
      </c>
      <c r="I139" s="6" t="s">
        <v>136</v>
      </c>
      <c r="J139" s="6">
        <v>1</v>
      </c>
      <c r="L139" s="15">
        <v>3</v>
      </c>
      <c r="N139" s="7">
        <v>46357</v>
      </c>
      <c r="O139" s="7">
        <v>46356</v>
      </c>
      <c r="P139" s="7">
        <v>46357</v>
      </c>
      <c r="S139" s="6" t="s">
        <v>256</v>
      </c>
      <c r="U139" s="6" t="s">
        <v>150</v>
      </c>
      <c r="V139" s="6" t="str">
        <f>TEXT(N139,"YY/MM")</f>
        <v>26/12</v>
      </c>
      <c r="W139">
        <v>21510</v>
      </c>
      <c r="Y139" s="6" t="s">
        <v>151</v>
      </c>
      <c r="Z139" s="6" t="s">
        <v>152</v>
      </c>
      <c r="AD139">
        <v>8248</v>
      </c>
      <c r="AI139" s="23">
        <v>1</v>
      </c>
      <c r="AJ139" s="23">
        <v>1</v>
      </c>
      <c r="AK139" s="23">
        <v>0</v>
      </c>
      <c r="AL139" s="23">
        <v>0</v>
      </c>
      <c r="AM139" s="23">
        <v>1</v>
      </c>
      <c r="AN139" s="23">
        <v>0</v>
      </c>
      <c r="AO139" s="23">
        <v>1</v>
      </c>
      <c r="AP139" s="23">
        <v>0</v>
      </c>
      <c r="AQ139" s="23">
        <v>0</v>
      </c>
      <c r="AR139" s="23">
        <v>0</v>
      </c>
      <c r="AS139" s="23">
        <v>0</v>
      </c>
      <c r="AT139" s="23">
        <v>1</v>
      </c>
      <c r="AU139" s="23">
        <v>1</v>
      </c>
      <c r="AV139" s="23">
        <v>0</v>
      </c>
      <c r="AW139" s="23">
        <v>0</v>
      </c>
      <c r="AX139" s="23">
        <v>1</v>
      </c>
      <c r="AY139" s="23">
        <v>0</v>
      </c>
      <c r="AZ139" s="23">
        <v>0</v>
      </c>
      <c r="BA139" s="23">
        <v>0</v>
      </c>
      <c r="BB139" s="23">
        <v>1</v>
      </c>
      <c r="BC139" s="23">
        <v>0</v>
      </c>
      <c r="BD139" s="23">
        <v>0</v>
      </c>
      <c r="BE139" s="23">
        <v>0</v>
      </c>
      <c r="BF139" s="23">
        <v>1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f>$L139*AI139</f>
        <v>3</v>
      </c>
      <c r="BQ139" s="23">
        <f>$L139*AJ139</f>
        <v>3</v>
      </c>
      <c r="BR139" s="23">
        <f>$L139*AK139</f>
        <v>0</v>
      </c>
      <c r="BS139" s="23">
        <f>$L139*AL139</f>
        <v>0</v>
      </c>
      <c r="BT139" s="23">
        <f>$L139*AM139</f>
        <v>3</v>
      </c>
      <c r="BU139" s="23">
        <f>$L139*AN139</f>
        <v>0</v>
      </c>
      <c r="BV139" s="23">
        <f>$L139*AO139</f>
        <v>3</v>
      </c>
      <c r="BW139" s="23">
        <f>$L139*AP139</f>
        <v>0</v>
      </c>
      <c r="BX139" s="23">
        <f>$L139*AQ139</f>
        <v>0</v>
      </c>
      <c r="BY139" s="23">
        <f>$L139*AR139</f>
        <v>0</v>
      </c>
      <c r="BZ139" s="23">
        <f>$L139*AS139</f>
        <v>0</v>
      </c>
      <c r="CA139" s="23">
        <f>$L139*AT139</f>
        <v>3</v>
      </c>
      <c r="CB139" s="23">
        <f>$L139*AU139</f>
        <v>3</v>
      </c>
      <c r="CC139" s="23">
        <f>$L139*AV139</f>
        <v>0</v>
      </c>
      <c r="CD139" s="23">
        <f>$L139*AW139</f>
        <v>0</v>
      </c>
      <c r="CE139" s="23">
        <f>$L139*AX139</f>
        <v>3</v>
      </c>
      <c r="CF139" s="23">
        <f>$L139*AY139</f>
        <v>0</v>
      </c>
      <c r="CG139" s="23">
        <f>$L139*AZ139</f>
        <v>0</v>
      </c>
      <c r="CH139" s="23">
        <f>$L139*BA139</f>
        <v>0</v>
      </c>
      <c r="CI139" s="23">
        <f>$L139*BB139</f>
        <v>3</v>
      </c>
      <c r="CJ139" s="23">
        <f>$L139*BC139</f>
        <v>0</v>
      </c>
      <c r="CK139" s="23">
        <f>$L139*BD139</f>
        <v>0</v>
      </c>
      <c r="CL139" s="23">
        <f>$L139*BE139</f>
        <v>0</v>
      </c>
      <c r="CM139" s="23">
        <f>$L139*BF139</f>
        <v>3</v>
      </c>
      <c r="CN139" s="23">
        <f>$L139*BG139</f>
        <v>0</v>
      </c>
      <c r="CO139" s="23">
        <f>$L139*BH139</f>
        <v>0</v>
      </c>
      <c r="CP139" s="23">
        <f>$L139*BI139</f>
        <v>0</v>
      </c>
      <c r="CQ139" s="23">
        <f>$L139*BJ139</f>
        <v>0</v>
      </c>
      <c r="CR139" s="23">
        <f>$L139*BK139</f>
        <v>0</v>
      </c>
      <c r="CS139" s="23">
        <f>$L139*BL139</f>
        <v>0</v>
      </c>
      <c r="CT139" s="23">
        <f>$L139*BM139</f>
        <v>0</v>
      </c>
      <c r="CU139" s="23">
        <f>$L139*BN139</f>
        <v>0</v>
      </c>
      <c r="CV139" s="23">
        <f>$L139*BO139</f>
        <v>0</v>
      </c>
    </row>
    <row r="140" spans="1:100" ht="13.5" x14ac:dyDescent="0.15">
      <c r="A140" s="15">
        <v>785</v>
      </c>
      <c r="B140" s="27" t="s">
        <v>397</v>
      </c>
      <c r="C140" t="s">
        <v>153</v>
      </c>
      <c r="E140" t="s">
        <v>350</v>
      </c>
      <c r="F140" t="s">
        <v>155</v>
      </c>
      <c r="G140" t="s">
        <v>350</v>
      </c>
      <c r="H140" t="s">
        <v>351</v>
      </c>
      <c r="I140" s="6" t="s">
        <v>136</v>
      </c>
      <c r="J140" s="6">
        <v>1</v>
      </c>
      <c r="L140" s="15">
        <v>20</v>
      </c>
      <c r="N140" s="7">
        <v>46357</v>
      </c>
      <c r="O140" s="7">
        <v>46356</v>
      </c>
      <c r="P140" s="7">
        <v>46357</v>
      </c>
      <c r="S140" s="6" t="s">
        <v>350</v>
      </c>
      <c r="U140" s="6" t="s">
        <v>150</v>
      </c>
      <c r="V140" s="6" t="str">
        <f>TEXT(N140,"YY/MM")</f>
        <v>26/12</v>
      </c>
      <c r="W140">
        <v>21511</v>
      </c>
      <c r="Y140" s="6" t="s">
        <v>157</v>
      </c>
      <c r="Z140" s="6" t="s">
        <v>158</v>
      </c>
      <c r="AA140">
        <v>3285</v>
      </c>
      <c r="AI140" s="23">
        <v>1</v>
      </c>
      <c r="AJ140" s="23">
        <v>1</v>
      </c>
      <c r="AK140" s="23">
        <v>0</v>
      </c>
      <c r="AL140" s="23">
        <v>0</v>
      </c>
      <c r="AM140" s="23">
        <v>1</v>
      </c>
      <c r="AN140" s="23">
        <v>0</v>
      </c>
      <c r="AO140" s="23">
        <v>1</v>
      </c>
      <c r="AP140" s="23">
        <v>0</v>
      </c>
      <c r="AQ140" s="23">
        <v>0</v>
      </c>
      <c r="AR140" s="23">
        <v>0</v>
      </c>
      <c r="AS140" s="23">
        <v>1</v>
      </c>
      <c r="AT140" s="23">
        <v>0</v>
      </c>
      <c r="AU140" s="23">
        <v>1</v>
      </c>
      <c r="AV140" s="23">
        <v>0</v>
      </c>
      <c r="AW140" s="23">
        <v>0</v>
      </c>
      <c r="AX140" s="23">
        <v>1</v>
      </c>
      <c r="AY140" s="23">
        <v>0</v>
      </c>
      <c r="AZ140" s="23">
        <v>0</v>
      </c>
      <c r="BA140" s="23">
        <v>0</v>
      </c>
      <c r="BB140" s="23">
        <v>1</v>
      </c>
      <c r="BC140" s="23">
        <v>0</v>
      </c>
      <c r="BD140" s="23">
        <v>0</v>
      </c>
      <c r="BE140" s="23">
        <v>0</v>
      </c>
      <c r="BF140" s="23">
        <v>1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f>$L140*AI140</f>
        <v>20</v>
      </c>
      <c r="BQ140" s="23">
        <f>$L140*AJ140</f>
        <v>20</v>
      </c>
      <c r="BR140" s="23">
        <f>$L140*AK140</f>
        <v>0</v>
      </c>
      <c r="BS140" s="23">
        <f>$L140*AL140</f>
        <v>0</v>
      </c>
      <c r="BT140" s="23">
        <f>$L140*AM140</f>
        <v>20</v>
      </c>
      <c r="BU140" s="23">
        <f>$L140*AN140</f>
        <v>0</v>
      </c>
      <c r="BV140" s="23">
        <f>$L140*AO140</f>
        <v>20</v>
      </c>
      <c r="BW140" s="23">
        <f>$L140*AP140</f>
        <v>0</v>
      </c>
      <c r="BX140" s="23">
        <f>$L140*AQ140</f>
        <v>0</v>
      </c>
      <c r="BY140" s="23">
        <f>$L140*AR140</f>
        <v>0</v>
      </c>
      <c r="BZ140" s="23">
        <f>$L140*AS140</f>
        <v>20</v>
      </c>
      <c r="CA140" s="23">
        <f>$L140*AT140</f>
        <v>0</v>
      </c>
      <c r="CB140" s="23">
        <f>$L140*AU140</f>
        <v>20</v>
      </c>
      <c r="CC140" s="23">
        <f>$L140*AV140</f>
        <v>0</v>
      </c>
      <c r="CD140" s="23">
        <f>$L140*AW140</f>
        <v>0</v>
      </c>
      <c r="CE140" s="23">
        <f>$L140*AX140</f>
        <v>20</v>
      </c>
      <c r="CF140" s="23">
        <f>$L140*AY140</f>
        <v>0</v>
      </c>
      <c r="CG140" s="23">
        <f>$L140*AZ140</f>
        <v>0</v>
      </c>
      <c r="CH140" s="23">
        <f>$L140*BA140</f>
        <v>0</v>
      </c>
      <c r="CI140" s="23">
        <f>$L140*BB140</f>
        <v>20</v>
      </c>
      <c r="CJ140" s="23">
        <f>$L140*BC140</f>
        <v>0</v>
      </c>
      <c r="CK140" s="23">
        <f>$L140*BD140</f>
        <v>0</v>
      </c>
      <c r="CL140" s="23">
        <f>$L140*BE140</f>
        <v>0</v>
      </c>
      <c r="CM140" s="23">
        <f>$L140*BF140</f>
        <v>20</v>
      </c>
      <c r="CN140" s="23">
        <f>$L140*BG140</f>
        <v>0</v>
      </c>
      <c r="CO140" s="23">
        <f>$L140*BH140</f>
        <v>0</v>
      </c>
      <c r="CP140" s="23">
        <f>$L140*BI140</f>
        <v>0</v>
      </c>
      <c r="CQ140" s="23">
        <f>$L140*BJ140</f>
        <v>0</v>
      </c>
      <c r="CR140" s="23">
        <f>$L140*BK140</f>
        <v>0</v>
      </c>
      <c r="CS140" s="23">
        <f>$L140*BL140</f>
        <v>0</v>
      </c>
      <c r="CT140" s="23">
        <f>$L140*BM140</f>
        <v>0</v>
      </c>
      <c r="CU140" s="23">
        <f>$L140*BN140</f>
        <v>0</v>
      </c>
      <c r="CV140" s="23">
        <f>$L140*BO140</f>
        <v>0</v>
      </c>
    </row>
    <row r="141" spans="1:100" ht="13.5" x14ac:dyDescent="0.15">
      <c r="A141" s="15">
        <v>809</v>
      </c>
      <c r="B141" s="27" t="s">
        <v>398</v>
      </c>
      <c r="C141" t="s">
        <v>138</v>
      </c>
      <c r="E141" t="s">
        <v>395</v>
      </c>
      <c r="F141" t="s">
        <v>155</v>
      </c>
      <c r="G141" t="s">
        <v>395</v>
      </c>
      <c r="H141" t="s">
        <v>396</v>
      </c>
      <c r="I141" s="6" t="s">
        <v>136</v>
      </c>
      <c r="J141" s="6">
        <v>1</v>
      </c>
      <c r="L141" s="15">
        <v>11</v>
      </c>
      <c r="N141" s="7">
        <v>46388</v>
      </c>
      <c r="O141" s="7">
        <v>46387</v>
      </c>
      <c r="P141" s="7">
        <v>46388</v>
      </c>
      <c r="S141" s="6" t="s">
        <v>395</v>
      </c>
      <c r="U141" s="6" t="s">
        <v>150</v>
      </c>
      <c r="V141" s="6" t="str">
        <f>TEXT(N141,"YY/MM")</f>
        <v>27/01</v>
      </c>
      <c r="W141">
        <v>21512</v>
      </c>
      <c r="Y141" s="6" t="s">
        <v>151</v>
      </c>
      <c r="Z141" s="6" t="s">
        <v>152</v>
      </c>
      <c r="AD141">
        <v>8249</v>
      </c>
      <c r="AI141" s="23">
        <v>1</v>
      </c>
      <c r="AJ141" s="23">
        <v>1</v>
      </c>
      <c r="AK141" s="23">
        <v>0</v>
      </c>
      <c r="AL141" s="23">
        <v>0</v>
      </c>
      <c r="AM141" s="23">
        <v>1</v>
      </c>
      <c r="AN141" s="23">
        <v>0</v>
      </c>
      <c r="AO141" s="23">
        <v>1</v>
      </c>
      <c r="AP141" s="23">
        <v>0</v>
      </c>
      <c r="AQ141" s="23">
        <v>0</v>
      </c>
      <c r="AR141" s="23">
        <v>0</v>
      </c>
      <c r="AS141" s="23">
        <v>1</v>
      </c>
      <c r="AT141" s="23">
        <v>0</v>
      </c>
      <c r="AU141" s="23">
        <v>1</v>
      </c>
      <c r="AV141" s="23">
        <v>0</v>
      </c>
      <c r="AW141" s="23">
        <v>0</v>
      </c>
      <c r="AX141" s="23">
        <v>1</v>
      </c>
      <c r="AY141" s="23">
        <v>0</v>
      </c>
      <c r="AZ141" s="23">
        <v>0</v>
      </c>
      <c r="BA141" s="23">
        <v>0</v>
      </c>
      <c r="BB141" s="23">
        <v>1</v>
      </c>
      <c r="BC141" s="23">
        <v>0</v>
      </c>
      <c r="BD141" s="23">
        <v>0</v>
      </c>
      <c r="BE141" s="23">
        <v>0</v>
      </c>
      <c r="BF141" s="23">
        <v>1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0</v>
      </c>
      <c r="BN141" s="23">
        <v>0</v>
      </c>
      <c r="BO141" s="23">
        <v>0</v>
      </c>
      <c r="BP141" s="23">
        <f>$L141*AI141</f>
        <v>11</v>
      </c>
      <c r="BQ141" s="23">
        <f>$L141*AJ141</f>
        <v>11</v>
      </c>
      <c r="BR141" s="23">
        <f>$L141*AK141</f>
        <v>0</v>
      </c>
      <c r="BS141" s="23">
        <f>$L141*AL141</f>
        <v>0</v>
      </c>
      <c r="BT141" s="23">
        <f>$L141*AM141</f>
        <v>11</v>
      </c>
      <c r="BU141" s="23">
        <f>$L141*AN141</f>
        <v>0</v>
      </c>
      <c r="BV141" s="23">
        <f>$L141*AO141</f>
        <v>11</v>
      </c>
      <c r="BW141" s="23">
        <f>$L141*AP141</f>
        <v>0</v>
      </c>
      <c r="BX141" s="23">
        <f>$L141*AQ141</f>
        <v>0</v>
      </c>
      <c r="BY141" s="23">
        <f>$L141*AR141</f>
        <v>0</v>
      </c>
      <c r="BZ141" s="23">
        <f>$L141*AS141</f>
        <v>11</v>
      </c>
      <c r="CA141" s="23">
        <f>$L141*AT141</f>
        <v>0</v>
      </c>
      <c r="CB141" s="23">
        <f>$L141*AU141</f>
        <v>11</v>
      </c>
      <c r="CC141" s="23">
        <f>$L141*AV141</f>
        <v>0</v>
      </c>
      <c r="CD141" s="23">
        <f>$L141*AW141</f>
        <v>0</v>
      </c>
      <c r="CE141" s="23">
        <f>$L141*AX141</f>
        <v>11</v>
      </c>
      <c r="CF141" s="23">
        <f>$L141*AY141</f>
        <v>0</v>
      </c>
      <c r="CG141" s="23">
        <f>$L141*AZ141</f>
        <v>0</v>
      </c>
      <c r="CH141" s="23">
        <f>$L141*BA141</f>
        <v>0</v>
      </c>
      <c r="CI141" s="23">
        <f>$L141*BB141</f>
        <v>11</v>
      </c>
      <c r="CJ141" s="23">
        <f>$L141*BC141</f>
        <v>0</v>
      </c>
      <c r="CK141" s="23">
        <f>$L141*BD141</f>
        <v>0</v>
      </c>
      <c r="CL141" s="23">
        <f>$L141*BE141</f>
        <v>0</v>
      </c>
      <c r="CM141" s="23">
        <f>$L141*BF141</f>
        <v>11</v>
      </c>
      <c r="CN141" s="23">
        <f>$L141*BG141</f>
        <v>0</v>
      </c>
      <c r="CO141" s="23">
        <f>$L141*BH141</f>
        <v>0</v>
      </c>
      <c r="CP141" s="23">
        <f>$L141*BI141</f>
        <v>0</v>
      </c>
      <c r="CQ141" s="23">
        <f>$L141*BJ141</f>
        <v>0</v>
      </c>
      <c r="CR141" s="23">
        <f>$L141*BK141</f>
        <v>0</v>
      </c>
      <c r="CS141" s="23">
        <f>$L141*BL141</f>
        <v>0</v>
      </c>
      <c r="CT141" s="23">
        <f>$L141*BM141</f>
        <v>0</v>
      </c>
      <c r="CU141" s="23">
        <f>$L141*BN141</f>
        <v>0</v>
      </c>
      <c r="CV141" s="23">
        <f>$L141*BO141</f>
        <v>0</v>
      </c>
    </row>
    <row r="142" spans="1:100" ht="13.5" x14ac:dyDescent="0.15">
      <c r="A142" s="44">
        <v>811</v>
      </c>
      <c r="B142" s="45" t="s">
        <v>399</v>
      </c>
      <c r="C142" s="46" t="s">
        <v>138</v>
      </c>
      <c r="D142" s="46"/>
      <c r="E142" s="46" t="s">
        <v>256</v>
      </c>
      <c r="F142" s="46" t="s">
        <v>155</v>
      </c>
      <c r="G142" s="46" t="s">
        <v>256</v>
      </c>
      <c r="H142" s="46" t="s">
        <v>257</v>
      </c>
      <c r="I142" s="47" t="s">
        <v>136</v>
      </c>
      <c r="J142" s="47">
        <v>1</v>
      </c>
      <c r="K142" s="46"/>
      <c r="L142" s="44">
        <v>35</v>
      </c>
      <c r="M142" s="48"/>
      <c r="N142" s="48">
        <v>46391</v>
      </c>
      <c r="O142" s="48">
        <v>46388</v>
      </c>
      <c r="P142" s="48">
        <v>46391</v>
      </c>
      <c r="Q142" s="48"/>
      <c r="R142" s="47"/>
      <c r="S142" s="47" t="s">
        <v>256</v>
      </c>
      <c r="T142" s="47"/>
      <c r="U142" s="47" t="s">
        <v>150</v>
      </c>
      <c r="V142" s="47" t="str">
        <f>TEXT(N142,"YY/MM")</f>
        <v>27/01</v>
      </c>
      <c r="W142">
        <v>21513</v>
      </c>
      <c r="Y142" s="6" t="s">
        <v>151</v>
      </c>
      <c r="Z142" s="6" t="s">
        <v>152</v>
      </c>
      <c r="AD142">
        <v>8250</v>
      </c>
      <c r="AI142" s="23">
        <v>1</v>
      </c>
      <c r="AJ142" s="23">
        <v>1</v>
      </c>
      <c r="AK142" s="23">
        <v>0</v>
      </c>
      <c r="AL142" s="23">
        <v>0</v>
      </c>
      <c r="AM142" s="23">
        <v>1</v>
      </c>
      <c r="AN142" s="23">
        <v>0</v>
      </c>
      <c r="AO142" s="23">
        <v>1</v>
      </c>
      <c r="AP142" s="23">
        <v>0</v>
      </c>
      <c r="AQ142" s="23">
        <v>0</v>
      </c>
      <c r="AR142" s="23">
        <v>0</v>
      </c>
      <c r="AS142" s="23">
        <v>0</v>
      </c>
      <c r="AT142" s="23">
        <v>1</v>
      </c>
      <c r="AU142" s="23">
        <v>1</v>
      </c>
      <c r="AV142" s="23">
        <v>0</v>
      </c>
      <c r="AW142" s="23">
        <v>0</v>
      </c>
      <c r="AX142" s="23">
        <v>1</v>
      </c>
      <c r="AY142" s="23">
        <v>0</v>
      </c>
      <c r="AZ142" s="23">
        <v>0</v>
      </c>
      <c r="BA142" s="23">
        <v>0</v>
      </c>
      <c r="BB142" s="23">
        <v>1</v>
      </c>
      <c r="BC142" s="23">
        <v>0</v>
      </c>
      <c r="BD142" s="23">
        <v>0</v>
      </c>
      <c r="BE142" s="23">
        <v>0</v>
      </c>
      <c r="BF142" s="23">
        <v>1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f>$L142*AI142</f>
        <v>35</v>
      </c>
      <c r="BQ142" s="23">
        <f>$L142*AJ142</f>
        <v>35</v>
      </c>
      <c r="BR142" s="23">
        <f>$L142*AK142</f>
        <v>0</v>
      </c>
      <c r="BS142" s="23">
        <f>$L142*AL142</f>
        <v>0</v>
      </c>
      <c r="BT142" s="23">
        <f>$L142*AM142</f>
        <v>35</v>
      </c>
      <c r="BU142" s="23">
        <f>$L142*AN142</f>
        <v>0</v>
      </c>
      <c r="BV142" s="23">
        <f>$L142*AO142</f>
        <v>35</v>
      </c>
      <c r="BW142" s="23">
        <f>$L142*AP142</f>
        <v>0</v>
      </c>
      <c r="BX142" s="23">
        <f>$L142*AQ142</f>
        <v>0</v>
      </c>
      <c r="BY142" s="23">
        <f>$L142*AR142</f>
        <v>0</v>
      </c>
      <c r="BZ142" s="23">
        <f>$L142*AS142</f>
        <v>0</v>
      </c>
      <c r="CA142" s="23">
        <f>$L142*AT142</f>
        <v>35</v>
      </c>
      <c r="CB142" s="23">
        <f>$L142*AU142</f>
        <v>35</v>
      </c>
      <c r="CC142" s="23">
        <f>$L142*AV142</f>
        <v>0</v>
      </c>
      <c r="CD142" s="23">
        <f>$L142*AW142</f>
        <v>0</v>
      </c>
      <c r="CE142" s="23">
        <f>$L142*AX142</f>
        <v>35</v>
      </c>
      <c r="CF142" s="23">
        <f>$L142*AY142</f>
        <v>0</v>
      </c>
      <c r="CG142" s="23">
        <f>$L142*AZ142</f>
        <v>0</v>
      </c>
      <c r="CH142" s="23">
        <f>$L142*BA142</f>
        <v>0</v>
      </c>
      <c r="CI142" s="23">
        <f>$L142*BB142</f>
        <v>35</v>
      </c>
      <c r="CJ142" s="23">
        <f>$L142*BC142</f>
        <v>0</v>
      </c>
      <c r="CK142" s="23">
        <f>$L142*BD142</f>
        <v>0</v>
      </c>
      <c r="CL142" s="23">
        <f>$L142*BE142</f>
        <v>0</v>
      </c>
      <c r="CM142" s="23">
        <f>$L142*BF142</f>
        <v>35</v>
      </c>
      <c r="CN142" s="23">
        <f>$L142*BG142</f>
        <v>0</v>
      </c>
      <c r="CO142" s="23">
        <f>$L142*BH142</f>
        <v>0</v>
      </c>
      <c r="CP142" s="23">
        <f>$L142*BI142</f>
        <v>0</v>
      </c>
      <c r="CQ142" s="23">
        <f>$L142*BJ142</f>
        <v>0</v>
      </c>
      <c r="CR142" s="23">
        <f>$L142*BK142</f>
        <v>0</v>
      </c>
      <c r="CS142" s="23">
        <f>$L142*BL142</f>
        <v>0</v>
      </c>
      <c r="CT142" s="23">
        <f>$L142*BM142</f>
        <v>0</v>
      </c>
      <c r="CU142" s="23">
        <f>$L142*BN142</f>
        <v>0</v>
      </c>
      <c r="CV142" s="23">
        <f>$L142*BO142</f>
        <v>0</v>
      </c>
    </row>
    <row r="143" spans="1:100" ht="13.5" x14ac:dyDescent="0.15">
      <c r="A143" s="44">
        <v>813</v>
      </c>
      <c r="B143" s="45" t="s">
        <v>401</v>
      </c>
      <c r="C143" s="46" t="s">
        <v>153</v>
      </c>
      <c r="D143" s="46"/>
      <c r="E143" s="46" t="s">
        <v>350</v>
      </c>
      <c r="F143" s="46" t="s">
        <v>155</v>
      </c>
      <c r="G143" s="46" t="s">
        <v>350</v>
      </c>
      <c r="H143" s="46" t="s">
        <v>351</v>
      </c>
      <c r="I143" s="47" t="s">
        <v>136</v>
      </c>
      <c r="J143" s="47">
        <v>1</v>
      </c>
      <c r="K143" s="46"/>
      <c r="L143" s="44">
        <v>20</v>
      </c>
      <c r="M143" s="48"/>
      <c r="N143" s="48">
        <v>46391</v>
      </c>
      <c r="O143" s="48">
        <v>46388</v>
      </c>
      <c r="P143" s="48">
        <v>46391</v>
      </c>
      <c r="Q143" s="48"/>
      <c r="R143" s="47"/>
      <c r="S143" s="47" t="s">
        <v>350</v>
      </c>
      <c r="T143" s="47"/>
      <c r="U143" s="47" t="s">
        <v>150</v>
      </c>
      <c r="V143" s="47" t="str">
        <f>TEXT(N143,"YY/MM")</f>
        <v>27/01</v>
      </c>
      <c r="W143">
        <v>21514</v>
      </c>
      <c r="Y143" s="6" t="s">
        <v>157</v>
      </c>
      <c r="Z143" s="6" t="s">
        <v>158</v>
      </c>
      <c r="AA143">
        <v>3286</v>
      </c>
      <c r="AI143" s="23">
        <v>1</v>
      </c>
      <c r="AJ143" s="23">
        <v>1</v>
      </c>
      <c r="AK143" s="23">
        <v>0</v>
      </c>
      <c r="AL143" s="23">
        <v>0</v>
      </c>
      <c r="AM143" s="23">
        <v>1</v>
      </c>
      <c r="AN143" s="23">
        <v>0</v>
      </c>
      <c r="AO143" s="23">
        <v>1</v>
      </c>
      <c r="AP143" s="23">
        <v>0</v>
      </c>
      <c r="AQ143" s="23">
        <v>0</v>
      </c>
      <c r="AR143" s="23">
        <v>0</v>
      </c>
      <c r="AS143" s="23">
        <v>1</v>
      </c>
      <c r="AT143" s="23">
        <v>0</v>
      </c>
      <c r="AU143" s="23">
        <v>1</v>
      </c>
      <c r="AV143" s="23">
        <v>0</v>
      </c>
      <c r="AW143" s="23">
        <v>0</v>
      </c>
      <c r="AX143" s="23">
        <v>1</v>
      </c>
      <c r="AY143" s="23">
        <v>0</v>
      </c>
      <c r="AZ143" s="23">
        <v>0</v>
      </c>
      <c r="BA143" s="23">
        <v>0</v>
      </c>
      <c r="BB143" s="23">
        <v>1</v>
      </c>
      <c r="BC143" s="23">
        <v>0</v>
      </c>
      <c r="BD143" s="23">
        <v>0</v>
      </c>
      <c r="BE143" s="23">
        <v>0</v>
      </c>
      <c r="BF143" s="23">
        <v>1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0</v>
      </c>
      <c r="BN143" s="23">
        <v>0</v>
      </c>
      <c r="BO143" s="23">
        <v>0</v>
      </c>
      <c r="BP143" s="23">
        <f>$L143*AI143</f>
        <v>20</v>
      </c>
      <c r="BQ143" s="23">
        <f>$L143*AJ143</f>
        <v>20</v>
      </c>
      <c r="BR143" s="23">
        <f>$L143*AK143</f>
        <v>0</v>
      </c>
      <c r="BS143" s="23">
        <f>$L143*AL143</f>
        <v>0</v>
      </c>
      <c r="BT143" s="23">
        <f>$L143*AM143</f>
        <v>20</v>
      </c>
      <c r="BU143" s="23">
        <f>$L143*AN143</f>
        <v>0</v>
      </c>
      <c r="BV143" s="23">
        <f>$L143*AO143</f>
        <v>20</v>
      </c>
      <c r="BW143" s="23">
        <f>$L143*AP143</f>
        <v>0</v>
      </c>
      <c r="BX143" s="23">
        <f>$L143*AQ143</f>
        <v>0</v>
      </c>
      <c r="BY143" s="23">
        <f>$L143*AR143</f>
        <v>0</v>
      </c>
      <c r="BZ143" s="23">
        <f>$L143*AS143</f>
        <v>20</v>
      </c>
      <c r="CA143" s="23">
        <f>$L143*AT143</f>
        <v>0</v>
      </c>
      <c r="CB143" s="23">
        <f>$L143*AU143</f>
        <v>20</v>
      </c>
      <c r="CC143" s="23">
        <f>$L143*AV143</f>
        <v>0</v>
      </c>
      <c r="CD143" s="23">
        <f>$L143*AW143</f>
        <v>0</v>
      </c>
      <c r="CE143" s="23">
        <f>$L143*AX143</f>
        <v>20</v>
      </c>
      <c r="CF143" s="23">
        <f>$L143*AY143</f>
        <v>0</v>
      </c>
      <c r="CG143" s="23">
        <f>$L143*AZ143</f>
        <v>0</v>
      </c>
      <c r="CH143" s="23">
        <f>$L143*BA143</f>
        <v>0</v>
      </c>
      <c r="CI143" s="23">
        <f>$L143*BB143</f>
        <v>20</v>
      </c>
      <c r="CJ143" s="23">
        <f>$L143*BC143</f>
        <v>0</v>
      </c>
      <c r="CK143" s="23">
        <f>$L143*BD143</f>
        <v>0</v>
      </c>
      <c r="CL143" s="23">
        <f>$L143*BE143</f>
        <v>0</v>
      </c>
      <c r="CM143" s="23">
        <f>$L143*BF143</f>
        <v>20</v>
      </c>
      <c r="CN143" s="23">
        <f>$L143*BG143</f>
        <v>0</v>
      </c>
      <c r="CO143" s="23">
        <f>$L143*BH143</f>
        <v>0</v>
      </c>
      <c r="CP143" s="23">
        <f>$L143*BI143</f>
        <v>0</v>
      </c>
      <c r="CQ143" s="23">
        <f>$L143*BJ143</f>
        <v>0</v>
      </c>
      <c r="CR143" s="23">
        <f>$L143*BK143</f>
        <v>0</v>
      </c>
      <c r="CS143" s="23">
        <f>$L143*BL143</f>
        <v>0</v>
      </c>
      <c r="CT143" s="23">
        <f>$L143*BM143</f>
        <v>0</v>
      </c>
      <c r="CU143" s="23">
        <f>$L143*BN143</f>
        <v>0</v>
      </c>
      <c r="CV143" s="23">
        <f>$L143*BO143</f>
        <v>0</v>
      </c>
    </row>
    <row r="144" spans="1:100" ht="13.5" x14ac:dyDescent="0.15">
      <c r="A144" s="44">
        <v>812</v>
      </c>
      <c r="B144" s="45" t="s">
        <v>400</v>
      </c>
      <c r="C144" s="46" t="s">
        <v>153</v>
      </c>
      <c r="D144" s="46"/>
      <c r="E144" s="46" t="s">
        <v>154</v>
      </c>
      <c r="F144" s="46" t="s">
        <v>155</v>
      </c>
      <c r="G144" s="46" t="s">
        <v>154</v>
      </c>
      <c r="H144" s="46" t="s">
        <v>156</v>
      </c>
      <c r="I144" s="47" t="s">
        <v>136</v>
      </c>
      <c r="J144" s="47">
        <v>1</v>
      </c>
      <c r="K144" s="46"/>
      <c r="L144" s="44">
        <v>2</v>
      </c>
      <c r="M144" s="48"/>
      <c r="N144" s="48">
        <v>46391</v>
      </c>
      <c r="O144" s="48">
        <v>46388</v>
      </c>
      <c r="P144" s="48">
        <v>46391</v>
      </c>
      <c r="Q144" s="48"/>
      <c r="R144" s="47"/>
      <c r="S144" s="47" t="s">
        <v>154</v>
      </c>
      <c r="T144" s="47"/>
      <c r="U144" s="47" t="s">
        <v>150</v>
      </c>
      <c r="V144" s="47" t="str">
        <f>TEXT(N144,"YY/MM")</f>
        <v>27/01</v>
      </c>
      <c r="W144">
        <v>21515</v>
      </c>
      <c r="Y144" s="6" t="s">
        <v>157</v>
      </c>
      <c r="Z144" s="6" t="s">
        <v>158</v>
      </c>
      <c r="AA144">
        <v>3287</v>
      </c>
      <c r="AI144" s="23">
        <v>1</v>
      </c>
      <c r="AJ144" s="23">
        <v>1</v>
      </c>
      <c r="AK144" s="23">
        <v>0</v>
      </c>
      <c r="AL144" s="23">
        <v>0</v>
      </c>
      <c r="AM144" s="23">
        <v>1</v>
      </c>
      <c r="AN144" s="23">
        <v>0</v>
      </c>
      <c r="AO144" s="23">
        <v>1</v>
      </c>
      <c r="AP144" s="23">
        <v>0</v>
      </c>
      <c r="AQ144" s="23">
        <v>0</v>
      </c>
      <c r="AR144" s="23">
        <v>0</v>
      </c>
      <c r="AS144" s="23">
        <v>0</v>
      </c>
      <c r="AT144" s="23">
        <v>1</v>
      </c>
      <c r="AU144" s="23">
        <v>1</v>
      </c>
      <c r="AV144" s="23">
        <v>0</v>
      </c>
      <c r="AW144" s="23">
        <v>0</v>
      </c>
      <c r="AX144" s="23">
        <v>1</v>
      </c>
      <c r="AY144" s="23">
        <v>0</v>
      </c>
      <c r="AZ144" s="23">
        <v>0</v>
      </c>
      <c r="BA144" s="23">
        <v>0</v>
      </c>
      <c r="BB144" s="23">
        <v>1</v>
      </c>
      <c r="BC144" s="23">
        <v>0</v>
      </c>
      <c r="BD144" s="23">
        <v>0</v>
      </c>
      <c r="BE144" s="23">
        <v>0</v>
      </c>
      <c r="BF144" s="23">
        <v>1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0</v>
      </c>
      <c r="BN144" s="23">
        <v>0</v>
      </c>
      <c r="BO144" s="23">
        <v>0</v>
      </c>
      <c r="BP144" s="23">
        <f>$L144*AI144</f>
        <v>2</v>
      </c>
      <c r="BQ144" s="23">
        <f>$L144*AJ144</f>
        <v>2</v>
      </c>
      <c r="BR144" s="23">
        <f>$L144*AK144</f>
        <v>0</v>
      </c>
      <c r="BS144" s="23">
        <f>$L144*AL144</f>
        <v>0</v>
      </c>
      <c r="BT144" s="23">
        <f>$L144*AM144</f>
        <v>2</v>
      </c>
      <c r="BU144" s="23">
        <f>$L144*AN144</f>
        <v>0</v>
      </c>
      <c r="BV144" s="23">
        <f>$L144*AO144</f>
        <v>2</v>
      </c>
      <c r="BW144" s="23">
        <f>$L144*AP144</f>
        <v>0</v>
      </c>
      <c r="BX144" s="23">
        <f>$L144*AQ144</f>
        <v>0</v>
      </c>
      <c r="BY144" s="23">
        <f>$L144*AR144</f>
        <v>0</v>
      </c>
      <c r="BZ144" s="23">
        <f>$L144*AS144</f>
        <v>0</v>
      </c>
      <c r="CA144" s="23">
        <f>$L144*AT144</f>
        <v>2</v>
      </c>
      <c r="CB144" s="23">
        <f>$L144*AU144</f>
        <v>2</v>
      </c>
      <c r="CC144" s="23">
        <f>$L144*AV144</f>
        <v>0</v>
      </c>
      <c r="CD144" s="23">
        <f>$L144*AW144</f>
        <v>0</v>
      </c>
      <c r="CE144" s="23">
        <f>$L144*AX144</f>
        <v>2</v>
      </c>
      <c r="CF144" s="23">
        <f>$L144*AY144</f>
        <v>0</v>
      </c>
      <c r="CG144" s="23">
        <f>$L144*AZ144</f>
        <v>0</v>
      </c>
      <c r="CH144" s="23">
        <f>$L144*BA144</f>
        <v>0</v>
      </c>
      <c r="CI144" s="23">
        <f>$L144*BB144</f>
        <v>2</v>
      </c>
      <c r="CJ144" s="23">
        <f>$L144*BC144</f>
        <v>0</v>
      </c>
      <c r="CK144" s="23">
        <f>$L144*BD144</f>
        <v>0</v>
      </c>
      <c r="CL144" s="23">
        <f>$L144*BE144</f>
        <v>0</v>
      </c>
      <c r="CM144" s="23">
        <f>$L144*BF144</f>
        <v>2</v>
      </c>
      <c r="CN144" s="23">
        <f>$L144*BG144</f>
        <v>0</v>
      </c>
      <c r="CO144" s="23">
        <f>$L144*BH144</f>
        <v>0</v>
      </c>
      <c r="CP144" s="23">
        <f>$L144*BI144</f>
        <v>0</v>
      </c>
      <c r="CQ144" s="23">
        <f>$L144*BJ144</f>
        <v>0</v>
      </c>
      <c r="CR144" s="23">
        <f>$L144*BK144</f>
        <v>0</v>
      </c>
      <c r="CS144" s="23">
        <f>$L144*BL144</f>
        <v>0</v>
      </c>
      <c r="CT144" s="23">
        <f>$L144*BM144</f>
        <v>0</v>
      </c>
      <c r="CU144" s="23">
        <f>$L144*BN144</f>
        <v>0</v>
      </c>
      <c r="CV144" s="23">
        <f>$L144*BO144</f>
        <v>0</v>
      </c>
    </row>
    <row r="145" spans="1:100" ht="13.5" x14ac:dyDescent="0.15">
      <c r="A145" s="44">
        <v>814</v>
      </c>
      <c r="B145" s="45" t="s">
        <v>402</v>
      </c>
      <c r="C145" s="46" t="s">
        <v>153</v>
      </c>
      <c r="D145" s="46"/>
      <c r="E145" s="46" t="s">
        <v>286</v>
      </c>
      <c r="F145" s="46" t="s">
        <v>155</v>
      </c>
      <c r="G145" s="46" t="s">
        <v>286</v>
      </c>
      <c r="H145" s="46" t="s">
        <v>287</v>
      </c>
      <c r="I145" s="47" t="s">
        <v>136</v>
      </c>
      <c r="J145" s="47">
        <v>1</v>
      </c>
      <c r="K145" s="46"/>
      <c r="L145" s="44">
        <v>14</v>
      </c>
      <c r="M145" s="48"/>
      <c r="N145" s="48">
        <v>46391</v>
      </c>
      <c r="O145" s="48">
        <v>46388</v>
      </c>
      <c r="P145" s="48">
        <v>46391</v>
      </c>
      <c r="Q145" s="48"/>
      <c r="R145" s="47"/>
      <c r="S145" s="47" t="s">
        <v>286</v>
      </c>
      <c r="T145" s="47"/>
      <c r="U145" s="47" t="s">
        <v>150</v>
      </c>
      <c r="V145" s="47" t="str">
        <f>TEXT(N145,"YY/MM")</f>
        <v>27/01</v>
      </c>
      <c r="W145">
        <v>21516</v>
      </c>
      <c r="Y145" s="6" t="s">
        <v>157</v>
      </c>
      <c r="Z145" s="6" t="s">
        <v>158</v>
      </c>
      <c r="AA145">
        <v>3288</v>
      </c>
      <c r="AI145" s="23">
        <v>1</v>
      </c>
      <c r="AJ145" s="23">
        <v>1</v>
      </c>
      <c r="AK145" s="23">
        <v>0</v>
      </c>
      <c r="AL145" s="23">
        <v>0</v>
      </c>
      <c r="AM145" s="23">
        <v>1</v>
      </c>
      <c r="AN145" s="23">
        <v>0</v>
      </c>
      <c r="AO145" s="23">
        <v>1</v>
      </c>
      <c r="AP145" s="23">
        <v>0</v>
      </c>
      <c r="AQ145" s="23">
        <v>0</v>
      </c>
      <c r="AR145" s="23">
        <v>0</v>
      </c>
      <c r="AS145" s="23">
        <v>0</v>
      </c>
      <c r="AT145" s="23">
        <v>1</v>
      </c>
      <c r="AU145" s="23">
        <v>0</v>
      </c>
      <c r="AV145" s="23">
        <v>0</v>
      </c>
      <c r="AW145" s="23">
        <v>1</v>
      </c>
      <c r="AX145" s="23">
        <v>0</v>
      </c>
      <c r="AY145" s="23">
        <v>0</v>
      </c>
      <c r="AZ145" s="23">
        <v>0</v>
      </c>
      <c r="BA145" s="23">
        <v>1</v>
      </c>
      <c r="BB145" s="23">
        <v>0</v>
      </c>
      <c r="BC145" s="23">
        <v>0</v>
      </c>
      <c r="BD145" s="23">
        <v>0</v>
      </c>
      <c r="BE145" s="23">
        <v>1</v>
      </c>
      <c r="BF145" s="23">
        <v>1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0</v>
      </c>
      <c r="BN145" s="23">
        <v>0</v>
      </c>
      <c r="BO145" s="23">
        <v>0</v>
      </c>
      <c r="BP145" s="23">
        <f>$L145*AI145</f>
        <v>14</v>
      </c>
      <c r="BQ145" s="23">
        <f>$L145*AJ145</f>
        <v>14</v>
      </c>
      <c r="BR145" s="23">
        <f>$L145*AK145</f>
        <v>0</v>
      </c>
      <c r="BS145" s="23">
        <f>$L145*AL145</f>
        <v>0</v>
      </c>
      <c r="BT145" s="23">
        <f>$L145*AM145</f>
        <v>14</v>
      </c>
      <c r="BU145" s="23">
        <f>$L145*AN145</f>
        <v>0</v>
      </c>
      <c r="BV145" s="23">
        <f>$L145*AO145</f>
        <v>14</v>
      </c>
      <c r="BW145" s="23">
        <f>$L145*AP145</f>
        <v>0</v>
      </c>
      <c r="BX145" s="23">
        <f>$L145*AQ145</f>
        <v>0</v>
      </c>
      <c r="BY145" s="23">
        <f>$L145*AR145</f>
        <v>0</v>
      </c>
      <c r="BZ145" s="23">
        <f>$L145*AS145</f>
        <v>0</v>
      </c>
      <c r="CA145" s="23">
        <f>$L145*AT145</f>
        <v>14</v>
      </c>
      <c r="CB145" s="23">
        <f>$L145*AU145</f>
        <v>0</v>
      </c>
      <c r="CC145" s="23">
        <f>$L145*AV145</f>
        <v>0</v>
      </c>
      <c r="CD145" s="23">
        <f>$L145*AW145</f>
        <v>14</v>
      </c>
      <c r="CE145" s="23">
        <f>$L145*AX145</f>
        <v>0</v>
      </c>
      <c r="CF145" s="23">
        <f>$L145*AY145</f>
        <v>0</v>
      </c>
      <c r="CG145" s="23">
        <f>$L145*AZ145</f>
        <v>0</v>
      </c>
      <c r="CH145" s="23">
        <f>$L145*BA145</f>
        <v>14</v>
      </c>
      <c r="CI145" s="23">
        <f>$L145*BB145</f>
        <v>0</v>
      </c>
      <c r="CJ145" s="23">
        <f>$L145*BC145</f>
        <v>0</v>
      </c>
      <c r="CK145" s="23">
        <f>$L145*BD145</f>
        <v>0</v>
      </c>
      <c r="CL145" s="23">
        <f>$L145*BE145</f>
        <v>14</v>
      </c>
      <c r="CM145" s="23">
        <f>$L145*BF145</f>
        <v>14</v>
      </c>
      <c r="CN145" s="23">
        <f>$L145*BG145</f>
        <v>0</v>
      </c>
      <c r="CO145" s="23">
        <f>$L145*BH145</f>
        <v>0</v>
      </c>
      <c r="CP145" s="23">
        <f>$L145*BI145</f>
        <v>0</v>
      </c>
      <c r="CQ145" s="23">
        <f>$L145*BJ145</f>
        <v>0</v>
      </c>
      <c r="CR145" s="23">
        <f>$L145*BK145</f>
        <v>0</v>
      </c>
      <c r="CS145" s="23">
        <f>$L145*BL145</f>
        <v>0</v>
      </c>
      <c r="CT145" s="23">
        <f>$L145*BM145</f>
        <v>0</v>
      </c>
      <c r="CU145" s="23">
        <f>$L145*BN145</f>
        <v>0</v>
      </c>
      <c r="CV145" s="23">
        <f>$L145*BO145</f>
        <v>0</v>
      </c>
    </row>
    <row r="146" spans="1:100" ht="13.5" x14ac:dyDescent="0.15">
      <c r="A146" s="15">
        <v>836</v>
      </c>
      <c r="B146" s="27" t="s">
        <v>403</v>
      </c>
      <c r="C146" t="s">
        <v>197</v>
      </c>
      <c r="F146" t="s">
        <v>236</v>
      </c>
      <c r="G146" t="s">
        <v>247</v>
      </c>
      <c r="H146" t="s">
        <v>248</v>
      </c>
      <c r="I146" s="6" t="s">
        <v>130</v>
      </c>
      <c r="J146" s="6">
        <v>0</v>
      </c>
      <c r="L146" s="15">
        <v>1</v>
      </c>
      <c r="N146" s="7">
        <v>46392</v>
      </c>
      <c r="O146" s="7">
        <v>46391</v>
      </c>
      <c r="P146" s="7">
        <v>46392</v>
      </c>
      <c r="S146" s="6" t="s">
        <v>199</v>
      </c>
      <c r="U146" s="6" t="s">
        <v>150</v>
      </c>
      <c r="V146" s="6" t="str">
        <f>TEXT(N146,"YY/MM")</f>
        <v>27/01</v>
      </c>
      <c r="W146">
        <v>21517</v>
      </c>
      <c r="Y146" s="6" t="s">
        <v>203</v>
      </c>
      <c r="Z146" s="6" t="s">
        <v>152</v>
      </c>
      <c r="AE146">
        <v>1295</v>
      </c>
      <c r="AI146" s="23">
        <v>1</v>
      </c>
      <c r="AJ146" s="23">
        <v>1</v>
      </c>
      <c r="AK146" s="23">
        <v>0</v>
      </c>
      <c r="AL146" s="23">
        <v>0</v>
      </c>
      <c r="AM146" s="23">
        <v>1</v>
      </c>
      <c r="AN146" s="23">
        <v>0</v>
      </c>
      <c r="AO146" s="23">
        <v>0</v>
      </c>
      <c r="AP146" s="23">
        <v>1</v>
      </c>
      <c r="AQ146" s="23">
        <v>0</v>
      </c>
      <c r="AR146" s="23">
        <v>0</v>
      </c>
      <c r="AS146" s="23">
        <v>1</v>
      </c>
      <c r="AT146" s="23">
        <v>0</v>
      </c>
      <c r="AU146" s="23">
        <v>1</v>
      </c>
      <c r="AV146" s="23">
        <v>0</v>
      </c>
      <c r="AW146" s="23">
        <v>0</v>
      </c>
      <c r="AX146" s="23">
        <v>1</v>
      </c>
      <c r="AY146" s="23">
        <v>0</v>
      </c>
      <c r="AZ146" s="23">
        <v>0</v>
      </c>
      <c r="BA146" s="23">
        <v>0</v>
      </c>
      <c r="BB146" s="23">
        <v>1</v>
      </c>
      <c r="BC146" s="23">
        <v>0</v>
      </c>
      <c r="BD146" s="23">
        <v>0</v>
      </c>
      <c r="BE146" s="23">
        <v>0</v>
      </c>
      <c r="BF146" s="23">
        <v>1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0</v>
      </c>
      <c r="BN146" s="23">
        <v>0</v>
      </c>
      <c r="BO146" s="23">
        <v>0</v>
      </c>
      <c r="BP146" s="23">
        <f>$L146*AI146</f>
        <v>1</v>
      </c>
      <c r="BQ146" s="23">
        <f>$L146*AJ146</f>
        <v>1</v>
      </c>
      <c r="BR146" s="23">
        <f>$L146*AK146</f>
        <v>0</v>
      </c>
      <c r="BS146" s="23">
        <f>$L146*AL146</f>
        <v>0</v>
      </c>
      <c r="BT146" s="23">
        <f>$L146*AM146</f>
        <v>1</v>
      </c>
      <c r="BU146" s="23">
        <f>$L146*AN146</f>
        <v>0</v>
      </c>
      <c r="BV146" s="23">
        <f>$L146*AO146</f>
        <v>0</v>
      </c>
      <c r="BW146" s="23">
        <f>$L146*AP146</f>
        <v>1</v>
      </c>
      <c r="BX146" s="23">
        <f>$L146*AQ146</f>
        <v>0</v>
      </c>
      <c r="BY146" s="23">
        <f>$L146*AR146</f>
        <v>0</v>
      </c>
      <c r="BZ146" s="23">
        <f>$L146*AS146</f>
        <v>1</v>
      </c>
      <c r="CA146" s="23">
        <f>$L146*AT146</f>
        <v>0</v>
      </c>
      <c r="CB146" s="23">
        <f>$L146*AU146</f>
        <v>1</v>
      </c>
      <c r="CC146" s="23">
        <f>$L146*AV146</f>
        <v>0</v>
      </c>
      <c r="CD146" s="23">
        <f>$L146*AW146</f>
        <v>0</v>
      </c>
      <c r="CE146" s="23">
        <f>$L146*AX146</f>
        <v>1</v>
      </c>
      <c r="CF146" s="23">
        <f>$L146*AY146</f>
        <v>0</v>
      </c>
      <c r="CG146" s="23">
        <f>$L146*AZ146</f>
        <v>0</v>
      </c>
      <c r="CH146" s="23">
        <f>$L146*BA146</f>
        <v>0</v>
      </c>
      <c r="CI146" s="23">
        <f>$L146*BB146</f>
        <v>1</v>
      </c>
      <c r="CJ146" s="23">
        <f>$L146*BC146</f>
        <v>0</v>
      </c>
      <c r="CK146" s="23">
        <f>$L146*BD146</f>
        <v>0</v>
      </c>
      <c r="CL146" s="23">
        <f>$L146*BE146</f>
        <v>0</v>
      </c>
      <c r="CM146" s="23">
        <f>$L146*BF146</f>
        <v>1</v>
      </c>
      <c r="CN146" s="23">
        <f>$L146*BG146</f>
        <v>0</v>
      </c>
      <c r="CO146" s="23">
        <f>$L146*BH146</f>
        <v>0</v>
      </c>
      <c r="CP146" s="23">
        <f>$L146*BI146</f>
        <v>0</v>
      </c>
      <c r="CQ146" s="23">
        <f>$L146*BJ146</f>
        <v>0</v>
      </c>
      <c r="CR146" s="23">
        <f>$L146*BK146</f>
        <v>0</v>
      </c>
      <c r="CS146" s="23">
        <f>$L146*BL146</f>
        <v>0</v>
      </c>
      <c r="CT146" s="23">
        <f>$L146*BM146</f>
        <v>0</v>
      </c>
      <c r="CU146" s="23">
        <f>$L146*BN146</f>
        <v>0</v>
      </c>
      <c r="CV146" s="23">
        <f>$L146*BO146</f>
        <v>0</v>
      </c>
    </row>
    <row r="147" spans="1:100" ht="13.5" x14ac:dyDescent="0.15">
      <c r="A147" s="15">
        <v>845</v>
      </c>
      <c r="B147" s="27" t="s">
        <v>405</v>
      </c>
      <c r="C147" t="s">
        <v>153</v>
      </c>
      <c r="E147" t="s">
        <v>350</v>
      </c>
      <c r="F147" t="s">
        <v>155</v>
      </c>
      <c r="G147" t="s">
        <v>350</v>
      </c>
      <c r="H147" t="s">
        <v>351</v>
      </c>
      <c r="I147" s="6" t="s">
        <v>136</v>
      </c>
      <c r="J147" s="6">
        <v>1</v>
      </c>
      <c r="L147" s="15">
        <v>20</v>
      </c>
      <c r="N147" s="7">
        <v>46419</v>
      </c>
      <c r="O147" s="7">
        <v>46416</v>
      </c>
      <c r="P147" s="7">
        <v>46419</v>
      </c>
      <c r="S147" s="6" t="s">
        <v>350</v>
      </c>
      <c r="U147" s="6" t="s">
        <v>150</v>
      </c>
      <c r="V147" s="6" t="str">
        <f>TEXT(N147,"YY/MM")</f>
        <v>27/02</v>
      </c>
      <c r="W147">
        <v>21518</v>
      </c>
      <c r="Y147" s="6" t="s">
        <v>157</v>
      </c>
      <c r="Z147" s="6" t="s">
        <v>158</v>
      </c>
      <c r="AA147">
        <v>3289</v>
      </c>
      <c r="AI147" s="23">
        <v>1</v>
      </c>
      <c r="AJ147" s="23">
        <v>1</v>
      </c>
      <c r="AK147" s="23">
        <v>0</v>
      </c>
      <c r="AL147" s="23">
        <v>0</v>
      </c>
      <c r="AM147" s="23">
        <v>1</v>
      </c>
      <c r="AN147" s="23">
        <v>0</v>
      </c>
      <c r="AO147" s="23">
        <v>1</v>
      </c>
      <c r="AP147" s="23">
        <v>0</v>
      </c>
      <c r="AQ147" s="23">
        <v>0</v>
      </c>
      <c r="AR147" s="23">
        <v>0</v>
      </c>
      <c r="AS147" s="23">
        <v>1</v>
      </c>
      <c r="AT147" s="23">
        <v>0</v>
      </c>
      <c r="AU147" s="23">
        <v>1</v>
      </c>
      <c r="AV147" s="23">
        <v>0</v>
      </c>
      <c r="AW147" s="23">
        <v>0</v>
      </c>
      <c r="AX147" s="23">
        <v>1</v>
      </c>
      <c r="AY147" s="23">
        <v>0</v>
      </c>
      <c r="AZ147" s="23">
        <v>0</v>
      </c>
      <c r="BA147" s="23">
        <v>0</v>
      </c>
      <c r="BB147" s="23">
        <v>1</v>
      </c>
      <c r="BC147" s="23">
        <v>0</v>
      </c>
      <c r="BD147" s="23">
        <v>0</v>
      </c>
      <c r="BE147" s="23">
        <v>0</v>
      </c>
      <c r="BF147" s="23">
        <v>1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0</v>
      </c>
      <c r="BN147" s="23">
        <v>0</v>
      </c>
      <c r="BO147" s="23">
        <v>0</v>
      </c>
      <c r="BP147" s="23">
        <f>$L147*AI147</f>
        <v>20</v>
      </c>
      <c r="BQ147" s="23">
        <f>$L147*AJ147</f>
        <v>20</v>
      </c>
      <c r="BR147" s="23">
        <f>$L147*AK147</f>
        <v>0</v>
      </c>
      <c r="BS147" s="23">
        <f>$L147*AL147</f>
        <v>0</v>
      </c>
      <c r="BT147" s="23">
        <f>$L147*AM147</f>
        <v>20</v>
      </c>
      <c r="BU147" s="23">
        <f>$L147*AN147</f>
        <v>0</v>
      </c>
      <c r="BV147" s="23">
        <f>$L147*AO147</f>
        <v>20</v>
      </c>
      <c r="BW147" s="23">
        <f>$L147*AP147</f>
        <v>0</v>
      </c>
      <c r="BX147" s="23">
        <f>$L147*AQ147</f>
        <v>0</v>
      </c>
      <c r="BY147" s="23">
        <f>$L147*AR147</f>
        <v>0</v>
      </c>
      <c r="BZ147" s="23">
        <f>$L147*AS147</f>
        <v>20</v>
      </c>
      <c r="CA147" s="23">
        <f>$L147*AT147</f>
        <v>0</v>
      </c>
      <c r="CB147" s="23">
        <f>$L147*AU147</f>
        <v>20</v>
      </c>
      <c r="CC147" s="23">
        <f>$L147*AV147</f>
        <v>0</v>
      </c>
      <c r="CD147" s="23">
        <f>$L147*AW147</f>
        <v>0</v>
      </c>
      <c r="CE147" s="23">
        <f>$L147*AX147</f>
        <v>20</v>
      </c>
      <c r="CF147" s="23">
        <f>$L147*AY147</f>
        <v>0</v>
      </c>
      <c r="CG147" s="23">
        <f>$L147*AZ147</f>
        <v>0</v>
      </c>
      <c r="CH147" s="23">
        <f>$L147*BA147</f>
        <v>0</v>
      </c>
      <c r="CI147" s="23">
        <f>$L147*BB147</f>
        <v>20</v>
      </c>
      <c r="CJ147" s="23">
        <f>$L147*BC147</f>
        <v>0</v>
      </c>
      <c r="CK147" s="23">
        <f>$L147*BD147</f>
        <v>0</v>
      </c>
      <c r="CL147" s="23">
        <f>$L147*BE147</f>
        <v>0</v>
      </c>
      <c r="CM147" s="23">
        <f>$L147*BF147</f>
        <v>20</v>
      </c>
      <c r="CN147" s="23">
        <f>$L147*BG147</f>
        <v>0</v>
      </c>
      <c r="CO147" s="23">
        <f>$L147*BH147</f>
        <v>0</v>
      </c>
      <c r="CP147" s="23">
        <f>$L147*BI147</f>
        <v>0</v>
      </c>
      <c r="CQ147" s="23">
        <f>$L147*BJ147</f>
        <v>0</v>
      </c>
      <c r="CR147" s="23">
        <f>$L147*BK147</f>
        <v>0</v>
      </c>
      <c r="CS147" s="23">
        <f>$L147*BL147</f>
        <v>0</v>
      </c>
      <c r="CT147" s="23">
        <f>$L147*BM147</f>
        <v>0</v>
      </c>
      <c r="CU147" s="23">
        <f>$L147*BN147</f>
        <v>0</v>
      </c>
      <c r="CV147" s="23">
        <f>$L147*BO147</f>
        <v>0</v>
      </c>
    </row>
    <row r="148" spans="1:100" ht="13.5" x14ac:dyDescent="0.15">
      <c r="A148" s="44">
        <v>844</v>
      </c>
      <c r="B148" s="45" t="s">
        <v>404</v>
      </c>
      <c r="C148" s="46" t="s">
        <v>153</v>
      </c>
      <c r="D148" s="46"/>
      <c r="E148" s="46" t="s">
        <v>154</v>
      </c>
      <c r="F148" s="46" t="s">
        <v>155</v>
      </c>
      <c r="G148" s="46" t="s">
        <v>154</v>
      </c>
      <c r="H148" s="46" t="s">
        <v>156</v>
      </c>
      <c r="I148" s="47" t="s">
        <v>136</v>
      </c>
      <c r="J148" s="47">
        <v>1</v>
      </c>
      <c r="K148" s="46"/>
      <c r="L148" s="44">
        <v>15</v>
      </c>
      <c r="M148" s="48"/>
      <c r="N148" s="48">
        <v>46419</v>
      </c>
      <c r="O148" s="48">
        <v>46416</v>
      </c>
      <c r="P148" s="48">
        <v>46419</v>
      </c>
      <c r="Q148" s="48"/>
      <c r="R148" s="47"/>
      <c r="S148" s="47" t="s">
        <v>154</v>
      </c>
      <c r="T148" s="47"/>
      <c r="U148" s="47" t="s">
        <v>150</v>
      </c>
      <c r="V148" s="47" t="str">
        <f>TEXT(N148,"YY/MM")</f>
        <v>27/02</v>
      </c>
      <c r="W148">
        <v>21519</v>
      </c>
      <c r="Y148" s="6" t="s">
        <v>157</v>
      </c>
      <c r="Z148" s="6" t="s">
        <v>158</v>
      </c>
      <c r="AA148">
        <v>3290</v>
      </c>
      <c r="AI148" s="23">
        <v>1</v>
      </c>
      <c r="AJ148" s="23">
        <v>1</v>
      </c>
      <c r="AK148" s="23">
        <v>0</v>
      </c>
      <c r="AL148" s="23">
        <v>0</v>
      </c>
      <c r="AM148" s="23">
        <v>1</v>
      </c>
      <c r="AN148" s="23">
        <v>0</v>
      </c>
      <c r="AO148" s="23">
        <v>1</v>
      </c>
      <c r="AP148" s="23">
        <v>0</v>
      </c>
      <c r="AQ148" s="23">
        <v>0</v>
      </c>
      <c r="AR148" s="23">
        <v>0</v>
      </c>
      <c r="AS148" s="23">
        <v>0</v>
      </c>
      <c r="AT148" s="23">
        <v>1</v>
      </c>
      <c r="AU148" s="23">
        <v>1</v>
      </c>
      <c r="AV148" s="23">
        <v>0</v>
      </c>
      <c r="AW148" s="23">
        <v>0</v>
      </c>
      <c r="AX148" s="23">
        <v>1</v>
      </c>
      <c r="AY148" s="23">
        <v>0</v>
      </c>
      <c r="AZ148" s="23">
        <v>0</v>
      </c>
      <c r="BA148" s="23">
        <v>0</v>
      </c>
      <c r="BB148" s="23">
        <v>1</v>
      </c>
      <c r="BC148" s="23">
        <v>0</v>
      </c>
      <c r="BD148" s="23">
        <v>0</v>
      </c>
      <c r="BE148" s="23">
        <v>0</v>
      </c>
      <c r="BF148" s="23">
        <v>1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0</v>
      </c>
      <c r="BN148" s="23">
        <v>0</v>
      </c>
      <c r="BO148" s="23">
        <v>0</v>
      </c>
      <c r="BP148" s="23">
        <f>$L148*AI148</f>
        <v>15</v>
      </c>
      <c r="BQ148" s="23">
        <f>$L148*AJ148</f>
        <v>15</v>
      </c>
      <c r="BR148" s="23">
        <f>$L148*AK148</f>
        <v>0</v>
      </c>
      <c r="BS148" s="23">
        <f>$L148*AL148</f>
        <v>0</v>
      </c>
      <c r="BT148" s="23">
        <f>$L148*AM148</f>
        <v>15</v>
      </c>
      <c r="BU148" s="23">
        <f>$L148*AN148</f>
        <v>0</v>
      </c>
      <c r="BV148" s="23">
        <f>$L148*AO148</f>
        <v>15</v>
      </c>
      <c r="BW148" s="23">
        <f>$L148*AP148</f>
        <v>0</v>
      </c>
      <c r="BX148" s="23">
        <f>$L148*AQ148</f>
        <v>0</v>
      </c>
      <c r="BY148" s="23">
        <f>$L148*AR148</f>
        <v>0</v>
      </c>
      <c r="BZ148" s="23">
        <f>$L148*AS148</f>
        <v>0</v>
      </c>
      <c r="CA148" s="23">
        <f>$L148*AT148</f>
        <v>15</v>
      </c>
      <c r="CB148" s="23">
        <f>$L148*AU148</f>
        <v>15</v>
      </c>
      <c r="CC148" s="23">
        <f>$L148*AV148</f>
        <v>0</v>
      </c>
      <c r="CD148" s="23">
        <f>$L148*AW148</f>
        <v>0</v>
      </c>
      <c r="CE148" s="23">
        <f>$L148*AX148</f>
        <v>15</v>
      </c>
      <c r="CF148" s="23">
        <f>$L148*AY148</f>
        <v>0</v>
      </c>
      <c r="CG148" s="23">
        <f>$L148*AZ148</f>
        <v>0</v>
      </c>
      <c r="CH148" s="23">
        <f>$L148*BA148</f>
        <v>0</v>
      </c>
      <c r="CI148" s="23">
        <f>$L148*BB148</f>
        <v>15</v>
      </c>
      <c r="CJ148" s="23">
        <f>$L148*BC148</f>
        <v>0</v>
      </c>
      <c r="CK148" s="23">
        <f>$L148*BD148</f>
        <v>0</v>
      </c>
      <c r="CL148" s="23">
        <f>$L148*BE148</f>
        <v>0</v>
      </c>
      <c r="CM148" s="23">
        <f>$L148*BF148</f>
        <v>15</v>
      </c>
      <c r="CN148" s="23">
        <f>$L148*BG148</f>
        <v>0</v>
      </c>
      <c r="CO148" s="23">
        <f>$L148*BH148</f>
        <v>0</v>
      </c>
      <c r="CP148" s="23">
        <f>$L148*BI148</f>
        <v>0</v>
      </c>
      <c r="CQ148" s="23">
        <f>$L148*BJ148</f>
        <v>0</v>
      </c>
      <c r="CR148" s="23">
        <f>$L148*BK148</f>
        <v>0</v>
      </c>
      <c r="CS148" s="23">
        <f>$L148*BL148</f>
        <v>0</v>
      </c>
      <c r="CT148" s="23">
        <f>$L148*BM148</f>
        <v>0</v>
      </c>
      <c r="CU148" s="23">
        <f>$L148*BN148</f>
        <v>0</v>
      </c>
      <c r="CV148" s="23">
        <f>$L148*BO148</f>
        <v>0</v>
      </c>
    </row>
    <row r="149" spans="1:100" ht="13.5" x14ac:dyDescent="0.15">
      <c r="A149" s="15">
        <v>846</v>
      </c>
      <c r="B149" s="27" t="s">
        <v>406</v>
      </c>
      <c r="C149" t="s">
        <v>153</v>
      </c>
      <c r="E149" t="s">
        <v>286</v>
      </c>
      <c r="F149" t="s">
        <v>155</v>
      </c>
      <c r="G149" t="s">
        <v>286</v>
      </c>
      <c r="H149" t="s">
        <v>287</v>
      </c>
      <c r="I149" s="6" t="s">
        <v>136</v>
      </c>
      <c r="J149" s="6">
        <v>1</v>
      </c>
      <c r="L149" s="15">
        <v>2</v>
      </c>
      <c r="N149" s="7">
        <v>46419</v>
      </c>
      <c r="O149" s="7">
        <v>46416</v>
      </c>
      <c r="P149" s="7">
        <v>46419</v>
      </c>
      <c r="S149" s="6" t="s">
        <v>286</v>
      </c>
      <c r="U149" s="6" t="s">
        <v>150</v>
      </c>
      <c r="V149" s="6" t="str">
        <f>TEXT(N149,"YY/MM")</f>
        <v>27/02</v>
      </c>
      <c r="W149">
        <v>21520</v>
      </c>
      <c r="Y149" s="6" t="s">
        <v>157</v>
      </c>
      <c r="Z149" s="6" t="s">
        <v>158</v>
      </c>
      <c r="AA149">
        <v>3291</v>
      </c>
      <c r="AI149" s="23">
        <v>1</v>
      </c>
      <c r="AJ149" s="23">
        <v>1</v>
      </c>
      <c r="AK149" s="23">
        <v>0</v>
      </c>
      <c r="AL149" s="23">
        <v>0</v>
      </c>
      <c r="AM149" s="23">
        <v>1</v>
      </c>
      <c r="AN149" s="23">
        <v>0</v>
      </c>
      <c r="AO149" s="23">
        <v>1</v>
      </c>
      <c r="AP149" s="23">
        <v>0</v>
      </c>
      <c r="AQ149" s="23">
        <v>0</v>
      </c>
      <c r="AR149" s="23">
        <v>0</v>
      </c>
      <c r="AS149" s="23">
        <v>0</v>
      </c>
      <c r="AT149" s="23">
        <v>1</v>
      </c>
      <c r="AU149" s="23">
        <v>0</v>
      </c>
      <c r="AV149" s="23">
        <v>0</v>
      </c>
      <c r="AW149" s="23">
        <v>1</v>
      </c>
      <c r="AX149" s="23">
        <v>0</v>
      </c>
      <c r="AY149" s="23">
        <v>0</v>
      </c>
      <c r="AZ149" s="23">
        <v>0</v>
      </c>
      <c r="BA149" s="23">
        <v>1</v>
      </c>
      <c r="BB149" s="23">
        <v>0</v>
      </c>
      <c r="BC149" s="23">
        <v>0</v>
      </c>
      <c r="BD149" s="23">
        <v>0</v>
      </c>
      <c r="BE149" s="23">
        <v>1</v>
      </c>
      <c r="BF149" s="23">
        <v>1</v>
      </c>
      <c r="BG149" s="23">
        <v>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f>$L149*AI149</f>
        <v>2</v>
      </c>
      <c r="BQ149" s="23">
        <f>$L149*AJ149</f>
        <v>2</v>
      </c>
      <c r="BR149" s="23">
        <f>$L149*AK149</f>
        <v>0</v>
      </c>
      <c r="BS149" s="23">
        <f>$L149*AL149</f>
        <v>0</v>
      </c>
      <c r="BT149" s="23">
        <f>$L149*AM149</f>
        <v>2</v>
      </c>
      <c r="BU149" s="23">
        <f>$L149*AN149</f>
        <v>0</v>
      </c>
      <c r="BV149" s="23">
        <f>$L149*AO149</f>
        <v>2</v>
      </c>
      <c r="BW149" s="23">
        <f>$L149*AP149</f>
        <v>0</v>
      </c>
      <c r="BX149" s="23">
        <f>$L149*AQ149</f>
        <v>0</v>
      </c>
      <c r="BY149" s="23">
        <f>$L149*AR149</f>
        <v>0</v>
      </c>
      <c r="BZ149" s="23">
        <f>$L149*AS149</f>
        <v>0</v>
      </c>
      <c r="CA149" s="23">
        <f>$L149*AT149</f>
        <v>2</v>
      </c>
      <c r="CB149" s="23">
        <f>$L149*AU149</f>
        <v>0</v>
      </c>
      <c r="CC149" s="23">
        <f>$L149*AV149</f>
        <v>0</v>
      </c>
      <c r="CD149" s="23">
        <f>$L149*AW149</f>
        <v>2</v>
      </c>
      <c r="CE149" s="23">
        <f>$L149*AX149</f>
        <v>0</v>
      </c>
      <c r="CF149" s="23">
        <f>$L149*AY149</f>
        <v>0</v>
      </c>
      <c r="CG149" s="23">
        <f>$L149*AZ149</f>
        <v>0</v>
      </c>
      <c r="CH149" s="23">
        <f>$L149*BA149</f>
        <v>2</v>
      </c>
      <c r="CI149" s="23">
        <f>$L149*BB149</f>
        <v>0</v>
      </c>
      <c r="CJ149" s="23">
        <f>$L149*BC149</f>
        <v>0</v>
      </c>
      <c r="CK149" s="23">
        <f>$L149*BD149</f>
        <v>0</v>
      </c>
      <c r="CL149" s="23">
        <f>$L149*BE149</f>
        <v>2</v>
      </c>
      <c r="CM149" s="23">
        <f>$L149*BF149</f>
        <v>2</v>
      </c>
      <c r="CN149" s="23">
        <f>$L149*BG149</f>
        <v>0</v>
      </c>
      <c r="CO149" s="23">
        <f>$L149*BH149</f>
        <v>0</v>
      </c>
      <c r="CP149" s="23">
        <f>$L149*BI149</f>
        <v>0</v>
      </c>
      <c r="CQ149" s="23">
        <f>$L149*BJ149</f>
        <v>0</v>
      </c>
      <c r="CR149" s="23">
        <f>$L149*BK149</f>
        <v>0</v>
      </c>
      <c r="CS149" s="23">
        <f>$L149*BL149</f>
        <v>0</v>
      </c>
      <c r="CT149" s="23">
        <f>$L149*BM149</f>
        <v>0</v>
      </c>
      <c r="CU149" s="23">
        <f>$L149*BN149</f>
        <v>0</v>
      </c>
      <c r="CV149" s="23">
        <f>$L149*BO149</f>
        <v>0</v>
      </c>
    </row>
    <row r="150" spans="1:100" ht="13.5" x14ac:dyDescent="0.15">
      <c r="A150" s="15">
        <v>853</v>
      </c>
      <c r="B150" s="27" t="s">
        <v>408</v>
      </c>
      <c r="C150" t="s">
        <v>153</v>
      </c>
      <c r="E150" t="s">
        <v>350</v>
      </c>
      <c r="F150" t="s">
        <v>155</v>
      </c>
      <c r="G150" t="s">
        <v>350</v>
      </c>
      <c r="H150" t="s">
        <v>351</v>
      </c>
      <c r="I150" s="6" t="s">
        <v>136</v>
      </c>
      <c r="J150" s="6">
        <v>1</v>
      </c>
      <c r="L150" s="15">
        <v>25</v>
      </c>
      <c r="N150" s="7">
        <v>46447</v>
      </c>
      <c r="O150" s="7">
        <v>46444</v>
      </c>
      <c r="P150" s="7">
        <v>46447</v>
      </c>
      <c r="S150" s="6" t="s">
        <v>350</v>
      </c>
      <c r="U150" s="6" t="s">
        <v>150</v>
      </c>
      <c r="V150" s="6" t="str">
        <f>TEXT(N150,"YY/MM")</f>
        <v>27/03</v>
      </c>
      <c r="W150">
        <v>21521</v>
      </c>
      <c r="Y150" s="6" t="s">
        <v>157</v>
      </c>
      <c r="Z150" s="6" t="s">
        <v>158</v>
      </c>
      <c r="AA150">
        <v>3292</v>
      </c>
      <c r="AI150" s="23">
        <v>1</v>
      </c>
      <c r="AJ150" s="23">
        <v>1</v>
      </c>
      <c r="AK150" s="23">
        <v>0</v>
      </c>
      <c r="AL150" s="23">
        <v>0</v>
      </c>
      <c r="AM150" s="23">
        <v>1</v>
      </c>
      <c r="AN150" s="23">
        <v>0</v>
      </c>
      <c r="AO150" s="23">
        <v>1</v>
      </c>
      <c r="AP150" s="23">
        <v>0</v>
      </c>
      <c r="AQ150" s="23">
        <v>0</v>
      </c>
      <c r="AR150" s="23">
        <v>0</v>
      </c>
      <c r="AS150" s="23">
        <v>1</v>
      </c>
      <c r="AT150" s="23">
        <v>0</v>
      </c>
      <c r="AU150" s="23">
        <v>1</v>
      </c>
      <c r="AV150" s="23">
        <v>0</v>
      </c>
      <c r="AW150" s="23">
        <v>0</v>
      </c>
      <c r="AX150" s="23">
        <v>1</v>
      </c>
      <c r="AY150" s="23">
        <v>0</v>
      </c>
      <c r="AZ150" s="23">
        <v>0</v>
      </c>
      <c r="BA150" s="23">
        <v>0</v>
      </c>
      <c r="BB150" s="23">
        <v>1</v>
      </c>
      <c r="BC150" s="23">
        <v>0</v>
      </c>
      <c r="BD150" s="23">
        <v>0</v>
      </c>
      <c r="BE150" s="23">
        <v>0</v>
      </c>
      <c r="BF150" s="23">
        <v>1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0</v>
      </c>
      <c r="BN150" s="23">
        <v>0</v>
      </c>
      <c r="BO150" s="23">
        <v>0</v>
      </c>
      <c r="BP150" s="23">
        <f>$L150*AI150</f>
        <v>25</v>
      </c>
      <c r="BQ150" s="23">
        <f>$L150*AJ150</f>
        <v>25</v>
      </c>
      <c r="BR150" s="23">
        <f>$L150*AK150</f>
        <v>0</v>
      </c>
      <c r="BS150" s="23">
        <f>$L150*AL150</f>
        <v>0</v>
      </c>
      <c r="BT150" s="23">
        <f>$L150*AM150</f>
        <v>25</v>
      </c>
      <c r="BU150" s="23">
        <f>$L150*AN150</f>
        <v>0</v>
      </c>
      <c r="BV150" s="23">
        <f>$L150*AO150</f>
        <v>25</v>
      </c>
      <c r="BW150" s="23">
        <f>$L150*AP150</f>
        <v>0</v>
      </c>
      <c r="BX150" s="23">
        <f>$L150*AQ150</f>
        <v>0</v>
      </c>
      <c r="BY150" s="23">
        <f>$L150*AR150</f>
        <v>0</v>
      </c>
      <c r="BZ150" s="23">
        <f>$L150*AS150</f>
        <v>25</v>
      </c>
      <c r="CA150" s="23">
        <f>$L150*AT150</f>
        <v>0</v>
      </c>
      <c r="CB150" s="23">
        <f>$L150*AU150</f>
        <v>25</v>
      </c>
      <c r="CC150" s="23">
        <f>$L150*AV150</f>
        <v>0</v>
      </c>
      <c r="CD150" s="23">
        <f>$L150*AW150</f>
        <v>0</v>
      </c>
      <c r="CE150" s="23">
        <f>$L150*AX150</f>
        <v>25</v>
      </c>
      <c r="CF150" s="23">
        <f>$L150*AY150</f>
        <v>0</v>
      </c>
      <c r="CG150" s="23">
        <f>$L150*AZ150</f>
        <v>0</v>
      </c>
      <c r="CH150" s="23">
        <f>$L150*BA150</f>
        <v>0</v>
      </c>
      <c r="CI150" s="23">
        <f>$L150*BB150</f>
        <v>25</v>
      </c>
      <c r="CJ150" s="23">
        <f>$L150*BC150</f>
        <v>0</v>
      </c>
      <c r="CK150" s="23">
        <f>$L150*BD150</f>
        <v>0</v>
      </c>
      <c r="CL150" s="23">
        <f>$L150*BE150</f>
        <v>0</v>
      </c>
      <c r="CM150" s="23">
        <f>$L150*BF150</f>
        <v>25</v>
      </c>
      <c r="CN150" s="23">
        <f>$L150*BG150</f>
        <v>0</v>
      </c>
      <c r="CO150" s="23">
        <f>$L150*BH150</f>
        <v>0</v>
      </c>
      <c r="CP150" s="23">
        <f>$L150*BI150</f>
        <v>0</v>
      </c>
      <c r="CQ150" s="23">
        <f>$L150*BJ150</f>
        <v>0</v>
      </c>
      <c r="CR150" s="23">
        <f>$L150*BK150</f>
        <v>0</v>
      </c>
      <c r="CS150" s="23">
        <f>$L150*BL150</f>
        <v>0</v>
      </c>
      <c r="CT150" s="23">
        <f>$L150*BM150</f>
        <v>0</v>
      </c>
      <c r="CU150" s="23">
        <f>$L150*BN150</f>
        <v>0</v>
      </c>
      <c r="CV150" s="23">
        <f>$L150*BO150</f>
        <v>0</v>
      </c>
    </row>
    <row r="151" spans="1:100" ht="13.5" x14ac:dyDescent="0.15">
      <c r="A151" s="15">
        <v>852</v>
      </c>
      <c r="B151" s="27" t="s">
        <v>407</v>
      </c>
      <c r="C151" t="s">
        <v>153</v>
      </c>
      <c r="E151" t="s">
        <v>154</v>
      </c>
      <c r="F151" t="s">
        <v>155</v>
      </c>
      <c r="G151" t="s">
        <v>154</v>
      </c>
      <c r="H151" t="s">
        <v>156</v>
      </c>
      <c r="I151" s="6" t="s">
        <v>136</v>
      </c>
      <c r="J151" s="6">
        <v>1</v>
      </c>
      <c r="L151" s="15">
        <v>8</v>
      </c>
      <c r="N151" s="7">
        <v>46447</v>
      </c>
      <c r="O151" s="7">
        <v>46444</v>
      </c>
      <c r="P151" s="7">
        <v>46447</v>
      </c>
      <c r="S151" s="6" t="s">
        <v>154</v>
      </c>
      <c r="U151" s="6" t="s">
        <v>150</v>
      </c>
      <c r="V151" s="6" t="str">
        <f>TEXT(N151,"YY/MM")</f>
        <v>27/03</v>
      </c>
      <c r="W151">
        <v>21522</v>
      </c>
      <c r="Y151" s="6" t="s">
        <v>157</v>
      </c>
      <c r="Z151" s="6" t="s">
        <v>158</v>
      </c>
      <c r="AA151">
        <v>3293</v>
      </c>
      <c r="AI151" s="23">
        <v>1</v>
      </c>
      <c r="AJ151" s="23">
        <v>1</v>
      </c>
      <c r="AK151" s="23">
        <v>0</v>
      </c>
      <c r="AL151" s="23">
        <v>0</v>
      </c>
      <c r="AM151" s="23">
        <v>1</v>
      </c>
      <c r="AN151" s="23">
        <v>0</v>
      </c>
      <c r="AO151" s="23">
        <v>1</v>
      </c>
      <c r="AP151" s="23">
        <v>0</v>
      </c>
      <c r="AQ151" s="23">
        <v>0</v>
      </c>
      <c r="AR151" s="23">
        <v>0</v>
      </c>
      <c r="AS151" s="23">
        <v>0</v>
      </c>
      <c r="AT151" s="23">
        <v>1</v>
      </c>
      <c r="AU151" s="23">
        <v>1</v>
      </c>
      <c r="AV151" s="23">
        <v>0</v>
      </c>
      <c r="AW151" s="23">
        <v>0</v>
      </c>
      <c r="AX151" s="23">
        <v>1</v>
      </c>
      <c r="AY151" s="23">
        <v>0</v>
      </c>
      <c r="AZ151" s="23">
        <v>0</v>
      </c>
      <c r="BA151" s="23">
        <v>0</v>
      </c>
      <c r="BB151" s="23">
        <v>1</v>
      </c>
      <c r="BC151" s="23">
        <v>0</v>
      </c>
      <c r="BD151" s="23">
        <v>0</v>
      </c>
      <c r="BE151" s="23">
        <v>0</v>
      </c>
      <c r="BF151" s="23">
        <v>1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0</v>
      </c>
      <c r="BP151" s="23">
        <f>$L151*AI151</f>
        <v>8</v>
      </c>
      <c r="BQ151" s="23">
        <f>$L151*AJ151</f>
        <v>8</v>
      </c>
      <c r="BR151" s="23">
        <f>$L151*AK151</f>
        <v>0</v>
      </c>
      <c r="BS151" s="23">
        <f>$L151*AL151</f>
        <v>0</v>
      </c>
      <c r="BT151" s="23">
        <f>$L151*AM151</f>
        <v>8</v>
      </c>
      <c r="BU151" s="23">
        <f>$L151*AN151</f>
        <v>0</v>
      </c>
      <c r="BV151" s="23">
        <f>$L151*AO151</f>
        <v>8</v>
      </c>
      <c r="BW151" s="23">
        <f>$L151*AP151</f>
        <v>0</v>
      </c>
      <c r="BX151" s="23">
        <f>$L151*AQ151</f>
        <v>0</v>
      </c>
      <c r="BY151" s="23">
        <f>$L151*AR151</f>
        <v>0</v>
      </c>
      <c r="BZ151" s="23">
        <f>$L151*AS151</f>
        <v>0</v>
      </c>
      <c r="CA151" s="23">
        <f>$L151*AT151</f>
        <v>8</v>
      </c>
      <c r="CB151" s="23">
        <f>$L151*AU151</f>
        <v>8</v>
      </c>
      <c r="CC151" s="23">
        <f>$L151*AV151</f>
        <v>0</v>
      </c>
      <c r="CD151" s="23">
        <f>$L151*AW151</f>
        <v>0</v>
      </c>
      <c r="CE151" s="23">
        <f>$L151*AX151</f>
        <v>8</v>
      </c>
      <c r="CF151" s="23">
        <f>$L151*AY151</f>
        <v>0</v>
      </c>
      <c r="CG151" s="23">
        <f>$L151*AZ151</f>
        <v>0</v>
      </c>
      <c r="CH151" s="23">
        <f>$L151*BA151</f>
        <v>0</v>
      </c>
      <c r="CI151" s="23">
        <f>$L151*BB151</f>
        <v>8</v>
      </c>
      <c r="CJ151" s="23">
        <f>$L151*BC151</f>
        <v>0</v>
      </c>
      <c r="CK151" s="23">
        <f>$L151*BD151</f>
        <v>0</v>
      </c>
      <c r="CL151" s="23">
        <f>$L151*BE151</f>
        <v>0</v>
      </c>
      <c r="CM151" s="23">
        <f>$L151*BF151</f>
        <v>8</v>
      </c>
      <c r="CN151" s="23">
        <f>$L151*BG151</f>
        <v>0</v>
      </c>
      <c r="CO151" s="23">
        <f>$L151*BH151</f>
        <v>0</v>
      </c>
      <c r="CP151" s="23">
        <f>$L151*BI151</f>
        <v>0</v>
      </c>
      <c r="CQ151" s="23">
        <f>$L151*BJ151</f>
        <v>0</v>
      </c>
      <c r="CR151" s="23">
        <f>$L151*BK151</f>
        <v>0</v>
      </c>
      <c r="CS151" s="23">
        <f>$L151*BL151</f>
        <v>0</v>
      </c>
      <c r="CT151" s="23">
        <f>$L151*BM151</f>
        <v>0</v>
      </c>
      <c r="CU151" s="23">
        <f>$L151*BN151</f>
        <v>0</v>
      </c>
      <c r="CV151" s="23">
        <f>$L151*BO151</f>
        <v>0</v>
      </c>
    </row>
    <row r="152" spans="1:100" ht="13.5" x14ac:dyDescent="0.15">
      <c r="A152" s="15">
        <v>854</v>
      </c>
      <c r="B152" s="27" t="s">
        <v>409</v>
      </c>
      <c r="C152" t="s">
        <v>153</v>
      </c>
      <c r="E152" t="s">
        <v>286</v>
      </c>
      <c r="F152" t="s">
        <v>155</v>
      </c>
      <c r="G152" t="s">
        <v>286</v>
      </c>
      <c r="H152" t="s">
        <v>287</v>
      </c>
      <c r="I152" s="6" t="s">
        <v>136</v>
      </c>
      <c r="J152" s="6">
        <v>1</v>
      </c>
      <c r="L152" s="15">
        <v>2</v>
      </c>
      <c r="N152" s="7">
        <v>46447</v>
      </c>
      <c r="O152" s="7">
        <v>46444</v>
      </c>
      <c r="P152" s="7">
        <v>46447</v>
      </c>
      <c r="S152" s="6" t="s">
        <v>286</v>
      </c>
      <c r="U152" s="6" t="s">
        <v>150</v>
      </c>
      <c r="V152" s="6" t="str">
        <f>TEXT(N152,"YY/MM")</f>
        <v>27/03</v>
      </c>
      <c r="W152">
        <v>21523</v>
      </c>
      <c r="Y152" s="6" t="s">
        <v>157</v>
      </c>
      <c r="Z152" s="6" t="s">
        <v>158</v>
      </c>
      <c r="AA152">
        <v>3294</v>
      </c>
      <c r="AI152" s="23">
        <v>1</v>
      </c>
      <c r="AJ152" s="23">
        <v>1</v>
      </c>
      <c r="AK152" s="23">
        <v>0</v>
      </c>
      <c r="AL152" s="23">
        <v>0</v>
      </c>
      <c r="AM152" s="23">
        <v>1</v>
      </c>
      <c r="AN152" s="23">
        <v>0</v>
      </c>
      <c r="AO152" s="23">
        <v>1</v>
      </c>
      <c r="AP152" s="23">
        <v>0</v>
      </c>
      <c r="AQ152" s="23">
        <v>0</v>
      </c>
      <c r="AR152" s="23">
        <v>0</v>
      </c>
      <c r="AS152" s="23">
        <v>0</v>
      </c>
      <c r="AT152" s="23">
        <v>1</v>
      </c>
      <c r="AU152" s="23">
        <v>0</v>
      </c>
      <c r="AV152" s="23">
        <v>0</v>
      </c>
      <c r="AW152" s="23">
        <v>1</v>
      </c>
      <c r="AX152" s="23">
        <v>0</v>
      </c>
      <c r="AY152" s="23">
        <v>0</v>
      </c>
      <c r="AZ152" s="23">
        <v>0</v>
      </c>
      <c r="BA152" s="23">
        <v>1</v>
      </c>
      <c r="BB152" s="23">
        <v>0</v>
      </c>
      <c r="BC152" s="23">
        <v>0</v>
      </c>
      <c r="BD152" s="23">
        <v>0</v>
      </c>
      <c r="BE152" s="23">
        <v>1</v>
      </c>
      <c r="BF152" s="23">
        <v>1</v>
      </c>
      <c r="BG152" s="23">
        <v>0</v>
      </c>
      <c r="BH152" s="23">
        <v>0</v>
      </c>
      <c r="BI152" s="23">
        <v>0</v>
      </c>
      <c r="BJ152" s="23">
        <v>0</v>
      </c>
      <c r="BK152" s="23">
        <v>0</v>
      </c>
      <c r="BL152" s="23">
        <v>0</v>
      </c>
      <c r="BM152" s="23">
        <v>0</v>
      </c>
      <c r="BN152" s="23">
        <v>0</v>
      </c>
      <c r="BO152" s="23">
        <v>0</v>
      </c>
      <c r="BP152" s="23">
        <f>$L152*AI152</f>
        <v>2</v>
      </c>
      <c r="BQ152" s="23">
        <f>$L152*AJ152</f>
        <v>2</v>
      </c>
      <c r="BR152" s="23">
        <f>$L152*AK152</f>
        <v>0</v>
      </c>
      <c r="BS152" s="23">
        <f>$L152*AL152</f>
        <v>0</v>
      </c>
      <c r="BT152" s="23">
        <f>$L152*AM152</f>
        <v>2</v>
      </c>
      <c r="BU152" s="23">
        <f>$L152*AN152</f>
        <v>0</v>
      </c>
      <c r="BV152" s="23">
        <f>$L152*AO152</f>
        <v>2</v>
      </c>
      <c r="BW152" s="23">
        <f>$L152*AP152</f>
        <v>0</v>
      </c>
      <c r="BX152" s="23">
        <f>$L152*AQ152</f>
        <v>0</v>
      </c>
      <c r="BY152" s="23">
        <f>$L152*AR152</f>
        <v>0</v>
      </c>
      <c r="BZ152" s="23">
        <f>$L152*AS152</f>
        <v>0</v>
      </c>
      <c r="CA152" s="23">
        <f>$L152*AT152</f>
        <v>2</v>
      </c>
      <c r="CB152" s="23">
        <f>$L152*AU152</f>
        <v>0</v>
      </c>
      <c r="CC152" s="23">
        <f>$L152*AV152</f>
        <v>0</v>
      </c>
      <c r="CD152" s="23">
        <f>$L152*AW152</f>
        <v>2</v>
      </c>
      <c r="CE152" s="23">
        <f>$L152*AX152</f>
        <v>0</v>
      </c>
      <c r="CF152" s="23">
        <f>$L152*AY152</f>
        <v>0</v>
      </c>
      <c r="CG152" s="23">
        <f>$L152*AZ152</f>
        <v>0</v>
      </c>
      <c r="CH152" s="23">
        <f>$L152*BA152</f>
        <v>2</v>
      </c>
      <c r="CI152" s="23">
        <f>$L152*BB152</f>
        <v>0</v>
      </c>
      <c r="CJ152" s="23">
        <f>$L152*BC152</f>
        <v>0</v>
      </c>
      <c r="CK152" s="23">
        <f>$L152*BD152</f>
        <v>0</v>
      </c>
      <c r="CL152" s="23">
        <f>$L152*BE152</f>
        <v>2</v>
      </c>
      <c r="CM152" s="23">
        <f>$L152*BF152</f>
        <v>2</v>
      </c>
      <c r="CN152" s="23">
        <f>$L152*BG152</f>
        <v>0</v>
      </c>
      <c r="CO152" s="23">
        <f>$L152*BH152</f>
        <v>0</v>
      </c>
      <c r="CP152" s="23">
        <f>$L152*BI152</f>
        <v>0</v>
      </c>
      <c r="CQ152" s="23">
        <f>$L152*BJ152</f>
        <v>0</v>
      </c>
      <c r="CR152" s="23">
        <f>$L152*BK152</f>
        <v>0</v>
      </c>
      <c r="CS152" s="23">
        <f>$L152*BL152</f>
        <v>0</v>
      </c>
      <c r="CT152" s="23">
        <f>$L152*BM152</f>
        <v>0</v>
      </c>
      <c r="CU152" s="23">
        <f>$L152*BN152</f>
        <v>0</v>
      </c>
      <c r="CV152" s="23">
        <f>$L152*BO152</f>
        <v>0</v>
      </c>
    </row>
    <row r="153" spans="1:100" ht="13.5" x14ac:dyDescent="0.15">
      <c r="A153" s="15">
        <v>856</v>
      </c>
      <c r="B153" s="27" t="s">
        <v>410</v>
      </c>
      <c r="C153" t="s">
        <v>153</v>
      </c>
      <c r="E153" t="s">
        <v>154</v>
      </c>
      <c r="F153" t="s">
        <v>155</v>
      </c>
      <c r="G153" t="s">
        <v>154</v>
      </c>
      <c r="H153" t="s">
        <v>156</v>
      </c>
      <c r="I153" s="6" t="s">
        <v>136</v>
      </c>
      <c r="J153" s="6">
        <v>1</v>
      </c>
      <c r="L153" s="15">
        <v>8</v>
      </c>
      <c r="N153" s="7">
        <v>46478</v>
      </c>
      <c r="O153" s="7">
        <v>46477</v>
      </c>
      <c r="P153" s="7">
        <v>46478</v>
      </c>
      <c r="S153" s="6" t="s">
        <v>154</v>
      </c>
      <c r="U153" s="6" t="s">
        <v>150</v>
      </c>
      <c r="V153" s="6" t="str">
        <f>TEXT(N153,"YY/MM")</f>
        <v>27/04</v>
      </c>
      <c r="W153">
        <v>21524</v>
      </c>
      <c r="Y153" s="6" t="s">
        <v>157</v>
      </c>
      <c r="Z153" s="6" t="s">
        <v>158</v>
      </c>
      <c r="AA153">
        <v>3295</v>
      </c>
      <c r="AI153" s="23">
        <v>1</v>
      </c>
      <c r="AJ153" s="23">
        <v>1</v>
      </c>
      <c r="AK153" s="23">
        <v>0</v>
      </c>
      <c r="AL153" s="23">
        <v>0</v>
      </c>
      <c r="AM153" s="23">
        <v>1</v>
      </c>
      <c r="AN153" s="23">
        <v>0</v>
      </c>
      <c r="AO153" s="23">
        <v>1</v>
      </c>
      <c r="AP153" s="23">
        <v>0</v>
      </c>
      <c r="AQ153" s="23">
        <v>0</v>
      </c>
      <c r="AR153" s="23">
        <v>0</v>
      </c>
      <c r="AS153" s="23">
        <v>0</v>
      </c>
      <c r="AT153" s="23">
        <v>1</v>
      </c>
      <c r="AU153" s="23">
        <v>1</v>
      </c>
      <c r="AV153" s="23">
        <v>0</v>
      </c>
      <c r="AW153" s="23">
        <v>0</v>
      </c>
      <c r="AX153" s="23">
        <v>1</v>
      </c>
      <c r="AY153" s="23">
        <v>0</v>
      </c>
      <c r="AZ153" s="23">
        <v>0</v>
      </c>
      <c r="BA153" s="23">
        <v>0</v>
      </c>
      <c r="BB153" s="23">
        <v>1</v>
      </c>
      <c r="BC153" s="23">
        <v>0</v>
      </c>
      <c r="BD153" s="23">
        <v>0</v>
      </c>
      <c r="BE153" s="23">
        <v>0</v>
      </c>
      <c r="BF153" s="23">
        <v>1</v>
      </c>
      <c r="BG153" s="23">
        <v>0</v>
      </c>
      <c r="BH153" s="23">
        <v>0</v>
      </c>
      <c r="BI153" s="23">
        <v>0</v>
      </c>
      <c r="BJ153" s="23">
        <v>0</v>
      </c>
      <c r="BK153" s="23">
        <v>0</v>
      </c>
      <c r="BL153" s="23">
        <v>0</v>
      </c>
      <c r="BM153" s="23">
        <v>0</v>
      </c>
      <c r="BN153" s="23">
        <v>0</v>
      </c>
      <c r="BO153" s="23">
        <v>0</v>
      </c>
      <c r="BP153" s="23">
        <f>$L153*AI153</f>
        <v>8</v>
      </c>
      <c r="BQ153" s="23">
        <f>$L153*AJ153</f>
        <v>8</v>
      </c>
      <c r="BR153" s="23">
        <f>$L153*AK153</f>
        <v>0</v>
      </c>
      <c r="BS153" s="23">
        <f>$L153*AL153</f>
        <v>0</v>
      </c>
      <c r="BT153" s="23">
        <f>$L153*AM153</f>
        <v>8</v>
      </c>
      <c r="BU153" s="23">
        <f>$L153*AN153</f>
        <v>0</v>
      </c>
      <c r="BV153" s="23">
        <f>$L153*AO153</f>
        <v>8</v>
      </c>
      <c r="BW153" s="23">
        <f>$L153*AP153</f>
        <v>0</v>
      </c>
      <c r="BX153" s="23">
        <f>$L153*AQ153</f>
        <v>0</v>
      </c>
      <c r="BY153" s="23">
        <f>$L153*AR153</f>
        <v>0</v>
      </c>
      <c r="BZ153" s="23">
        <f>$L153*AS153</f>
        <v>0</v>
      </c>
      <c r="CA153" s="23">
        <f>$L153*AT153</f>
        <v>8</v>
      </c>
      <c r="CB153" s="23">
        <f>$L153*AU153</f>
        <v>8</v>
      </c>
      <c r="CC153" s="23">
        <f>$L153*AV153</f>
        <v>0</v>
      </c>
      <c r="CD153" s="23">
        <f>$L153*AW153</f>
        <v>0</v>
      </c>
      <c r="CE153" s="23">
        <f>$L153*AX153</f>
        <v>8</v>
      </c>
      <c r="CF153" s="23">
        <f>$L153*AY153</f>
        <v>0</v>
      </c>
      <c r="CG153" s="23">
        <f>$L153*AZ153</f>
        <v>0</v>
      </c>
      <c r="CH153" s="23">
        <f>$L153*BA153</f>
        <v>0</v>
      </c>
      <c r="CI153" s="23">
        <f>$L153*BB153</f>
        <v>8</v>
      </c>
      <c r="CJ153" s="23">
        <f>$L153*BC153</f>
        <v>0</v>
      </c>
      <c r="CK153" s="23">
        <f>$L153*BD153</f>
        <v>0</v>
      </c>
      <c r="CL153" s="23">
        <f>$L153*BE153</f>
        <v>0</v>
      </c>
      <c r="CM153" s="23">
        <f>$L153*BF153</f>
        <v>8</v>
      </c>
      <c r="CN153" s="23">
        <f>$L153*BG153</f>
        <v>0</v>
      </c>
      <c r="CO153" s="23">
        <f>$L153*BH153</f>
        <v>0</v>
      </c>
      <c r="CP153" s="23">
        <f>$L153*BI153</f>
        <v>0</v>
      </c>
      <c r="CQ153" s="23">
        <f>$L153*BJ153</f>
        <v>0</v>
      </c>
      <c r="CR153" s="23">
        <f>$L153*BK153</f>
        <v>0</v>
      </c>
      <c r="CS153" s="23">
        <f>$L153*BL153</f>
        <v>0</v>
      </c>
      <c r="CT153" s="23">
        <f>$L153*BM153</f>
        <v>0</v>
      </c>
      <c r="CU153" s="23">
        <f>$L153*BN153</f>
        <v>0</v>
      </c>
      <c r="CV153" s="23">
        <f>$L153*BO153</f>
        <v>0</v>
      </c>
    </row>
    <row r="154" spans="1:100" ht="13.5" x14ac:dyDescent="0.15">
      <c r="A154" s="15">
        <v>857</v>
      </c>
      <c r="B154" s="27" t="s">
        <v>411</v>
      </c>
      <c r="C154" t="s">
        <v>153</v>
      </c>
      <c r="E154" t="s">
        <v>286</v>
      </c>
      <c r="F154" t="s">
        <v>155</v>
      </c>
      <c r="G154" t="s">
        <v>286</v>
      </c>
      <c r="H154" t="s">
        <v>287</v>
      </c>
      <c r="I154" s="6" t="s">
        <v>136</v>
      </c>
      <c r="J154" s="6">
        <v>1</v>
      </c>
      <c r="L154" s="15">
        <v>2</v>
      </c>
      <c r="N154" s="7">
        <v>46478</v>
      </c>
      <c r="O154" s="7">
        <v>46477</v>
      </c>
      <c r="P154" s="7">
        <v>46478</v>
      </c>
      <c r="S154" s="6" t="s">
        <v>286</v>
      </c>
      <c r="U154" s="6" t="s">
        <v>150</v>
      </c>
      <c r="V154" s="6" t="str">
        <f>TEXT(N154,"YY/MM")</f>
        <v>27/04</v>
      </c>
      <c r="W154">
        <v>21525</v>
      </c>
      <c r="Y154" s="6" t="s">
        <v>157</v>
      </c>
      <c r="Z154" s="6" t="s">
        <v>158</v>
      </c>
      <c r="AA154">
        <v>3296</v>
      </c>
      <c r="AI154" s="23">
        <v>1</v>
      </c>
      <c r="AJ154" s="23">
        <v>1</v>
      </c>
      <c r="AK154" s="23">
        <v>0</v>
      </c>
      <c r="AL154" s="23">
        <v>0</v>
      </c>
      <c r="AM154" s="23">
        <v>1</v>
      </c>
      <c r="AN154" s="23">
        <v>0</v>
      </c>
      <c r="AO154" s="23">
        <v>1</v>
      </c>
      <c r="AP154" s="23">
        <v>0</v>
      </c>
      <c r="AQ154" s="23">
        <v>0</v>
      </c>
      <c r="AR154" s="23">
        <v>0</v>
      </c>
      <c r="AS154" s="23">
        <v>0</v>
      </c>
      <c r="AT154" s="23">
        <v>1</v>
      </c>
      <c r="AU154" s="23">
        <v>0</v>
      </c>
      <c r="AV154" s="23">
        <v>0</v>
      </c>
      <c r="AW154" s="23">
        <v>1</v>
      </c>
      <c r="AX154" s="23">
        <v>0</v>
      </c>
      <c r="AY154" s="23">
        <v>0</v>
      </c>
      <c r="AZ154" s="23">
        <v>0</v>
      </c>
      <c r="BA154" s="23">
        <v>1</v>
      </c>
      <c r="BB154" s="23">
        <v>0</v>
      </c>
      <c r="BC154" s="23">
        <v>0</v>
      </c>
      <c r="BD154" s="23">
        <v>0</v>
      </c>
      <c r="BE154" s="23">
        <v>1</v>
      </c>
      <c r="BF154" s="23">
        <v>1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0</v>
      </c>
      <c r="BO154" s="23">
        <v>0</v>
      </c>
      <c r="BP154" s="23">
        <f>$L154*AI154</f>
        <v>2</v>
      </c>
      <c r="BQ154" s="23">
        <f>$L154*AJ154</f>
        <v>2</v>
      </c>
      <c r="BR154" s="23">
        <f>$L154*AK154</f>
        <v>0</v>
      </c>
      <c r="BS154" s="23">
        <f>$L154*AL154</f>
        <v>0</v>
      </c>
      <c r="BT154" s="23">
        <f>$L154*AM154</f>
        <v>2</v>
      </c>
      <c r="BU154" s="23">
        <f>$L154*AN154</f>
        <v>0</v>
      </c>
      <c r="BV154" s="23">
        <f>$L154*AO154</f>
        <v>2</v>
      </c>
      <c r="BW154" s="23">
        <f>$L154*AP154</f>
        <v>0</v>
      </c>
      <c r="BX154" s="23">
        <f>$L154*AQ154</f>
        <v>0</v>
      </c>
      <c r="BY154" s="23">
        <f>$L154*AR154</f>
        <v>0</v>
      </c>
      <c r="BZ154" s="23">
        <f>$L154*AS154</f>
        <v>0</v>
      </c>
      <c r="CA154" s="23">
        <f>$L154*AT154</f>
        <v>2</v>
      </c>
      <c r="CB154" s="23">
        <f>$L154*AU154</f>
        <v>0</v>
      </c>
      <c r="CC154" s="23">
        <f>$L154*AV154</f>
        <v>0</v>
      </c>
      <c r="CD154" s="23">
        <f>$L154*AW154</f>
        <v>2</v>
      </c>
      <c r="CE154" s="23">
        <f>$L154*AX154</f>
        <v>0</v>
      </c>
      <c r="CF154" s="23">
        <f>$L154*AY154</f>
        <v>0</v>
      </c>
      <c r="CG154" s="23">
        <f>$L154*AZ154</f>
        <v>0</v>
      </c>
      <c r="CH154" s="23">
        <f>$L154*BA154</f>
        <v>2</v>
      </c>
      <c r="CI154" s="23">
        <f>$L154*BB154</f>
        <v>0</v>
      </c>
      <c r="CJ154" s="23">
        <f>$L154*BC154</f>
        <v>0</v>
      </c>
      <c r="CK154" s="23">
        <f>$L154*BD154</f>
        <v>0</v>
      </c>
      <c r="CL154" s="23">
        <f>$L154*BE154</f>
        <v>2</v>
      </c>
      <c r="CM154" s="23">
        <f>$L154*BF154</f>
        <v>2</v>
      </c>
      <c r="CN154" s="23">
        <f>$L154*BG154</f>
        <v>0</v>
      </c>
      <c r="CO154" s="23">
        <f>$L154*BH154</f>
        <v>0</v>
      </c>
      <c r="CP154" s="23">
        <f>$L154*BI154</f>
        <v>0</v>
      </c>
      <c r="CQ154" s="23">
        <f>$L154*BJ154</f>
        <v>0</v>
      </c>
      <c r="CR154" s="23">
        <f>$L154*BK154</f>
        <v>0</v>
      </c>
      <c r="CS154" s="23">
        <f>$L154*BL154</f>
        <v>0</v>
      </c>
      <c r="CT154" s="23">
        <f>$L154*BM154</f>
        <v>0</v>
      </c>
      <c r="CU154" s="23">
        <f>$L154*BN154</f>
        <v>0</v>
      </c>
      <c r="CV154" s="23">
        <f>$L154*BO154</f>
        <v>0</v>
      </c>
    </row>
    <row r="155" spans="1:100" ht="13.5" x14ac:dyDescent="0.15">
      <c r="A155" s="15">
        <v>866</v>
      </c>
      <c r="B155" s="27" t="s">
        <v>412</v>
      </c>
      <c r="C155" t="s">
        <v>153</v>
      </c>
      <c r="E155" t="s">
        <v>350</v>
      </c>
      <c r="F155" t="s">
        <v>155</v>
      </c>
      <c r="G155" t="s">
        <v>350</v>
      </c>
      <c r="H155" t="s">
        <v>351</v>
      </c>
      <c r="I155" s="6" t="s">
        <v>136</v>
      </c>
      <c r="J155" s="6">
        <v>1</v>
      </c>
      <c r="L155" s="15">
        <v>25</v>
      </c>
      <c r="N155" s="7">
        <v>46483</v>
      </c>
      <c r="O155" s="7">
        <v>46482</v>
      </c>
      <c r="P155" s="7">
        <v>46483</v>
      </c>
      <c r="S155" s="6" t="s">
        <v>350</v>
      </c>
      <c r="U155" s="6" t="s">
        <v>150</v>
      </c>
      <c r="V155" s="6" t="str">
        <f>TEXT(N155,"YY/MM")</f>
        <v>27/04</v>
      </c>
      <c r="W155">
        <v>21526</v>
      </c>
      <c r="Y155" s="6" t="s">
        <v>157</v>
      </c>
      <c r="Z155" s="6" t="s">
        <v>158</v>
      </c>
      <c r="AA155">
        <v>3297</v>
      </c>
      <c r="AI155" s="23">
        <v>1</v>
      </c>
      <c r="AJ155" s="23">
        <v>1</v>
      </c>
      <c r="AK155" s="23">
        <v>0</v>
      </c>
      <c r="AL155" s="23">
        <v>0</v>
      </c>
      <c r="AM155" s="23">
        <v>1</v>
      </c>
      <c r="AN155" s="23">
        <v>0</v>
      </c>
      <c r="AO155" s="23">
        <v>1</v>
      </c>
      <c r="AP155" s="23">
        <v>0</v>
      </c>
      <c r="AQ155" s="23">
        <v>0</v>
      </c>
      <c r="AR155" s="23">
        <v>0</v>
      </c>
      <c r="AS155" s="23">
        <v>1</v>
      </c>
      <c r="AT155" s="23">
        <v>0</v>
      </c>
      <c r="AU155" s="23">
        <v>1</v>
      </c>
      <c r="AV155" s="23">
        <v>0</v>
      </c>
      <c r="AW155" s="23">
        <v>0</v>
      </c>
      <c r="AX155" s="23">
        <v>1</v>
      </c>
      <c r="AY155" s="23">
        <v>0</v>
      </c>
      <c r="AZ155" s="23">
        <v>0</v>
      </c>
      <c r="BA155" s="23">
        <v>0</v>
      </c>
      <c r="BB155" s="23">
        <v>1</v>
      </c>
      <c r="BC155" s="23">
        <v>0</v>
      </c>
      <c r="BD155" s="23">
        <v>0</v>
      </c>
      <c r="BE155" s="23">
        <v>0</v>
      </c>
      <c r="BF155" s="23">
        <v>1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f>$L155*AI155</f>
        <v>25</v>
      </c>
      <c r="BQ155" s="23">
        <f>$L155*AJ155</f>
        <v>25</v>
      </c>
      <c r="BR155" s="23">
        <f>$L155*AK155</f>
        <v>0</v>
      </c>
      <c r="BS155" s="23">
        <f>$L155*AL155</f>
        <v>0</v>
      </c>
      <c r="BT155" s="23">
        <f>$L155*AM155</f>
        <v>25</v>
      </c>
      <c r="BU155" s="23">
        <f>$L155*AN155</f>
        <v>0</v>
      </c>
      <c r="BV155" s="23">
        <f>$L155*AO155</f>
        <v>25</v>
      </c>
      <c r="BW155" s="23">
        <f>$L155*AP155</f>
        <v>0</v>
      </c>
      <c r="BX155" s="23">
        <f>$L155*AQ155</f>
        <v>0</v>
      </c>
      <c r="BY155" s="23">
        <f>$L155*AR155</f>
        <v>0</v>
      </c>
      <c r="BZ155" s="23">
        <f>$L155*AS155</f>
        <v>25</v>
      </c>
      <c r="CA155" s="23">
        <f>$L155*AT155</f>
        <v>0</v>
      </c>
      <c r="CB155" s="23">
        <f>$L155*AU155</f>
        <v>25</v>
      </c>
      <c r="CC155" s="23">
        <f>$L155*AV155</f>
        <v>0</v>
      </c>
      <c r="CD155" s="23">
        <f>$L155*AW155</f>
        <v>0</v>
      </c>
      <c r="CE155" s="23">
        <f>$L155*AX155</f>
        <v>25</v>
      </c>
      <c r="CF155" s="23">
        <f>$L155*AY155</f>
        <v>0</v>
      </c>
      <c r="CG155" s="23">
        <f>$L155*AZ155</f>
        <v>0</v>
      </c>
      <c r="CH155" s="23">
        <f>$L155*BA155</f>
        <v>0</v>
      </c>
      <c r="CI155" s="23">
        <f>$L155*BB155</f>
        <v>25</v>
      </c>
      <c r="CJ155" s="23">
        <f>$L155*BC155</f>
        <v>0</v>
      </c>
      <c r="CK155" s="23">
        <f>$L155*BD155</f>
        <v>0</v>
      </c>
      <c r="CL155" s="23">
        <f>$L155*BE155</f>
        <v>0</v>
      </c>
      <c r="CM155" s="23">
        <f>$L155*BF155</f>
        <v>25</v>
      </c>
      <c r="CN155" s="23">
        <f>$L155*BG155</f>
        <v>0</v>
      </c>
      <c r="CO155" s="23">
        <f>$L155*BH155</f>
        <v>0</v>
      </c>
      <c r="CP155" s="23">
        <f>$L155*BI155</f>
        <v>0</v>
      </c>
      <c r="CQ155" s="23">
        <f>$L155*BJ155</f>
        <v>0</v>
      </c>
      <c r="CR155" s="23">
        <f>$L155*BK155</f>
        <v>0</v>
      </c>
      <c r="CS155" s="23">
        <f>$L155*BL155</f>
        <v>0</v>
      </c>
      <c r="CT155" s="23">
        <f>$L155*BM155</f>
        <v>0</v>
      </c>
      <c r="CU155" s="23">
        <f>$L155*BN155</f>
        <v>0</v>
      </c>
      <c r="CV155" s="23">
        <f>$L155*BO155</f>
        <v>0</v>
      </c>
    </row>
    <row r="156" spans="1:100" ht="13.5" x14ac:dyDescent="0.15">
      <c r="A156" s="15">
        <v>42</v>
      </c>
      <c r="B156" s="28" t="s">
        <v>539</v>
      </c>
      <c r="C156" t="s">
        <v>414</v>
      </c>
      <c r="E156" t="s">
        <v>140</v>
      </c>
      <c r="F156" t="s">
        <v>415</v>
      </c>
      <c r="G156" t="s">
        <v>140</v>
      </c>
      <c r="H156" t="s">
        <v>141</v>
      </c>
      <c r="I156" s="6" t="s">
        <v>136</v>
      </c>
      <c r="J156" s="6">
        <v>0</v>
      </c>
      <c r="L156" s="15">
        <v>1</v>
      </c>
      <c r="M156" s="7">
        <v>46059</v>
      </c>
      <c r="N156" s="7">
        <v>46083</v>
      </c>
      <c r="O156" s="7">
        <v>46073</v>
      </c>
      <c r="P156" s="7">
        <v>46077</v>
      </c>
      <c r="R156" s="6" t="s">
        <v>416</v>
      </c>
      <c r="S156" s="6" t="s">
        <v>140</v>
      </c>
      <c r="U156" s="6" t="s">
        <v>413</v>
      </c>
      <c r="V156" s="6" t="str">
        <f>TEXT(N156,"YY/MM")</f>
        <v>26/03</v>
      </c>
      <c r="W156">
        <v>1528</v>
      </c>
      <c r="AA156">
        <v>882</v>
      </c>
      <c r="AC156">
        <v>935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1</v>
      </c>
      <c r="BH156" s="23">
        <v>1</v>
      </c>
      <c r="BI156" s="23">
        <v>1</v>
      </c>
      <c r="BJ156" s="23">
        <v>1</v>
      </c>
      <c r="BK156" s="23">
        <v>1</v>
      </c>
      <c r="BL156" s="23">
        <v>1</v>
      </c>
      <c r="BM156" s="23">
        <v>1</v>
      </c>
      <c r="BN156" s="23">
        <v>1</v>
      </c>
      <c r="BO156" s="23">
        <v>1</v>
      </c>
      <c r="BP156" s="23">
        <f>$L156*AI156</f>
        <v>0</v>
      </c>
      <c r="BQ156" s="23">
        <f>$L156*AJ156</f>
        <v>0</v>
      </c>
      <c r="BR156" s="23">
        <f>$L156*AK156</f>
        <v>0</v>
      </c>
      <c r="BS156" s="23">
        <f>$L156*AL156</f>
        <v>0</v>
      </c>
      <c r="BT156" s="23">
        <f>$L156*AM156</f>
        <v>0</v>
      </c>
      <c r="BU156" s="23">
        <f>$L156*AN156</f>
        <v>0</v>
      </c>
      <c r="BV156" s="23">
        <f>$L156*AO156</f>
        <v>0</v>
      </c>
      <c r="BW156" s="23">
        <f>$L156*AP156</f>
        <v>0</v>
      </c>
      <c r="BX156" s="23">
        <f>$L156*AQ156</f>
        <v>0</v>
      </c>
      <c r="BY156" s="23">
        <f>$L156*AR156</f>
        <v>0</v>
      </c>
      <c r="BZ156" s="23">
        <f>$L156*AS156</f>
        <v>0</v>
      </c>
      <c r="CA156" s="23">
        <f>$L156*AT156</f>
        <v>0</v>
      </c>
      <c r="CB156" s="23">
        <f>$L156*AU156</f>
        <v>0</v>
      </c>
      <c r="CC156" s="23">
        <f>$L156*AV156</f>
        <v>0</v>
      </c>
      <c r="CD156" s="23">
        <f>$L156*AW156</f>
        <v>0</v>
      </c>
      <c r="CE156" s="23">
        <f>$L156*AX156</f>
        <v>0</v>
      </c>
      <c r="CF156" s="23">
        <f>$L156*AY156</f>
        <v>0</v>
      </c>
      <c r="CG156" s="23">
        <f>$L156*AZ156</f>
        <v>0</v>
      </c>
      <c r="CH156" s="23">
        <f>$L156*BA156</f>
        <v>0</v>
      </c>
      <c r="CI156" s="23">
        <f>$L156*BB156</f>
        <v>0</v>
      </c>
      <c r="CJ156" s="23">
        <f>$L156*BC156</f>
        <v>0</v>
      </c>
      <c r="CK156" s="23">
        <f>$L156*BD156</f>
        <v>0</v>
      </c>
      <c r="CL156" s="23">
        <f>$L156*BE156</f>
        <v>0</v>
      </c>
      <c r="CM156" s="23">
        <f>$L156*BF156</f>
        <v>0</v>
      </c>
      <c r="CN156" s="23">
        <f>$L156*BG156</f>
        <v>1</v>
      </c>
      <c r="CO156" s="23">
        <f>$L156*BH156</f>
        <v>1</v>
      </c>
      <c r="CP156" s="23">
        <f>$L156*BI156</f>
        <v>1</v>
      </c>
      <c r="CQ156" s="23">
        <f>$L156*BJ156</f>
        <v>1</v>
      </c>
      <c r="CR156" s="23">
        <f>$L156*BK156</f>
        <v>1</v>
      </c>
      <c r="CS156" s="23">
        <f>$L156*BL156</f>
        <v>1</v>
      </c>
      <c r="CT156" s="23">
        <f>$L156*BM156</f>
        <v>1</v>
      </c>
      <c r="CU156" s="23">
        <f>$L156*BN156</f>
        <v>1</v>
      </c>
      <c r="CV156" s="23">
        <f>$L156*BO156</f>
        <v>1</v>
      </c>
    </row>
    <row r="157" spans="1:100" ht="13.5" x14ac:dyDescent="0.15">
      <c r="A157" s="15">
        <v>42</v>
      </c>
      <c r="B157" s="28" t="s">
        <v>540</v>
      </c>
      <c r="C157" t="s">
        <v>414</v>
      </c>
      <c r="E157" t="s">
        <v>140</v>
      </c>
      <c r="F157" t="s">
        <v>415</v>
      </c>
      <c r="G157" t="s">
        <v>140</v>
      </c>
      <c r="H157" t="s">
        <v>141</v>
      </c>
      <c r="I157" s="6" t="s">
        <v>136</v>
      </c>
      <c r="J157" s="6">
        <v>0</v>
      </c>
      <c r="L157" s="15">
        <v>1</v>
      </c>
      <c r="M157" s="7">
        <v>46059</v>
      </c>
      <c r="N157" s="7">
        <v>46084</v>
      </c>
      <c r="O157" s="7">
        <v>46073</v>
      </c>
      <c r="P157" s="7">
        <v>46077</v>
      </c>
      <c r="R157" s="6" t="s">
        <v>416</v>
      </c>
      <c r="S157" s="6" t="s">
        <v>140</v>
      </c>
      <c r="U157" s="6" t="s">
        <v>413</v>
      </c>
      <c r="V157" s="6" t="str">
        <f>TEXT(N157,"YY/MM")</f>
        <v>26/03</v>
      </c>
      <c r="W157">
        <v>1529</v>
      </c>
      <c r="AA157">
        <v>883</v>
      </c>
      <c r="AC157">
        <v>936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1</v>
      </c>
      <c r="BH157" s="23">
        <v>1</v>
      </c>
      <c r="BI157" s="23">
        <v>1</v>
      </c>
      <c r="BJ157" s="23">
        <v>1</v>
      </c>
      <c r="BK157" s="23">
        <v>1</v>
      </c>
      <c r="BL157" s="23">
        <v>1</v>
      </c>
      <c r="BM157" s="23">
        <v>1</v>
      </c>
      <c r="BN157" s="23">
        <v>1</v>
      </c>
      <c r="BO157" s="23">
        <v>1</v>
      </c>
      <c r="BP157" s="23">
        <f>$L157*AI157</f>
        <v>0</v>
      </c>
      <c r="BQ157" s="23">
        <f>$L157*AJ157</f>
        <v>0</v>
      </c>
      <c r="BR157" s="23">
        <f>$L157*AK157</f>
        <v>0</v>
      </c>
      <c r="BS157" s="23">
        <f>$L157*AL157</f>
        <v>0</v>
      </c>
      <c r="BT157" s="23">
        <f>$L157*AM157</f>
        <v>0</v>
      </c>
      <c r="BU157" s="23">
        <f>$L157*AN157</f>
        <v>0</v>
      </c>
      <c r="BV157" s="23">
        <f>$L157*AO157</f>
        <v>0</v>
      </c>
      <c r="BW157" s="23">
        <f>$L157*AP157</f>
        <v>0</v>
      </c>
      <c r="BX157" s="23">
        <f>$L157*AQ157</f>
        <v>0</v>
      </c>
      <c r="BY157" s="23">
        <f>$L157*AR157</f>
        <v>0</v>
      </c>
      <c r="BZ157" s="23">
        <f>$L157*AS157</f>
        <v>0</v>
      </c>
      <c r="CA157" s="23">
        <f>$L157*AT157</f>
        <v>0</v>
      </c>
      <c r="CB157" s="23">
        <f>$L157*AU157</f>
        <v>0</v>
      </c>
      <c r="CC157" s="23">
        <f>$L157*AV157</f>
        <v>0</v>
      </c>
      <c r="CD157" s="23">
        <f>$L157*AW157</f>
        <v>0</v>
      </c>
      <c r="CE157" s="23">
        <f>$L157*AX157</f>
        <v>0</v>
      </c>
      <c r="CF157" s="23">
        <f>$L157*AY157</f>
        <v>0</v>
      </c>
      <c r="CG157" s="23">
        <f>$L157*AZ157</f>
        <v>0</v>
      </c>
      <c r="CH157" s="23">
        <f>$L157*BA157</f>
        <v>0</v>
      </c>
      <c r="CI157" s="23">
        <f>$L157*BB157</f>
        <v>0</v>
      </c>
      <c r="CJ157" s="23">
        <f>$L157*BC157</f>
        <v>0</v>
      </c>
      <c r="CK157" s="23">
        <f>$L157*BD157</f>
        <v>0</v>
      </c>
      <c r="CL157" s="23">
        <f>$L157*BE157</f>
        <v>0</v>
      </c>
      <c r="CM157" s="23">
        <f>$L157*BF157</f>
        <v>0</v>
      </c>
      <c r="CN157" s="23">
        <f>$L157*BG157</f>
        <v>1</v>
      </c>
      <c r="CO157" s="23">
        <f>$L157*BH157</f>
        <v>1</v>
      </c>
      <c r="CP157" s="23">
        <f>$L157*BI157</f>
        <v>1</v>
      </c>
      <c r="CQ157" s="23">
        <f>$L157*BJ157</f>
        <v>1</v>
      </c>
      <c r="CR157" s="23">
        <f>$L157*BK157</f>
        <v>1</v>
      </c>
      <c r="CS157" s="23">
        <f>$L157*BL157</f>
        <v>1</v>
      </c>
      <c r="CT157" s="23">
        <f>$L157*BM157</f>
        <v>1</v>
      </c>
      <c r="CU157" s="23">
        <f>$L157*BN157</f>
        <v>1</v>
      </c>
      <c r="CV157" s="23">
        <f>$L157*BO157</f>
        <v>1</v>
      </c>
    </row>
    <row r="158" spans="1:100" ht="13.5" x14ac:dyDescent="0.15">
      <c r="A158" s="15">
        <v>77</v>
      </c>
      <c r="B158" s="28" t="s">
        <v>541</v>
      </c>
      <c r="C158" t="s">
        <v>414</v>
      </c>
      <c r="E158" t="s">
        <v>140</v>
      </c>
      <c r="F158" t="s">
        <v>415</v>
      </c>
      <c r="G158" t="s">
        <v>140</v>
      </c>
      <c r="H158" t="s">
        <v>141</v>
      </c>
      <c r="I158" s="6" t="s">
        <v>136</v>
      </c>
      <c r="J158" s="6">
        <v>0</v>
      </c>
      <c r="L158" s="15">
        <v>1</v>
      </c>
      <c r="M158" s="7">
        <v>46080</v>
      </c>
      <c r="N158" s="7">
        <v>46104</v>
      </c>
      <c r="O158" s="7">
        <v>46100</v>
      </c>
      <c r="P158" s="7">
        <v>46100</v>
      </c>
      <c r="R158" s="6" t="s">
        <v>418</v>
      </c>
      <c r="S158" s="6" t="s">
        <v>140</v>
      </c>
      <c r="U158" s="6" t="s">
        <v>413</v>
      </c>
      <c r="V158" s="6" t="str">
        <f>TEXT(N158,"YY/MM")</f>
        <v>26/03</v>
      </c>
      <c r="W158">
        <v>1530</v>
      </c>
      <c r="AA158">
        <v>884</v>
      </c>
      <c r="AC158">
        <v>937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1</v>
      </c>
      <c r="BH158" s="23">
        <v>1</v>
      </c>
      <c r="BI158" s="23">
        <v>1</v>
      </c>
      <c r="BJ158" s="23">
        <v>1</v>
      </c>
      <c r="BK158" s="23">
        <v>1</v>
      </c>
      <c r="BL158" s="23">
        <v>1</v>
      </c>
      <c r="BM158" s="23">
        <v>1</v>
      </c>
      <c r="BN158" s="23">
        <v>1</v>
      </c>
      <c r="BO158" s="23">
        <v>1</v>
      </c>
      <c r="BP158" s="23">
        <f>$L158*AI158</f>
        <v>0</v>
      </c>
      <c r="BQ158" s="23">
        <f>$L158*AJ158</f>
        <v>0</v>
      </c>
      <c r="BR158" s="23">
        <f>$L158*AK158</f>
        <v>0</v>
      </c>
      <c r="BS158" s="23">
        <f>$L158*AL158</f>
        <v>0</v>
      </c>
      <c r="BT158" s="23">
        <f>$L158*AM158</f>
        <v>0</v>
      </c>
      <c r="BU158" s="23">
        <f>$L158*AN158</f>
        <v>0</v>
      </c>
      <c r="BV158" s="23">
        <f>$L158*AO158</f>
        <v>0</v>
      </c>
      <c r="BW158" s="23">
        <f>$L158*AP158</f>
        <v>0</v>
      </c>
      <c r="BX158" s="23">
        <f>$L158*AQ158</f>
        <v>0</v>
      </c>
      <c r="BY158" s="23">
        <f>$L158*AR158</f>
        <v>0</v>
      </c>
      <c r="BZ158" s="23">
        <f>$L158*AS158</f>
        <v>0</v>
      </c>
      <c r="CA158" s="23">
        <f>$L158*AT158</f>
        <v>0</v>
      </c>
      <c r="CB158" s="23">
        <f>$L158*AU158</f>
        <v>0</v>
      </c>
      <c r="CC158" s="23">
        <f>$L158*AV158</f>
        <v>0</v>
      </c>
      <c r="CD158" s="23">
        <f>$L158*AW158</f>
        <v>0</v>
      </c>
      <c r="CE158" s="23">
        <f>$L158*AX158</f>
        <v>0</v>
      </c>
      <c r="CF158" s="23">
        <f>$L158*AY158</f>
        <v>0</v>
      </c>
      <c r="CG158" s="23">
        <f>$L158*AZ158</f>
        <v>0</v>
      </c>
      <c r="CH158" s="23">
        <f>$L158*BA158</f>
        <v>0</v>
      </c>
      <c r="CI158" s="23">
        <f>$L158*BB158</f>
        <v>0</v>
      </c>
      <c r="CJ158" s="23">
        <f>$L158*BC158</f>
        <v>0</v>
      </c>
      <c r="CK158" s="23">
        <f>$L158*BD158</f>
        <v>0</v>
      </c>
      <c r="CL158" s="23">
        <f>$L158*BE158</f>
        <v>0</v>
      </c>
      <c r="CM158" s="23">
        <f>$L158*BF158</f>
        <v>0</v>
      </c>
      <c r="CN158" s="23">
        <f>$L158*BG158</f>
        <v>1</v>
      </c>
      <c r="CO158" s="23">
        <f>$L158*BH158</f>
        <v>1</v>
      </c>
      <c r="CP158" s="23">
        <f>$L158*BI158</f>
        <v>1</v>
      </c>
      <c r="CQ158" s="23">
        <f>$L158*BJ158</f>
        <v>1</v>
      </c>
      <c r="CR158" s="23">
        <f>$L158*BK158</f>
        <v>1</v>
      </c>
      <c r="CS158" s="23">
        <f>$L158*BL158</f>
        <v>1</v>
      </c>
      <c r="CT158" s="23">
        <f>$L158*BM158</f>
        <v>1</v>
      </c>
      <c r="CU158" s="23">
        <f>$L158*BN158</f>
        <v>1</v>
      </c>
      <c r="CV158" s="23">
        <f>$L158*BO158</f>
        <v>1</v>
      </c>
    </row>
    <row r="159" spans="1:100" ht="13.5" x14ac:dyDescent="0.15">
      <c r="A159" s="15">
        <v>77</v>
      </c>
      <c r="B159" s="28" t="s">
        <v>542</v>
      </c>
      <c r="C159" t="s">
        <v>414</v>
      </c>
      <c r="E159" t="s">
        <v>140</v>
      </c>
      <c r="F159" t="s">
        <v>415</v>
      </c>
      <c r="G159" t="s">
        <v>140</v>
      </c>
      <c r="H159" t="s">
        <v>141</v>
      </c>
      <c r="I159" s="6" t="s">
        <v>136</v>
      </c>
      <c r="J159" s="6">
        <v>0</v>
      </c>
      <c r="L159" s="15">
        <v>1</v>
      </c>
      <c r="M159" s="7">
        <v>46080</v>
      </c>
      <c r="N159" s="7">
        <v>46104</v>
      </c>
      <c r="O159" s="7">
        <v>46100</v>
      </c>
      <c r="P159" s="7">
        <v>46100</v>
      </c>
      <c r="R159" s="6" t="s">
        <v>418</v>
      </c>
      <c r="S159" s="6" t="s">
        <v>140</v>
      </c>
      <c r="U159" s="6" t="s">
        <v>413</v>
      </c>
      <c r="V159" s="6" t="str">
        <f>TEXT(N159,"YY/MM")</f>
        <v>26/03</v>
      </c>
      <c r="W159">
        <v>1531</v>
      </c>
      <c r="AA159">
        <v>885</v>
      </c>
      <c r="AC159">
        <v>938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1</v>
      </c>
      <c r="BH159" s="23">
        <v>1</v>
      </c>
      <c r="BI159" s="23">
        <v>1</v>
      </c>
      <c r="BJ159" s="23">
        <v>1</v>
      </c>
      <c r="BK159" s="23">
        <v>1</v>
      </c>
      <c r="BL159" s="23">
        <v>1</v>
      </c>
      <c r="BM159" s="23">
        <v>1</v>
      </c>
      <c r="BN159" s="23">
        <v>1</v>
      </c>
      <c r="BO159" s="23">
        <v>1</v>
      </c>
      <c r="BP159" s="23">
        <f>$L159*AI159</f>
        <v>0</v>
      </c>
      <c r="BQ159" s="23">
        <f>$L159*AJ159</f>
        <v>0</v>
      </c>
      <c r="BR159" s="23">
        <f>$L159*AK159</f>
        <v>0</v>
      </c>
      <c r="BS159" s="23">
        <f>$L159*AL159</f>
        <v>0</v>
      </c>
      <c r="BT159" s="23">
        <f>$L159*AM159</f>
        <v>0</v>
      </c>
      <c r="BU159" s="23">
        <f>$L159*AN159</f>
        <v>0</v>
      </c>
      <c r="BV159" s="23">
        <f>$L159*AO159</f>
        <v>0</v>
      </c>
      <c r="BW159" s="23">
        <f>$L159*AP159</f>
        <v>0</v>
      </c>
      <c r="BX159" s="23">
        <f>$L159*AQ159</f>
        <v>0</v>
      </c>
      <c r="BY159" s="23">
        <f>$L159*AR159</f>
        <v>0</v>
      </c>
      <c r="BZ159" s="23">
        <f>$L159*AS159</f>
        <v>0</v>
      </c>
      <c r="CA159" s="23">
        <f>$L159*AT159</f>
        <v>0</v>
      </c>
      <c r="CB159" s="23">
        <f>$L159*AU159</f>
        <v>0</v>
      </c>
      <c r="CC159" s="23">
        <f>$L159*AV159</f>
        <v>0</v>
      </c>
      <c r="CD159" s="23">
        <f>$L159*AW159</f>
        <v>0</v>
      </c>
      <c r="CE159" s="23">
        <f>$L159*AX159</f>
        <v>0</v>
      </c>
      <c r="CF159" s="23">
        <f>$L159*AY159</f>
        <v>0</v>
      </c>
      <c r="CG159" s="23">
        <f>$L159*AZ159</f>
        <v>0</v>
      </c>
      <c r="CH159" s="23">
        <f>$L159*BA159</f>
        <v>0</v>
      </c>
      <c r="CI159" s="23">
        <f>$L159*BB159</f>
        <v>0</v>
      </c>
      <c r="CJ159" s="23">
        <f>$L159*BC159</f>
        <v>0</v>
      </c>
      <c r="CK159" s="23">
        <f>$L159*BD159</f>
        <v>0</v>
      </c>
      <c r="CL159" s="23">
        <f>$L159*BE159</f>
        <v>0</v>
      </c>
      <c r="CM159" s="23">
        <f>$L159*BF159</f>
        <v>0</v>
      </c>
      <c r="CN159" s="23">
        <f>$L159*BG159</f>
        <v>1</v>
      </c>
      <c r="CO159" s="23">
        <f>$L159*BH159</f>
        <v>1</v>
      </c>
      <c r="CP159" s="23">
        <f>$L159*BI159</f>
        <v>1</v>
      </c>
      <c r="CQ159" s="23">
        <f>$L159*BJ159</f>
        <v>1</v>
      </c>
      <c r="CR159" s="23">
        <f>$L159*BK159</f>
        <v>1</v>
      </c>
      <c r="CS159" s="23">
        <f>$L159*BL159</f>
        <v>1</v>
      </c>
      <c r="CT159" s="23">
        <f>$L159*BM159</f>
        <v>1</v>
      </c>
      <c r="CU159" s="23">
        <f>$L159*BN159</f>
        <v>1</v>
      </c>
      <c r="CV159" s="23">
        <f>$L159*BO159</f>
        <v>1</v>
      </c>
    </row>
    <row r="160" spans="1:100" ht="13.5" x14ac:dyDescent="0.15">
      <c r="A160" s="15">
        <v>77</v>
      </c>
      <c r="B160" s="28" t="s">
        <v>543</v>
      </c>
      <c r="C160" t="s">
        <v>414</v>
      </c>
      <c r="E160" t="s">
        <v>140</v>
      </c>
      <c r="F160" t="s">
        <v>415</v>
      </c>
      <c r="G160" t="s">
        <v>140</v>
      </c>
      <c r="H160" t="s">
        <v>141</v>
      </c>
      <c r="I160" s="6" t="s">
        <v>136</v>
      </c>
      <c r="J160" s="6">
        <v>0</v>
      </c>
      <c r="L160" s="15">
        <v>1</v>
      </c>
      <c r="M160" s="7">
        <v>46080</v>
      </c>
      <c r="N160" s="7">
        <v>46104</v>
      </c>
      <c r="O160" s="7">
        <v>46100</v>
      </c>
      <c r="P160" s="7">
        <v>46100</v>
      </c>
      <c r="R160" s="6" t="s">
        <v>418</v>
      </c>
      <c r="S160" s="6" t="s">
        <v>140</v>
      </c>
      <c r="U160" s="6" t="s">
        <v>413</v>
      </c>
      <c r="V160" s="6" t="str">
        <f>TEXT(N160,"YY/MM")</f>
        <v>26/03</v>
      </c>
      <c r="W160">
        <v>1532</v>
      </c>
      <c r="AA160">
        <v>886</v>
      </c>
      <c r="AC160">
        <v>939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1</v>
      </c>
      <c r="BP160" s="23">
        <f>$L160*AI160</f>
        <v>0</v>
      </c>
      <c r="BQ160" s="23">
        <f>$L160*AJ160</f>
        <v>0</v>
      </c>
      <c r="BR160" s="23">
        <f>$L160*AK160</f>
        <v>0</v>
      </c>
      <c r="BS160" s="23">
        <f>$L160*AL160</f>
        <v>0</v>
      </c>
      <c r="BT160" s="23">
        <f>$L160*AM160</f>
        <v>0</v>
      </c>
      <c r="BU160" s="23">
        <f>$L160*AN160</f>
        <v>0</v>
      </c>
      <c r="BV160" s="23">
        <f>$L160*AO160</f>
        <v>0</v>
      </c>
      <c r="BW160" s="23">
        <f>$L160*AP160</f>
        <v>0</v>
      </c>
      <c r="BX160" s="23">
        <f>$L160*AQ160</f>
        <v>0</v>
      </c>
      <c r="BY160" s="23">
        <f>$L160*AR160</f>
        <v>0</v>
      </c>
      <c r="BZ160" s="23">
        <f>$L160*AS160</f>
        <v>0</v>
      </c>
      <c r="CA160" s="23">
        <f>$L160*AT160</f>
        <v>0</v>
      </c>
      <c r="CB160" s="23">
        <f>$L160*AU160</f>
        <v>0</v>
      </c>
      <c r="CC160" s="23">
        <f>$L160*AV160</f>
        <v>0</v>
      </c>
      <c r="CD160" s="23">
        <f>$L160*AW160</f>
        <v>0</v>
      </c>
      <c r="CE160" s="23">
        <f>$L160*AX160</f>
        <v>0</v>
      </c>
      <c r="CF160" s="23">
        <f>$L160*AY160</f>
        <v>0</v>
      </c>
      <c r="CG160" s="23">
        <f>$L160*AZ160</f>
        <v>0</v>
      </c>
      <c r="CH160" s="23">
        <f>$L160*BA160</f>
        <v>0</v>
      </c>
      <c r="CI160" s="23">
        <f>$L160*BB160</f>
        <v>0</v>
      </c>
      <c r="CJ160" s="23">
        <f>$L160*BC160</f>
        <v>0</v>
      </c>
      <c r="CK160" s="23">
        <f>$L160*BD160</f>
        <v>0</v>
      </c>
      <c r="CL160" s="23">
        <f>$L160*BE160</f>
        <v>0</v>
      </c>
      <c r="CM160" s="23">
        <f>$L160*BF160</f>
        <v>0</v>
      </c>
      <c r="CN160" s="23">
        <f>$L160*BG160</f>
        <v>1</v>
      </c>
      <c r="CO160" s="23">
        <f>$L160*BH160</f>
        <v>1</v>
      </c>
      <c r="CP160" s="23">
        <f>$L160*BI160</f>
        <v>1</v>
      </c>
      <c r="CQ160" s="23">
        <f>$L160*BJ160</f>
        <v>1</v>
      </c>
      <c r="CR160" s="23">
        <f>$L160*BK160</f>
        <v>1</v>
      </c>
      <c r="CS160" s="23">
        <f>$L160*BL160</f>
        <v>1</v>
      </c>
      <c r="CT160" s="23">
        <f>$L160*BM160</f>
        <v>1</v>
      </c>
      <c r="CU160" s="23">
        <f>$L160*BN160</f>
        <v>1</v>
      </c>
      <c r="CV160" s="23">
        <f>$L160*BO160</f>
        <v>1</v>
      </c>
    </row>
    <row r="161" spans="1:100" ht="13.5" x14ac:dyDescent="0.15">
      <c r="A161" s="15">
        <v>77</v>
      </c>
      <c r="B161" s="28" t="s">
        <v>544</v>
      </c>
      <c r="C161" t="s">
        <v>414</v>
      </c>
      <c r="E161" t="s">
        <v>140</v>
      </c>
      <c r="F161" t="s">
        <v>415</v>
      </c>
      <c r="G161" t="s">
        <v>140</v>
      </c>
      <c r="H161" t="s">
        <v>141</v>
      </c>
      <c r="I161" s="6" t="s">
        <v>136</v>
      </c>
      <c r="J161" s="6">
        <v>0</v>
      </c>
      <c r="L161" s="15">
        <v>1</v>
      </c>
      <c r="M161" s="7">
        <v>46080</v>
      </c>
      <c r="N161" s="7">
        <v>46105</v>
      </c>
      <c r="O161" s="7">
        <v>46100</v>
      </c>
      <c r="P161" s="7">
        <v>46100</v>
      </c>
      <c r="R161" s="6" t="s">
        <v>418</v>
      </c>
      <c r="S161" s="6" t="s">
        <v>140</v>
      </c>
      <c r="U161" s="6" t="s">
        <v>413</v>
      </c>
      <c r="V161" s="6" t="str">
        <f>TEXT(N161,"YY/MM")</f>
        <v>26/03</v>
      </c>
      <c r="W161">
        <v>1533</v>
      </c>
      <c r="AA161">
        <v>887</v>
      </c>
      <c r="AC161">
        <v>940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1</v>
      </c>
      <c r="BH161" s="23">
        <v>1</v>
      </c>
      <c r="BI161" s="23">
        <v>1</v>
      </c>
      <c r="BJ161" s="23">
        <v>1</v>
      </c>
      <c r="BK161" s="23">
        <v>1</v>
      </c>
      <c r="BL161" s="23">
        <v>1</v>
      </c>
      <c r="BM161" s="23">
        <v>1</v>
      </c>
      <c r="BN161" s="23">
        <v>1</v>
      </c>
      <c r="BO161" s="23">
        <v>1</v>
      </c>
      <c r="BP161" s="23">
        <f>$L161*AI161</f>
        <v>0</v>
      </c>
      <c r="BQ161" s="23">
        <f>$L161*AJ161</f>
        <v>0</v>
      </c>
      <c r="BR161" s="23">
        <f>$L161*AK161</f>
        <v>0</v>
      </c>
      <c r="BS161" s="23">
        <f>$L161*AL161</f>
        <v>0</v>
      </c>
      <c r="BT161" s="23">
        <f>$L161*AM161</f>
        <v>0</v>
      </c>
      <c r="BU161" s="23">
        <f>$L161*AN161</f>
        <v>0</v>
      </c>
      <c r="BV161" s="23">
        <f>$L161*AO161</f>
        <v>0</v>
      </c>
      <c r="BW161" s="23">
        <f>$L161*AP161</f>
        <v>0</v>
      </c>
      <c r="BX161" s="23">
        <f>$L161*AQ161</f>
        <v>0</v>
      </c>
      <c r="BY161" s="23">
        <f>$L161*AR161</f>
        <v>0</v>
      </c>
      <c r="BZ161" s="23">
        <f>$L161*AS161</f>
        <v>0</v>
      </c>
      <c r="CA161" s="23">
        <f>$L161*AT161</f>
        <v>0</v>
      </c>
      <c r="CB161" s="23">
        <f>$L161*AU161</f>
        <v>0</v>
      </c>
      <c r="CC161" s="23">
        <f>$L161*AV161</f>
        <v>0</v>
      </c>
      <c r="CD161" s="23">
        <f>$L161*AW161</f>
        <v>0</v>
      </c>
      <c r="CE161" s="23">
        <f>$L161*AX161</f>
        <v>0</v>
      </c>
      <c r="CF161" s="23">
        <f>$L161*AY161</f>
        <v>0</v>
      </c>
      <c r="CG161" s="23">
        <f>$L161*AZ161</f>
        <v>0</v>
      </c>
      <c r="CH161" s="23">
        <f>$L161*BA161</f>
        <v>0</v>
      </c>
      <c r="CI161" s="23">
        <f>$L161*BB161</f>
        <v>0</v>
      </c>
      <c r="CJ161" s="23">
        <f>$L161*BC161</f>
        <v>0</v>
      </c>
      <c r="CK161" s="23">
        <f>$L161*BD161</f>
        <v>0</v>
      </c>
      <c r="CL161" s="23">
        <f>$L161*BE161</f>
        <v>0</v>
      </c>
      <c r="CM161" s="23">
        <f>$L161*BF161</f>
        <v>0</v>
      </c>
      <c r="CN161" s="23">
        <f>$L161*BG161</f>
        <v>1</v>
      </c>
      <c r="CO161" s="23">
        <f>$L161*BH161</f>
        <v>1</v>
      </c>
      <c r="CP161" s="23">
        <f>$L161*BI161</f>
        <v>1</v>
      </c>
      <c r="CQ161" s="23">
        <f>$L161*BJ161</f>
        <v>1</v>
      </c>
      <c r="CR161" s="23">
        <f>$L161*BK161</f>
        <v>1</v>
      </c>
      <c r="CS161" s="23">
        <f>$L161*BL161</f>
        <v>1</v>
      </c>
      <c r="CT161" s="23">
        <f>$L161*BM161</f>
        <v>1</v>
      </c>
      <c r="CU161" s="23">
        <f>$L161*BN161</f>
        <v>1</v>
      </c>
      <c r="CV161" s="23">
        <f>$L161*BO161</f>
        <v>1</v>
      </c>
    </row>
    <row r="162" spans="1:100" ht="13.5" x14ac:dyDescent="0.15">
      <c r="A162" s="15">
        <v>77</v>
      </c>
      <c r="B162" s="28" t="s">
        <v>545</v>
      </c>
      <c r="C162" t="s">
        <v>414</v>
      </c>
      <c r="E162" t="s">
        <v>140</v>
      </c>
      <c r="F162" t="s">
        <v>415</v>
      </c>
      <c r="G162" t="s">
        <v>140</v>
      </c>
      <c r="H162" t="s">
        <v>141</v>
      </c>
      <c r="I162" s="6" t="s">
        <v>136</v>
      </c>
      <c r="J162" s="6">
        <v>0</v>
      </c>
      <c r="L162" s="15">
        <v>1</v>
      </c>
      <c r="M162" s="7">
        <v>46080</v>
      </c>
      <c r="N162" s="7">
        <v>46105</v>
      </c>
      <c r="O162" s="7">
        <v>46100</v>
      </c>
      <c r="P162" s="7">
        <v>46100</v>
      </c>
      <c r="R162" s="6" t="s">
        <v>418</v>
      </c>
      <c r="S162" s="6" t="s">
        <v>140</v>
      </c>
      <c r="U162" s="6" t="s">
        <v>413</v>
      </c>
      <c r="V162" s="6" t="str">
        <f>TEXT(N162,"YY/MM")</f>
        <v>26/03</v>
      </c>
      <c r="W162">
        <v>1534</v>
      </c>
      <c r="AA162">
        <v>888</v>
      </c>
      <c r="AC162">
        <v>941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1</v>
      </c>
      <c r="BH162" s="23">
        <v>1</v>
      </c>
      <c r="BI162" s="23">
        <v>1</v>
      </c>
      <c r="BJ162" s="23">
        <v>1</v>
      </c>
      <c r="BK162" s="23">
        <v>1</v>
      </c>
      <c r="BL162" s="23">
        <v>1</v>
      </c>
      <c r="BM162" s="23">
        <v>1</v>
      </c>
      <c r="BN162" s="23">
        <v>1</v>
      </c>
      <c r="BO162" s="23">
        <v>1</v>
      </c>
      <c r="BP162" s="23">
        <f>$L162*AI162</f>
        <v>0</v>
      </c>
      <c r="BQ162" s="23">
        <f>$L162*AJ162</f>
        <v>0</v>
      </c>
      <c r="BR162" s="23">
        <f>$L162*AK162</f>
        <v>0</v>
      </c>
      <c r="BS162" s="23">
        <f>$L162*AL162</f>
        <v>0</v>
      </c>
      <c r="BT162" s="23">
        <f>$L162*AM162</f>
        <v>0</v>
      </c>
      <c r="BU162" s="23">
        <f>$L162*AN162</f>
        <v>0</v>
      </c>
      <c r="BV162" s="23">
        <f>$L162*AO162</f>
        <v>0</v>
      </c>
      <c r="BW162" s="23">
        <f>$L162*AP162</f>
        <v>0</v>
      </c>
      <c r="BX162" s="23">
        <f>$L162*AQ162</f>
        <v>0</v>
      </c>
      <c r="BY162" s="23">
        <f>$L162*AR162</f>
        <v>0</v>
      </c>
      <c r="BZ162" s="23">
        <f>$L162*AS162</f>
        <v>0</v>
      </c>
      <c r="CA162" s="23">
        <f>$L162*AT162</f>
        <v>0</v>
      </c>
      <c r="CB162" s="23">
        <f>$L162*AU162</f>
        <v>0</v>
      </c>
      <c r="CC162" s="23">
        <f>$L162*AV162</f>
        <v>0</v>
      </c>
      <c r="CD162" s="23">
        <f>$L162*AW162</f>
        <v>0</v>
      </c>
      <c r="CE162" s="23">
        <f>$L162*AX162</f>
        <v>0</v>
      </c>
      <c r="CF162" s="23">
        <f>$L162*AY162</f>
        <v>0</v>
      </c>
      <c r="CG162" s="23">
        <f>$L162*AZ162</f>
        <v>0</v>
      </c>
      <c r="CH162" s="23">
        <f>$L162*BA162</f>
        <v>0</v>
      </c>
      <c r="CI162" s="23">
        <f>$L162*BB162</f>
        <v>0</v>
      </c>
      <c r="CJ162" s="23">
        <f>$L162*BC162</f>
        <v>0</v>
      </c>
      <c r="CK162" s="23">
        <f>$L162*BD162</f>
        <v>0</v>
      </c>
      <c r="CL162" s="23">
        <f>$L162*BE162</f>
        <v>0</v>
      </c>
      <c r="CM162" s="23">
        <f>$L162*BF162</f>
        <v>0</v>
      </c>
      <c r="CN162" s="23">
        <f>$L162*BG162</f>
        <v>1</v>
      </c>
      <c r="CO162" s="23">
        <f>$L162*BH162</f>
        <v>1</v>
      </c>
      <c r="CP162" s="23">
        <f>$L162*BI162</f>
        <v>1</v>
      </c>
      <c r="CQ162" s="23">
        <f>$L162*BJ162</f>
        <v>1</v>
      </c>
      <c r="CR162" s="23">
        <f>$L162*BK162</f>
        <v>1</v>
      </c>
      <c r="CS162" s="23">
        <f>$L162*BL162</f>
        <v>1</v>
      </c>
      <c r="CT162" s="23">
        <f>$L162*BM162</f>
        <v>1</v>
      </c>
      <c r="CU162" s="23">
        <f>$L162*BN162</f>
        <v>1</v>
      </c>
      <c r="CV162" s="23">
        <f>$L162*BO162</f>
        <v>1</v>
      </c>
    </row>
    <row r="163" spans="1:100" ht="13.5" x14ac:dyDescent="0.15">
      <c r="A163" s="15">
        <v>77</v>
      </c>
      <c r="B163" s="28" t="s">
        <v>546</v>
      </c>
      <c r="C163" t="s">
        <v>414</v>
      </c>
      <c r="E163" t="s">
        <v>140</v>
      </c>
      <c r="F163" t="s">
        <v>415</v>
      </c>
      <c r="G163" t="s">
        <v>140</v>
      </c>
      <c r="H163" t="s">
        <v>141</v>
      </c>
      <c r="I163" s="6" t="s">
        <v>136</v>
      </c>
      <c r="J163" s="6">
        <v>0</v>
      </c>
      <c r="L163" s="15">
        <v>1</v>
      </c>
      <c r="M163" s="7">
        <v>46080</v>
      </c>
      <c r="N163" s="7">
        <v>46105</v>
      </c>
      <c r="O163" s="7">
        <v>46100</v>
      </c>
      <c r="P163" s="7">
        <v>46100</v>
      </c>
      <c r="R163" s="6" t="s">
        <v>418</v>
      </c>
      <c r="S163" s="6" t="s">
        <v>140</v>
      </c>
      <c r="U163" s="6" t="s">
        <v>413</v>
      </c>
      <c r="V163" s="6" t="str">
        <f>TEXT(N163,"YY/MM")</f>
        <v>26/03</v>
      </c>
      <c r="W163">
        <v>1535</v>
      </c>
      <c r="AA163">
        <v>889</v>
      </c>
      <c r="AC163">
        <v>942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1</v>
      </c>
      <c r="BH163" s="23">
        <v>1</v>
      </c>
      <c r="BI163" s="23">
        <v>1</v>
      </c>
      <c r="BJ163" s="23">
        <v>1</v>
      </c>
      <c r="BK163" s="23">
        <v>1</v>
      </c>
      <c r="BL163" s="23">
        <v>1</v>
      </c>
      <c r="BM163" s="23">
        <v>1</v>
      </c>
      <c r="BN163" s="23">
        <v>1</v>
      </c>
      <c r="BO163" s="23">
        <v>1</v>
      </c>
      <c r="BP163" s="23">
        <f>$L163*AI163</f>
        <v>0</v>
      </c>
      <c r="BQ163" s="23">
        <f>$L163*AJ163</f>
        <v>0</v>
      </c>
      <c r="BR163" s="23">
        <f>$L163*AK163</f>
        <v>0</v>
      </c>
      <c r="BS163" s="23">
        <f>$L163*AL163</f>
        <v>0</v>
      </c>
      <c r="BT163" s="23">
        <f>$L163*AM163</f>
        <v>0</v>
      </c>
      <c r="BU163" s="23">
        <f>$L163*AN163</f>
        <v>0</v>
      </c>
      <c r="BV163" s="23">
        <f>$L163*AO163</f>
        <v>0</v>
      </c>
      <c r="BW163" s="23">
        <f>$L163*AP163</f>
        <v>0</v>
      </c>
      <c r="BX163" s="23">
        <f>$L163*AQ163</f>
        <v>0</v>
      </c>
      <c r="BY163" s="23">
        <f>$L163*AR163</f>
        <v>0</v>
      </c>
      <c r="BZ163" s="23">
        <f>$L163*AS163</f>
        <v>0</v>
      </c>
      <c r="CA163" s="23">
        <f>$L163*AT163</f>
        <v>0</v>
      </c>
      <c r="CB163" s="23">
        <f>$L163*AU163</f>
        <v>0</v>
      </c>
      <c r="CC163" s="23">
        <f>$L163*AV163</f>
        <v>0</v>
      </c>
      <c r="CD163" s="23">
        <f>$L163*AW163</f>
        <v>0</v>
      </c>
      <c r="CE163" s="23">
        <f>$L163*AX163</f>
        <v>0</v>
      </c>
      <c r="CF163" s="23">
        <f>$L163*AY163</f>
        <v>0</v>
      </c>
      <c r="CG163" s="23">
        <f>$L163*AZ163</f>
        <v>0</v>
      </c>
      <c r="CH163" s="23">
        <f>$L163*BA163</f>
        <v>0</v>
      </c>
      <c r="CI163" s="23">
        <f>$L163*BB163</f>
        <v>0</v>
      </c>
      <c r="CJ163" s="23">
        <f>$L163*BC163</f>
        <v>0</v>
      </c>
      <c r="CK163" s="23">
        <f>$L163*BD163</f>
        <v>0</v>
      </c>
      <c r="CL163" s="23">
        <f>$L163*BE163</f>
        <v>0</v>
      </c>
      <c r="CM163" s="23">
        <f>$L163*BF163</f>
        <v>0</v>
      </c>
      <c r="CN163" s="23">
        <f>$L163*BG163</f>
        <v>1</v>
      </c>
      <c r="CO163" s="23">
        <f>$L163*BH163</f>
        <v>1</v>
      </c>
      <c r="CP163" s="23">
        <f>$L163*BI163</f>
        <v>1</v>
      </c>
      <c r="CQ163" s="23">
        <f>$L163*BJ163</f>
        <v>1</v>
      </c>
      <c r="CR163" s="23">
        <f>$L163*BK163</f>
        <v>1</v>
      </c>
      <c r="CS163" s="23">
        <f>$L163*BL163</f>
        <v>1</v>
      </c>
      <c r="CT163" s="23">
        <f>$L163*BM163</f>
        <v>1</v>
      </c>
      <c r="CU163" s="23">
        <f>$L163*BN163</f>
        <v>1</v>
      </c>
      <c r="CV163" s="23">
        <f>$L163*BO163</f>
        <v>1</v>
      </c>
    </row>
    <row r="164" spans="1:100" ht="13.5" x14ac:dyDescent="0.15">
      <c r="A164" s="15">
        <v>77</v>
      </c>
      <c r="B164" s="28" t="s">
        <v>547</v>
      </c>
      <c r="C164" t="s">
        <v>414</v>
      </c>
      <c r="E164" t="s">
        <v>140</v>
      </c>
      <c r="F164" t="s">
        <v>415</v>
      </c>
      <c r="G164" t="s">
        <v>140</v>
      </c>
      <c r="H164" t="s">
        <v>141</v>
      </c>
      <c r="I164" s="6" t="s">
        <v>136</v>
      </c>
      <c r="J164" s="6">
        <v>0</v>
      </c>
      <c r="L164" s="15">
        <v>1</v>
      </c>
      <c r="M164" s="7">
        <v>46080</v>
      </c>
      <c r="N164" s="7">
        <v>46106</v>
      </c>
      <c r="O164" s="7">
        <v>46100</v>
      </c>
      <c r="P164" s="7">
        <v>46100</v>
      </c>
      <c r="R164" s="6" t="s">
        <v>418</v>
      </c>
      <c r="S164" s="6" t="s">
        <v>140</v>
      </c>
      <c r="U164" s="6" t="s">
        <v>413</v>
      </c>
      <c r="V164" s="6" t="str">
        <f>TEXT(N164,"YY/MM")</f>
        <v>26/03</v>
      </c>
      <c r="W164">
        <v>1536</v>
      </c>
      <c r="AA164">
        <v>890</v>
      </c>
      <c r="AC164">
        <v>943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1</v>
      </c>
      <c r="BH164" s="23">
        <v>1</v>
      </c>
      <c r="BI164" s="23">
        <v>1</v>
      </c>
      <c r="BJ164" s="23">
        <v>1</v>
      </c>
      <c r="BK164" s="23">
        <v>1</v>
      </c>
      <c r="BL164" s="23">
        <v>1</v>
      </c>
      <c r="BM164" s="23">
        <v>1</v>
      </c>
      <c r="BN164" s="23">
        <v>1</v>
      </c>
      <c r="BO164" s="23">
        <v>1</v>
      </c>
      <c r="BP164" s="23">
        <f>$L164*AI164</f>
        <v>0</v>
      </c>
      <c r="BQ164" s="23">
        <f>$L164*AJ164</f>
        <v>0</v>
      </c>
      <c r="BR164" s="23">
        <f>$L164*AK164</f>
        <v>0</v>
      </c>
      <c r="BS164" s="23">
        <f>$L164*AL164</f>
        <v>0</v>
      </c>
      <c r="BT164" s="23">
        <f>$L164*AM164</f>
        <v>0</v>
      </c>
      <c r="BU164" s="23">
        <f>$L164*AN164</f>
        <v>0</v>
      </c>
      <c r="BV164" s="23">
        <f>$L164*AO164</f>
        <v>0</v>
      </c>
      <c r="BW164" s="23">
        <f>$L164*AP164</f>
        <v>0</v>
      </c>
      <c r="BX164" s="23">
        <f>$L164*AQ164</f>
        <v>0</v>
      </c>
      <c r="BY164" s="23">
        <f>$L164*AR164</f>
        <v>0</v>
      </c>
      <c r="BZ164" s="23">
        <f>$L164*AS164</f>
        <v>0</v>
      </c>
      <c r="CA164" s="23">
        <f>$L164*AT164</f>
        <v>0</v>
      </c>
      <c r="CB164" s="23">
        <f>$L164*AU164</f>
        <v>0</v>
      </c>
      <c r="CC164" s="23">
        <f>$L164*AV164</f>
        <v>0</v>
      </c>
      <c r="CD164" s="23">
        <f>$L164*AW164</f>
        <v>0</v>
      </c>
      <c r="CE164" s="23">
        <f>$L164*AX164</f>
        <v>0</v>
      </c>
      <c r="CF164" s="23">
        <f>$L164*AY164</f>
        <v>0</v>
      </c>
      <c r="CG164" s="23">
        <f>$L164*AZ164</f>
        <v>0</v>
      </c>
      <c r="CH164" s="23">
        <f>$L164*BA164</f>
        <v>0</v>
      </c>
      <c r="CI164" s="23">
        <f>$L164*BB164</f>
        <v>0</v>
      </c>
      <c r="CJ164" s="23">
        <f>$L164*BC164</f>
        <v>0</v>
      </c>
      <c r="CK164" s="23">
        <f>$L164*BD164</f>
        <v>0</v>
      </c>
      <c r="CL164" s="23">
        <f>$L164*BE164</f>
        <v>0</v>
      </c>
      <c r="CM164" s="23">
        <f>$L164*BF164</f>
        <v>0</v>
      </c>
      <c r="CN164" s="23">
        <f>$L164*BG164</f>
        <v>1</v>
      </c>
      <c r="CO164" s="23">
        <f>$L164*BH164</f>
        <v>1</v>
      </c>
      <c r="CP164" s="23">
        <f>$L164*BI164</f>
        <v>1</v>
      </c>
      <c r="CQ164" s="23">
        <f>$L164*BJ164</f>
        <v>1</v>
      </c>
      <c r="CR164" s="23">
        <f>$L164*BK164</f>
        <v>1</v>
      </c>
      <c r="CS164" s="23">
        <f>$L164*BL164</f>
        <v>1</v>
      </c>
      <c r="CT164" s="23">
        <f>$L164*BM164</f>
        <v>1</v>
      </c>
      <c r="CU164" s="23">
        <f>$L164*BN164</f>
        <v>1</v>
      </c>
      <c r="CV164" s="23">
        <f>$L164*BO164</f>
        <v>1</v>
      </c>
    </row>
    <row r="165" spans="1:100" ht="13.5" x14ac:dyDescent="0.15">
      <c r="A165" s="15">
        <v>77</v>
      </c>
      <c r="B165" s="28" t="s">
        <v>548</v>
      </c>
      <c r="C165" t="s">
        <v>414</v>
      </c>
      <c r="E165" t="s">
        <v>140</v>
      </c>
      <c r="F165" t="s">
        <v>415</v>
      </c>
      <c r="G165" t="s">
        <v>140</v>
      </c>
      <c r="H165" t="s">
        <v>141</v>
      </c>
      <c r="I165" s="6" t="s">
        <v>136</v>
      </c>
      <c r="J165" s="6">
        <v>0</v>
      </c>
      <c r="L165" s="15">
        <v>1</v>
      </c>
      <c r="M165" s="7">
        <v>46080</v>
      </c>
      <c r="N165" s="7">
        <v>46106</v>
      </c>
      <c r="O165" s="7">
        <v>46100</v>
      </c>
      <c r="P165" s="7">
        <v>46100</v>
      </c>
      <c r="R165" s="6" t="s">
        <v>418</v>
      </c>
      <c r="S165" s="6" t="s">
        <v>140</v>
      </c>
      <c r="U165" s="6" t="s">
        <v>413</v>
      </c>
      <c r="V165" s="6" t="str">
        <f>TEXT(N165,"YY/MM")</f>
        <v>26/03</v>
      </c>
      <c r="W165">
        <v>1537</v>
      </c>
      <c r="AA165">
        <v>891</v>
      </c>
      <c r="AC165">
        <v>944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1</v>
      </c>
      <c r="BH165" s="23">
        <v>1</v>
      </c>
      <c r="BI165" s="23">
        <v>1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1</v>
      </c>
      <c r="BP165" s="23">
        <f>$L165*AI165</f>
        <v>0</v>
      </c>
      <c r="BQ165" s="23">
        <f>$L165*AJ165</f>
        <v>0</v>
      </c>
      <c r="BR165" s="23">
        <f>$L165*AK165</f>
        <v>0</v>
      </c>
      <c r="BS165" s="23">
        <f>$L165*AL165</f>
        <v>0</v>
      </c>
      <c r="BT165" s="23">
        <f>$L165*AM165</f>
        <v>0</v>
      </c>
      <c r="BU165" s="23">
        <f>$L165*AN165</f>
        <v>0</v>
      </c>
      <c r="BV165" s="23">
        <f>$L165*AO165</f>
        <v>0</v>
      </c>
      <c r="BW165" s="23">
        <f>$L165*AP165</f>
        <v>0</v>
      </c>
      <c r="BX165" s="23">
        <f>$L165*AQ165</f>
        <v>0</v>
      </c>
      <c r="BY165" s="23">
        <f>$L165*AR165</f>
        <v>0</v>
      </c>
      <c r="BZ165" s="23">
        <f>$L165*AS165</f>
        <v>0</v>
      </c>
      <c r="CA165" s="23">
        <f>$L165*AT165</f>
        <v>0</v>
      </c>
      <c r="CB165" s="23">
        <f>$L165*AU165</f>
        <v>0</v>
      </c>
      <c r="CC165" s="23">
        <f>$L165*AV165</f>
        <v>0</v>
      </c>
      <c r="CD165" s="23">
        <f>$L165*AW165</f>
        <v>0</v>
      </c>
      <c r="CE165" s="23">
        <f>$L165*AX165</f>
        <v>0</v>
      </c>
      <c r="CF165" s="23">
        <f>$L165*AY165</f>
        <v>0</v>
      </c>
      <c r="CG165" s="23">
        <f>$L165*AZ165</f>
        <v>0</v>
      </c>
      <c r="CH165" s="23">
        <f>$L165*BA165</f>
        <v>0</v>
      </c>
      <c r="CI165" s="23">
        <f>$L165*BB165</f>
        <v>0</v>
      </c>
      <c r="CJ165" s="23">
        <f>$L165*BC165</f>
        <v>0</v>
      </c>
      <c r="CK165" s="23">
        <f>$L165*BD165</f>
        <v>0</v>
      </c>
      <c r="CL165" s="23">
        <f>$L165*BE165</f>
        <v>0</v>
      </c>
      <c r="CM165" s="23">
        <f>$L165*BF165</f>
        <v>0</v>
      </c>
      <c r="CN165" s="23">
        <f>$L165*BG165</f>
        <v>1</v>
      </c>
      <c r="CO165" s="23">
        <f>$L165*BH165</f>
        <v>1</v>
      </c>
      <c r="CP165" s="23">
        <f>$L165*BI165</f>
        <v>1</v>
      </c>
      <c r="CQ165" s="23">
        <f>$L165*BJ165</f>
        <v>1</v>
      </c>
      <c r="CR165" s="23">
        <f>$L165*BK165</f>
        <v>1</v>
      </c>
      <c r="CS165" s="23">
        <f>$L165*BL165</f>
        <v>1</v>
      </c>
      <c r="CT165" s="23">
        <f>$L165*BM165</f>
        <v>1</v>
      </c>
      <c r="CU165" s="23">
        <f>$L165*BN165</f>
        <v>1</v>
      </c>
      <c r="CV165" s="23">
        <f>$L165*BO165</f>
        <v>1</v>
      </c>
    </row>
    <row r="166" spans="1:100" ht="13.5" x14ac:dyDescent="0.15">
      <c r="A166" s="15">
        <v>77</v>
      </c>
      <c r="B166" s="28" t="s">
        <v>549</v>
      </c>
      <c r="C166" t="s">
        <v>414</v>
      </c>
      <c r="E166" t="s">
        <v>140</v>
      </c>
      <c r="F166" t="s">
        <v>415</v>
      </c>
      <c r="G166" t="s">
        <v>140</v>
      </c>
      <c r="H166" t="s">
        <v>141</v>
      </c>
      <c r="I166" s="6" t="s">
        <v>136</v>
      </c>
      <c r="J166" s="6">
        <v>0</v>
      </c>
      <c r="L166" s="15">
        <v>1</v>
      </c>
      <c r="M166" s="7">
        <v>46080</v>
      </c>
      <c r="N166" s="7">
        <v>46107</v>
      </c>
      <c r="O166" s="7">
        <v>46100</v>
      </c>
      <c r="P166" s="7">
        <v>46100</v>
      </c>
      <c r="R166" s="6" t="s">
        <v>418</v>
      </c>
      <c r="S166" s="6" t="s">
        <v>140</v>
      </c>
      <c r="U166" s="6" t="s">
        <v>413</v>
      </c>
      <c r="V166" s="6" t="str">
        <f>TEXT(N166,"YY/MM")</f>
        <v>26/03</v>
      </c>
      <c r="W166">
        <v>1538</v>
      </c>
      <c r="AA166">
        <v>892</v>
      </c>
      <c r="AC166">
        <v>945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1</v>
      </c>
      <c r="BH166" s="23">
        <v>1</v>
      </c>
      <c r="BI166" s="23">
        <v>1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1</v>
      </c>
      <c r="BP166" s="23">
        <f>$L166*AI166</f>
        <v>0</v>
      </c>
      <c r="BQ166" s="23">
        <f>$L166*AJ166</f>
        <v>0</v>
      </c>
      <c r="BR166" s="23">
        <f>$L166*AK166</f>
        <v>0</v>
      </c>
      <c r="BS166" s="23">
        <f>$L166*AL166</f>
        <v>0</v>
      </c>
      <c r="BT166" s="23">
        <f>$L166*AM166</f>
        <v>0</v>
      </c>
      <c r="BU166" s="23">
        <f>$L166*AN166</f>
        <v>0</v>
      </c>
      <c r="BV166" s="23">
        <f>$L166*AO166</f>
        <v>0</v>
      </c>
      <c r="BW166" s="23">
        <f>$L166*AP166</f>
        <v>0</v>
      </c>
      <c r="BX166" s="23">
        <f>$L166*AQ166</f>
        <v>0</v>
      </c>
      <c r="BY166" s="23">
        <f>$L166*AR166</f>
        <v>0</v>
      </c>
      <c r="BZ166" s="23">
        <f>$L166*AS166</f>
        <v>0</v>
      </c>
      <c r="CA166" s="23">
        <f>$L166*AT166</f>
        <v>0</v>
      </c>
      <c r="CB166" s="23">
        <f>$L166*AU166</f>
        <v>0</v>
      </c>
      <c r="CC166" s="23">
        <f>$L166*AV166</f>
        <v>0</v>
      </c>
      <c r="CD166" s="23">
        <f>$L166*AW166</f>
        <v>0</v>
      </c>
      <c r="CE166" s="23">
        <f>$L166*AX166</f>
        <v>0</v>
      </c>
      <c r="CF166" s="23">
        <f>$L166*AY166</f>
        <v>0</v>
      </c>
      <c r="CG166" s="23">
        <f>$L166*AZ166</f>
        <v>0</v>
      </c>
      <c r="CH166" s="23">
        <f>$L166*BA166</f>
        <v>0</v>
      </c>
      <c r="CI166" s="23">
        <f>$L166*BB166</f>
        <v>0</v>
      </c>
      <c r="CJ166" s="23">
        <f>$L166*BC166</f>
        <v>0</v>
      </c>
      <c r="CK166" s="23">
        <f>$L166*BD166</f>
        <v>0</v>
      </c>
      <c r="CL166" s="23">
        <f>$L166*BE166</f>
        <v>0</v>
      </c>
      <c r="CM166" s="23">
        <f>$L166*BF166</f>
        <v>0</v>
      </c>
      <c r="CN166" s="23">
        <f>$L166*BG166</f>
        <v>1</v>
      </c>
      <c r="CO166" s="23">
        <f>$L166*BH166</f>
        <v>1</v>
      </c>
      <c r="CP166" s="23">
        <f>$L166*BI166</f>
        <v>1</v>
      </c>
      <c r="CQ166" s="23">
        <f>$L166*BJ166</f>
        <v>1</v>
      </c>
      <c r="CR166" s="23">
        <f>$L166*BK166</f>
        <v>1</v>
      </c>
      <c r="CS166" s="23">
        <f>$L166*BL166</f>
        <v>1</v>
      </c>
      <c r="CT166" s="23">
        <f>$L166*BM166</f>
        <v>1</v>
      </c>
      <c r="CU166" s="23">
        <f>$L166*BN166</f>
        <v>1</v>
      </c>
      <c r="CV166" s="23">
        <f>$L166*BO166</f>
        <v>1</v>
      </c>
    </row>
    <row r="167" spans="1:100" ht="13.5" x14ac:dyDescent="0.15">
      <c r="A167" s="15">
        <v>77</v>
      </c>
      <c r="B167" s="28" t="s">
        <v>550</v>
      </c>
      <c r="C167" t="s">
        <v>414</v>
      </c>
      <c r="E167" t="s">
        <v>140</v>
      </c>
      <c r="F167" t="s">
        <v>415</v>
      </c>
      <c r="G167" t="s">
        <v>140</v>
      </c>
      <c r="H167" t="s">
        <v>141</v>
      </c>
      <c r="I167" s="6" t="s">
        <v>136</v>
      </c>
      <c r="J167" s="6">
        <v>0</v>
      </c>
      <c r="L167" s="15">
        <v>1</v>
      </c>
      <c r="M167" s="7">
        <v>46080</v>
      </c>
      <c r="N167" s="7">
        <v>46107</v>
      </c>
      <c r="O167" s="7">
        <v>46100</v>
      </c>
      <c r="P167" s="7">
        <v>46100</v>
      </c>
      <c r="R167" s="6" t="s">
        <v>418</v>
      </c>
      <c r="S167" s="6" t="s">
        <v>140</v>
      </c>
      <c r="U167" s="6" t="s">
        <v>413</v>
      </c>
      <c r="V167" s="6" t="str">
        <f>TEXT(N167,"YY/MM")</f>
        <v>26/03</v>
      </c>
      <c r="W167">
        <v>1539</v>
      </c>
      <c r="AA167">
        <v>893</v>
      </c>
      <c r="AC167">
        <v>946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1</v>
      </c>
      <c r="BH167" s="23">
        <v>1</v>
      </c>
      <c r="BI167" s="23">
        <v>1</v>
      </c>
      <c r="BJ167" s="23">
        <v>1</v>
      </c>
      <c r="BK167" s="23">
        <v>1</v>
      </c>
      <c r="BL167" s="23">
        <v>1</v>
      </c>
      <c r="BM167" s="23">
        <v>1</v>
      </c>
      <c r="BN167" s="23">
        <v>1</v>
      </c>
      <c r="BO167" s="23">
        <v>1</v>
      </c>
      <c r="BP167" s="23">
        <f>$L167*AI167</f>
        <v>0</v>
      </c>
      <c r="BQ167" s="23">
        <f>$L167*AJ167</f>
        <v>0</v>
      </c>
      <c r="BR167" s="23">
        <f>$L167*AK167</f>
        <v>0</v>
      </c>
      <c r="BS167" s="23">
        <f>$L167*AL167</f>
        <v>0</v>
      </c>
      <c r="BT167" s="23">
        <f>$L167*AM167</f>
        <v>0</v>
      </c>
      <c r="BU167" s="23">
        <f>$L167*AN167</f>
        <v>0</v>
      </c>
      <c r="BV167" s="23">
        <f>$L167*AO167</f>
        <v>0</v>
      </c>
      <c r="BW167" s="23">
        <f>$L167*AP167</f>
        <v>0</v>
      </c>
      <c r="BX167" s="23">
        <f>$L167*AQ167</f>
        <v>0</v>
      </c>
      <c r="BY167" s="23">
        <f>$L167*AR167</f>
        <v>0</v>
      </c>
      <c r="BZ167" s="23">
        <f>$L167*AS167</f>
        <v>0</v>
      </c>
      <c r="CA167" s="23">
        <f>$L167*AT167</f>
        <v>0</v>
      </c>
      <c r="CB167" s="23">
        <f>$L167*AU167</f>
        <v>0</v>
      </c>
      <c r="CC167" s="23">
        <f>$L167*AV167</f>
        <v>0</v>
      </c>
      <c r="CD167" s="23">
        <f>$L167*AW167</f>
        <v>0</v>
      </c>
      <c r="CE167" s="23">
        <f>$L167*AX167</f>
        <v>0</v>
      </c>
      <c r="CF167" s="23">
        <f>$L167*AY167</f>
        <v>0</v>
      </c>
      <c r="CG167" s="23">
        <f>$L167*AZ167</f>
        <v>0</v>
      </c>
      <c r="CH167" s="23">
        <f>$L167*BA167</f>
        <v>0</v>
      </c>
      <c r="CI167" s="23">
        <f>$L167*BB167</f>
        <v>0</v>
      </c>
      <c r="CJ167" s="23">
        <f>$L167*BC167</f>
        <v>0</v>
      </c>
      <c r="CK167" s="23">
        <f>$L167*BD167</f>
        <v>0</v>
      </c>
      <c r="CL167" s="23">
        <f>$L167*BE167</f>
        <v>0</v>
      </c>
      <c r="CM167" s="23">
        <f>$L167*BF167</f>
        <v>0</v>
      </c>
      <c r="CN167" s="23">
        <f>$L167*BG167</f>
        <v>1</v>
      </c>
      <c r="CO167" s="23">
        <f>$L167*BH167</f>
        <v>1</v>
      </c>
      <c r="CP167" s="23">
        <f>$L167*BI167</f>
        <v>1</v>
      </c>
      <c r="CQ167" s="23">
        <f>$L167*BJ167</f>
        <v>1</v>
      </c>
      <c r="CR167" s="23">
        <f>$L167*BK167</f>
        <v>1</v>
      </c>
      <c r="CS167" s="23">
        <f>$L167*BL167</f>
        <v>1</v>
      </c>
      <c r="CT167" s="23">
        <f>$L167*BM167</f>
        <v>1</v>
      </c>
      <c r="CU167" s="23">
        <f>$L167*BN167</f>
        <v>1</v>
      </c>
      <c r="CV167" s="23">
        <f>$L167*BO167</f>
        <v>1</v>
      </c>
    </row>
    <row r="168" spans="1:100" ht="13.5" x14ac:dyDescent="0.15">
      <c r="A168" s="15">
        <v>77</v>
      </c>
      <c r="B168" s="28" t="s">
        <v>551</v>
      </c>
      <c r="C168" t="s">
        <v>414</v>
      </c>
      <c r="E168" t="s">
        <v>140</v>
      </c>
      <c r="F168" t="s">
        <v>415</v>
      </c>
      <c r="G168" t="s">
        <v>140</v>
      </c>
      <c r="H168" t="s">
        <v>141</v>
      </c>
      <c r="I168" s="6" t="s">
        <v>136</v>
      </c>
      <c r="J168" s="6">
        <v>0</v>
      </c>
      <c r="L168" s="15">
        <v>1</v>
      </c>
      <c r="M168" s="7">
        <v>46080</v>
      </c>
      <c r="N168" s="7">
        <v>46112</v>
      </c>
      <c r="O168" s="7">
        <v>46100</v>
      </c>
      <c r="P168" s="7">
        <v>46100</v>
      </c>
      <c r="R168" s="6" t="s">
        <v>418</v>
      </c>
      <c r="S168" s="6" t="s">
        <v>140</v>
      </c>
      <c r="U168" s="6" t="s">
        <v>413</v>
      </c>
      <c r="V168" s="6" t="str">
        <f>TEXT(N168,"YY/MM")</f>
        <v>26/03</v>
      </c>
      <c r="W168">
        <v>1540</v>
      </c>
      <c r="AA168">
        <v>894</v>
      </c>
      <c r="AC168">
        <v>947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1</v>
      </c>
      <c r="BH168" s="23">
        <v>1</v>
      </c>
      <c r="BI168" s="23">
        <v>1</v>
      </c>
      <c r="BJ168" s="23">
        <v>1</v>
      </c>
      <c r="BK168" s="23">
        <v>1</v>
      </c>
      <c r="BL168" s="23">
        <v>1</v>
      </c>
      <c r="BM168" s="23">
        <v>1</v>
      </c>
      <c r="BN168" s="23">
        <v>1</v>
      </c>
      <c r="BO168" s="23">
        <v>1</v>
      </c>
      <c r="BP168" s="23">
        <f>$L168*AI168</f>
        <v>0</v>
      </c>
      <c r="BQ168" s="23">
        <f>$L168*AJ168</f>
        <v>0</v>
      </c>
      <c r="BR168" s="23">
        <f>$L168*AK168</f>
        <v>0</v>
      </c>
      <c r="BS168" s="23">
        <f>$L168*AL168</f>
        <v>0</v>
      </c>
      <c r="BT168" s="23">
        <f>$L168*AM168</f>
        <v>0</v>
      </c>
      <c r="BU168" s="23">
        <f>$L168*AN168</f>
        <v>0</v>
      </c>
      <c r="BV168" s="23">
        <f>$L168*AO168</f>
        <v>0</v>
      </c>
      <c r="BW168" s="23">
        <f>$L168*AP168</f>
        <v>0</v>
      </c>
      <c r="BX168" s="23">
        <f>$L168*AQ168</f>
        <v>0</v>
      </c>
      <c r="BY168" s="23">
        <f>$L168*AR168</f>
        <v>0</v>
      </c>
      <c r="BZ168" s="23">
        <f>$L168*AS168</f>
        <v>0</v>
      </c>
      <c r="CA168" s="23">
        <f>$L168*AT168</f>
        <v>0</v>
      </c>
      <c r="CB168" s="23">
        <f>$L168*AU168</f>
        <v>0</v>
      </c>
      <c r="CC168" s="23">
        <f>$L168*AV168</f>
        <v>0</v>
      </c>
      <c r="CD168" s="23">
        <f>$L168*AW168</f>
        <v>0</v>
      </c>
      <c r="CE168" s="23">
        <f>$L168*AX168</f>
        <v>0</v>
      </c>
      <c r="CF168" s="23">
        <f>$L168*AY168</f>
        <v>0</v>
      </c>
      <c r="CG168" s="23">
        <f>$L168*AZ168</f>
        <v>0</v>
      </c>
      <c r="CH168" s="23">
        <f>$L168*BA168</f>
        <v>0</v>
      </c>
      <c r="CI168" s="23">
        <f>$L168*BB168</f>
        <v>0</v>
      </c>
      <c r="CJ168" s="23">
        <f>$L168*BC168</f>
        <v>0</v>
      </c>
      <c r="CK168" s="23">
        <f>$L168*BD168</f>
        <v>0</v>
      </c>
      <c r="CL168" s="23">
        <f>$L168*BE168</f>
        <v>0</v>
      </c>
      <c r="CM168" s="23">
        <f>$L168*BF168</f>
        <v>0</v>
      </c>
      <c r="CN168" s="23">
        <f>$L168*BG168</f>
        <v>1</v>
      </c>
      <c r="CO168" s="23">
        <f>$L168*BH168</f>
        <v>1</v>
      </c>
      <c r="CP168" s="23">
        <f>$L168*BI168</f>
        <v>1</v>
      </c>
      <c r="CQ168" s="23">
        <f>$L168*BJ168</f>
        <v>1</v>
      </c>
      <c r="CR168" s="23">
        <f>$L168*BK168</f>
        <v>1</v>
      </c>
      <c r="CS168" s="23">
        <f>$L168*BL168</f>
        <v>1</v>
      </c>
      <c r="CT168" s="23">
        <f>$L168*BM168</f>
        <v>1</v>
      </c>
      <c r="CU168" s="23">
        <f>$L168*BN168</f>
        <v>1</v>
      </c>
      <c r="CV168" s="23">
        <f>$L168*BO168</f>
        <v>1</v>
      </c>
    </row>
    <row r="169" spans="1:100" ht="13.5" x14ac:dyDescent="0.15">
      <c r="A169" s="15">
        <v>77</v>
      </c>
      <c r="B169" s="28" t="s">
        <v>552</v>
      </c>
      <c r="C169" t="s">
        <v>414</v>
      </c>
      <c r="E169" t="s">
        <v>140</v>
      </c>
      <c r="F169" t="s">
        <v>415</v>
      </c>
      <c r="G169" t="s">
        <v>140</v>
      </c>
      <c r="H169" t="s">
        <v>141</v>
      </c>
      <c r="I169" s="6" t="s">
        <v>136</v>
      </c>
      <c r="J169" s="6">
        <v>0</v>
      </c>
      <c r="L169" s="15">
        <v>1</v>
      </c>
      <c r="M169" s="7">
        <v>46080</v>
      </c>
      <c r="N169" s="7">
        <v>46112</v>
      </c>
      <c r="O169" s="7">
        <v>46100</v>
      </c>
      <c r="P169" s="7">
        <v>46100</v>
      </c>
      <c r="R169" s="6" t="s">
        <v>418</v>
      </c>
      <c r="S169" s="6" t="s">
        <v>140</v>
      </c>
      <c r="U169" s="6" t="s">
        <v>413</v>
      </c>
      <c r="V169" s="6" t="str">
        <f>TEXT(N169,"YY/MM")</f>
        <v>26/03</v>
      </c>
      <c r="W169">
        <v>1541</v>
      </c>
      <c r="AA169">
        <v>895</v>
      </c>
      <c r="AC169">
        <v>948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1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  <c r="BP169" s="23">
        <f>$L169*AI169</f>
        <v>0</v>
      </c>
      <c r="BQ169" s="23">
        <f>$L169*AJ169</f>
        <v>0</v>
      </c>
      <c r="BR169" s="23">
        <f>$L169*AK169</f>
        <v>0</v>
      </c>
      <c r="BS169" s="23">
        <f>$L169*AL169</f>
        <v>0</v>
      </c>
      <c r="BT169" s="23">
        <f>$L169*AM169</f>
        <v>0</v>
      </c>
      <c r="BU169" s="23">
        <f>$L169*AN169</f>
        <v>0</v>
      </c>
      <c r="BV169" s="23">
        <f>$L169*AO169</f>
        <v>0</v>
      </c>
      <c r="BW169" s="23">
        <f>$L169*AP169</f>
        <v>0</v>
      </c>
      <c r="BX169" s="23">
        <f>$L169*AQ169</f>
        <v>0</v>
      </c>
      <c r="BY169" s="23">
        <f>$L169*AR169</f>
        <v>0</v>
      </c>
      <c r="BZ169" s="23">
        <f>$L169*AS169</f>
        <v>0</v>
      </c>
      <c r="CA169" s="23">
        <f>$L169*AT169</f>
        <v>0</v>
      </c>
      <c r="CB169" s="23">
        <f>$L169*AU169</f>
        <v>0</v>
      </c>
      <c r="CC169" s="23">
        <f>$L169*AV169</f>
        <v>0</v>
      </c>
      <c r="CD169" s="23">
        <f>$L169*AW169</f>
        <v>0</v>
      </c>
      <c r="CE169" s="23">
        <f>$L169*AX169</f>
        <v>0</v>
      </c>
      <c r="CF169" s="23">
        <f>$L169*AY169</f>
        <v>0</v>
      </c>
      <c r="CG169" s="23">
        <f>$L169*AZ169</f>
        <v>0</v>
      </c>
      <c r="CH169" s="23">
        <f>$L169*BA169</f>
        <v>0</v>
      </c>
      <c r="CI169" s="23">
        <f>$L169*BB169</f>
        <v>0</v>
      </c>
      <c r="CJ169" s="23">
        <f>$L169*BC169</f>
        <v>0</v>
      </c>
      <c r="CK169" s="23">
        <f>$L169*BD169</f>
        <v>0</v>
      </c>
      <c r="CL169" s="23">
        <f>$L169*BE169</f>
        <v>0</v>
      </c>
      <c r="CM169" s="23">
        <f>$L169*BF169</f>
        <v>0</v>
      </c>
      <c r="CN169" s="23">
        <f>$L169*BG169</f>
        <v>1</v>
      </c>
      <c r="CO169" s="23">
        <f>$L169*BH169</f>
        <v>1</v>
      </c>
      <c r="CP169" s="23">
        <f>$L169*BI169</f>
        <v>1</v>
      </c>
      <c r="CQ169" s="23">
        <f>$L169*BJ169</f>
        <v>1</v>
      </c>
      <c r="CR169" s="23">
        <f>$L169*BK169</f>
        <v>1</v>
      </c>
      <c r="CS169" s="23">
        <f>$L169*BL169</f>
        <v>1</v>
      </c>
      <c r="CT169" s="23">
        <f>$L169*BM169</f>
        <v>1</v>
      </c>
      <c r="CU169" s="23">
        <f>$L169*BN169</f>
        <v>1</v>
      </c>
      <c r="CV169" s="23">
        <f>$L169*BO169</f>
        <v>1</v>
      </c>
    </row>
    <row r="170" spans="1:100" ht="13.5" x14ac:dyDescent="0.15">
      <c r="A170" s="15">
        <v>81</v>
      </c>
      <c r="B170" s="28" t="s">
        <v>553</v>
      </c>
      <c r="C170" t="s">
        <v>414</v>
      </c>
      <c r="E170" t="s">
        <v>140</v>
      </c>
      <c r="F170" t="s">
        <v>415</v>
      </c>
      <c r="G170" t="s">
        <v>140</v>
      </c>
      <c r="H170" t="s">
        <v>141</v>
      </c>
      <c r="I170" s="6" t="s">
        <v>136</v>
      </c>
      <c r="J170" s="6">
        <v>0</v>
      </c>
      <c r="L170" s="15">
        <v>1</v>
      </c>
      <c r="M170" s="7">
        <v>46080</v>
      </c>
      <c r="N170" s="7">
        <v>46113</v>
      </c>
      <c r="O170" s="7">
        <v>46107</v>
      </c>
      <c r="P170" s="7">
        <v>46112</v>
      </c>
      <c r="R170" s="6" t="s">
        <v>419</v>
      </c>
      <c r="S170" s="6" t="s">
        <v>140</v>
      </c>
      <c r="U170" s="6" t="s">
        <v>413</v>
      </c>
      <c r="V170" s="6" t="str">
        <f>TEXT(N170,"YY/MM")</f>
        <v>26/04</v>
      </c>
      <c r="W170">
        <v>1542</v>
      </c>
      <c r="AA170">
        <v>896</v>
      </c>
      <c r="AC170">
        <v>949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1</v>
      </c>
      <c r="BH170" s="23">
        <v>1</v>
      </c>
      <c r="BI170" s="23">
        <v>1</v>
      </c>
      <c r="BJ170" s="23">
        <v>1</v>
      </c>
      <c r="BK170" s="23">
        <v>1</v>
      </c>
      <c r="BL170" s="23">
        <v>1</v>
      </c>
      <c r="BM170" s="23">
        <v>1</v>
      </c>
      <c r="BN170" s="23">
        <v>1</v>
      </c>
      <c r="BO170" s="23">
        <v>1</v>
      </c>
      <c r="BP170" s="23">
        <f>$L170*AI170</f>
        <v>0</v>
      </c>
      <c r="BQ170" s="23">
        <f>$L170*AJ170</f>
        <v>0</v>
      </c>
      <c r="BR170" s="23">
        <f>$L170*AK170</f>
        <v>0</v>
      </c>
      <c r="BS170" s="23">
        <f>$L170*AL170</f>
        <v>0</v>
      </c>
      <c r="BT170" s="23">
        <f>$L170*AM170</f>
        <v>0</v>
      </c>
      <c r="BU170" s="23">
        <f>$L170*AN170</f>
        <v>0</v>
      </c>
      <c r="BV170" s="23">
        <f>$L170*AO170</f>
        <v>0</v>
      </c>
      <c r="BW170" s="23">
        <f>$L170*AP170</f>
        <v>0</v>
      </c>
      <c r="BX170" s="23">
        <f>$L170*AQ170</f>
        <v>0</v>
      </c>
      <c r="BY170" s="23">
        <f>$L170*AR170</f>
        <v>0</v>
      </c>
      <c r="BZ170" s="23">
        <f>$L170*AS170</f>
        <v>0</v>
      </c>
      <c r="CA170" s="23">
        <f>$L170*AT170</f>
        <v>0</v>
      </c>
      <c r="CB170" s="23">
        <f>$L170*AU170</f>
        <v>0</v>
      </c>
      <c r="CC170" s="23">
        <f>$L170*AV170</f>
        <v>0</v>
      </c>
      <c r="CD170" s="23">
        <f>$L170*AW170</f>
        <v>0</v>
      </c>
      <c r="CE170" s="23">
        <f>$L170*AX170</f>
        <v>0</v>
      </c>
      <c r="CF170" s="23">
        <f>$L170*AY170</f>
        <v>0</v>
      </c>
      <c r="CG170" s="23">
        <f>$L170*AZ170</f>
        <v>0</v>
      </c>
      <c r="CH170" s="23">
        <f>$L170*BA170</f>
        <v>0</v>
      </c>
      <c r="CI170" s="23">
        <f>$L170*BB170</f>
        <v>0</v>
      </c>
      <c r="CJ170" s="23">
        <f>$L170*BC170</f>
        <v>0</v>
      </c>
      <c r="CK170" s="23">
        <f>$L170*BD170</f>
        <v>0</v>
      </c>
      <c r="CL170" s="23">
        <f>$L170*BE170</f>
        <v>0</v>
      </c>
      <c r="CM170" s="23">
        <f>$L170*BF170</f>
        <v>0</v>
      </c>
      <c r="CN170" s="23">
        <f>$L170*BG170</f>
        <v>1</v>
      </c>
      <c r="CO170" s="23">
        <f>$L170*BH170</f>
        <v>1</v>
      </c>
      <c r="CP170" s="23">
        <f>$L170*BI170</f>
        <v>1</v>
      </c>
      <c r="CQ170" s="23">
        <f>$L170*BJ170</f>
        <v>1</v>
      </c>
      <c r="CR170" s="23">
        <f>$L170*BK170</f>
        <v>1</v>
      </c>
      <c r="CS170" s="23">
        <f>$L170*BL170</f>
        <v>1</v>
      </c>
      <c r="CT170" s="23">
        <f>$L170*BM170</f>
        <v>1</v>
      </c>
      <c r="CU170" s="23">
        <f>$L170*BN170</f>
        <v>1</v>
      </c>
      <c r="CV170" s="23">
        <f>$L170*BO170</f>
        <v>1</v>
      </c>
    </row>
    <row r="171" spans="1:100" ht="13.5" x14ac:dyDescent="0.15">
      <c r="A171" s="15">
        <v>81</v>
      </c>
      <c r="B171" s="28" t="s">
        <v>554</v>
      </c>
      <c r="C171" t="s">
        <v>414</v>
      </c>
      <c r="E171" t="s">
        <v>140</v>
      </c>
      <c r="F171" t="s">
        <v>415</v>
      </c>
      <c r="G171" t="s">
        <v>140</v>
      </c>
      <c r="H171" t="s">
        <v>141</v>
      </c>
      <c r="I171" s="6" t="s">
        <v>136</v>
      </c>
      <c r="J171" s="6">
        <v>0</v>
      </c>
      <c r="L171" s="15">
        <v>1</v>
      </c>
      <c r="M171" s="7">
        <v>46080</v>
      </c>
      <c r="N171" s="7">
        <v>46113</v>
      </c>
      <c r="O171" s="7">
        <v>46107</v>
      </c>
      <c r="P171" s="7">
        <v>46112</v>
      </c>
      <c r="R171" s="6" t="s">
        <v>419</v>
      </c>
      <c r="S171" s="6" t="s">
        <v>140</v>
      </c>
      <c r="U171" s="6" t="s">
        <v>413</v>
      </c>
      <c r="V171" s="6" t="str">
        <f>TEXT(N171,"YY/MM")</f>
        <v>26/04</v>
      </c>
      <c r="W171">
        <v>1543</v>
      </c>
      <c r="AA171">
        <v>897</v>
      </c>
      <c r="AC171">
        <v>950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1</v>
      </c>
      <c r="BH171" s="23">
        <v>1</v>
      </c>
      <c r="BI171" s="23">
        <v>1</v>
      </c>
      <c r="BJ171" s="23">
        <v>1</v>
      </c>
      <c r="BK171" s="23">
        <v>1</v>
      </c>
      <c r="BL171" s="23">
        <v>1</v>
      </c>
      <c r="BM171" s="23">
        <v>1</v>
      </c>
      <c r="BN171" s="23">
        <v>1</v>
      </c>
      <c r="BO171" s="23">
        <v>1</v>
      </c>
      <c r="BP171" s="23">
        <f>$L171*AI171</f>
        <v>0</v>
      </c>
      <c r="BQ171" s="23">
        <f>$L171*AJ171</f>
        <v>0</v>
      </c>
      <c r="BR171" s="23">
        <f>$L171*AK171</f>
        <v>0</v>
      </c>
      <c r="BS171" s="23">
        <f>$L171*AL171</f>
        <v>0</v>
      </c>
      <c r="BT171" s="23">
        <f>$L171*AM171</f>
        <v>0</v>
      </c>
      <c r="BU171" s="23">
        <f>$L171*AN171</f>
        <v>0</v>
      </c>
      <c r="BV171" s="23">
        <f>$L171*AO171</f>
        <v>0</v>
      </c>
      <c r="BW171" s="23">
        <f>$L171*AP171</f>
        <v>0</v>
      </c>
      <c r="BX171" s="23">
        <f>$L171*AQ171</f>
        <v>0</v>
      </c>
      <c r="BY171" s="23">
        <f>$L171*AR171</f>
        <v>0</v>
      </c>
      <c r="BZ171" s="23">
        <f>$L171*AS171</f>
        <v>0</v>
      </c>
      <c r="CA171" s="23">
        <f>$L171*AT171</f>
        <v>0</v>
      </c>
      <c r="CB171" s="23">
        <f>$L171*AU171</f>
        <v>0</v>
      </c>
      <c r="CC171" s="23">
        <f>$L171*AV171</f>
        <v>0</v>
      </c>
      <c r="CD171" s="23">
        <f>$L171*AW171</f>
        <v>0</v>
      </c>
      <c r="CE171" s="23">
        <f>$L171*AX171</f>
        <v>0</v>
      </c>
      <c r="CF171" s="23">
        <f>$L171*AY171</f>
        <v>0</v>
      </c>
      <c r="CG171" s="23">
        <f>$L171*AZ171</f>
        <v>0</v>
      </c>
      <c r="CH171" s="23">
        <f>$L171*BA171</f>
        <v>0</v>
      </c>
      <c r="CI171" s="23">
        <f>$L171*BB171</f>
        <v>0</v>
      </c>
      <c r="CJ171" s="23">
        <f>$L171*BC171</f>
        <v>0</v>
      </c>
      <c r="CK171" s="23">
        <f>$L171*BD171</f>
        <v>0</v>
      </c>
      <c r="CL171" s="23">
        <f>$L171*BE171</f>
        <v>0</v>
      </c>
      <c r="CM171" s="23">
        <f>$L171*BF171</f>
        <v>0</v>
      </c>
      <c r="CN171" s="23">
        <f>$L171*BG171</f>
        <v>1</v>
      </c>
      <c r="CO171" s="23">
        <f>$L171*BH171</f>
        <v>1</v>
      </c>
      <c r="CP171" s="23">
        <f>$L171*BI171</f>
        <v>1</v>
      </c>
      <c r="CQ171" s="23">
        <f>$L171*BJ171</f>
        <v>1</v>
      </c>
      <c r="CR171" s="23">
        <f>$L171*BK171</f>
        <v>1</v>
      </c>
      <c r="CS171" s="23">
        <f>$L171*BL171</f>
        <v>1</v>
      </c>
      <c r="CT171" s="23">
        <f>$L171*BM171</f>
        <v>1</v>
      </c>
      <c r="CU171" s="23">
        <f>$L171*BN171</f>
        <v>1</v>
      </c>
      <c r="CV171" s="23">
        <f>$L171*BO171</f>
        <v>1</v>
      </c>
    </row>
    <row r="172" spans="1:100" ht="13.5" x14ac:dyDescent="0.15">
      <c r="A172" s="15">
        <v>81</v>
      </c>
      <c r="B172" s="28" t="s">
        <v>555</v>
      </c>
      <c r="C172" t="s">
        <v>414</v>
      </c>
      <c r="E172" t="s">
        <v>140</v>
      </c>
      <c r="F172" t="s">
        <v>415</v>
      </c>
      <c r="G172" t="s">
        <v>140</v>
      </c>
      <c r="H172" t="s">
        <v>141</v>
      </c>
      <c r="I172" s="6" t="s">
        <v>136</v>
      </c>
      <c r="J172" s="6">
        <v>0</v>
      </c>
      <c r="L172" s="15">
        <v>1</v>
      </c>
      <c r="M172" s="7">
        <v>46080</v>
      </c>
      <c r="N172" s="7">
        <v>46113</v>
      </c>
      <c r="O172" s="7">
        <v>46107</v>
      </c>
      <c r="P172" s="7">
        <v>46112</v>
      </c>
      <c r="R172" s="6" t="s">
        <v>419</v>
      </c>
      <c r="S172" s="6" t="s">
        <v>140</v>
      </c>
      <c r="U172" s="6" t="s">
        <v>413</v>
      </c>
      <c r="V172" s="6" t="str">
        <f>TEXT(N172,"YY/MM")</f>
        <v>26/04</v>
      </c>
      <c r="W172">
        <v>1544</v>
      </c>
      <c r="AA172">
        <v>898</v>
      </c>
      <c r="AC172">
        <v>951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1</v>
      </c>
      <c r="BH172" s="23">
        <v>1</v>
      </c>
      <c r="BI172" s="23">
        <v>1</v>
      </c>
      <c r="BJ172" s="23">
        <v>1</v>
      </c>
      <c r="BK172" s="23">
        <v>1</v>
      </c>
      <c r="BL172" s="23">
        <v>1</v>
      </c>
      <c r="BM172" s="23">
        <v>1</v>
      </c>
      <c r="BN172" s="23">
        <v>1</v>
      </c>
      <c r="BO172" s="23">
        <v>1</v>
      </c>
      <c r="BP172" s="23">
        <f>$L172*AI172</f>
        <v>0</v>
      </c>
      <c r="BQ172" s="23">
        <f>$L172*AJ172</f>
        <v>0</v>
      </c>
      <c r="BR172" s="23">
        <f>$L172*AK172</f>
        <v>0</v>
      </c>
      <c r="BS172" s="23">
        <f>$L172*AL172</f>
        <v>0</v>
      </c>
      <c r="BT172" s="23">
        <f>$L172*AM172</f>
        <v>0</v>
      </c>
      <c r="BU172" s="23">
        <f>$L172*AN172</f>
        <v>0</v>
      </c>
      <c r="BV172" s="23">
        <f>$L172*AO172</f>
        <v>0</v>
      </c>
      <c r="BW172" s="23">
        <f>$L172*AP172</f>
        <v>0</v>
      </c>
      <c r="BX172" s="23">
        <f>$L172*AQ172</f>
        <v>0</v>
      </c>
      <c r="BY172" s="23">
        <f>$L172*AR172</f>
        <v>0</v>
      </c>
      <c r="BZ172" s="23">
        <f>$L172*AS172</f>
        <v>0</v>
      </c>
      <c r="CA172" s="23">
        <f>$L172*AT172</f>
        <v>0</v>
      </c>
      <c r="CB172" s="23">
        <f>$L172*AU172</f>
        <v>0</v>
      </c>
      <c r="CC172" s="23">
        <f>$L172*AV172</f>
        <v>0</v>
      </c>
      <c r="CD172" s="23">
        <f>$L172*AW172</f>
        <v>0</v>
      </c>
      <c r="CE172" s="23">
        <f>$L172*AX172</f>
        <v>0</v>
      </c>
      <c r="CF172" s="23">
        <f>$L172*AY172</f>
        <v>0</v>
      </c>
      <c r="CG172" s="23">
        <f>$L172*AZ172</f>
        <v>0</v>
      </c>
      <c r="CH172" s="23">
        <f>$L172*BA172</f>
        <v>0</v>
      </c>
      <c r="CI172" s="23">
        <f>$L172*BB172</f>
        <v>0</v>
      </c>
      <c r="CJ172" s="23">
        <f>$L172*BC172</f>
        <v>0</v>
      </c>
      <c r="CK172" s="23">
        <f>$L172*BD172</f>
        <v>0</v>
      </c>
      <c r="CL172" s="23">
        <f>$L172*BE172</f>
        <v>0</v>
      </c>
      <c r="CM172" s="23">
        <f>$L172*BF172</f>
        <v>0</v>
      </c>
      <c r="CN172" s="23">
        <f>$L172*BG172</f>
        <v>1</v>
      </c>
      <c r="CO172" s="23">
        <f>$L172*BH172</f>
        <v>1</v>
      </c>
      <c r="CP172" s="23">
        <f>$L172*BI172</f>
        <v>1</v>
      </c>
      <c r="CQ172" s="23">
        <f>$L172*BJ172</f>
        <v>1</v>
      </c>
      <c r="CR172" s="23">
        <f>$L172*BK172</f>
        <v>1</v>
      </c>
      <c r="CS172" s="23">
        <f>$L172*BL172</f>
        <v>1</v>
      </c>
      <c r="CT172" s="23">
        <f>$L172*BM172</f>
        <v>1</v>
      </c>
      <c r="CU172" s="23">
        <f>$L172*BN172</f>
        <v>1</v>
      </c>
      <c r="CV172" s="23">
        <f>$L172*BO172</f>
        <v>1</v>
      </c>
    </row>
    <row r="173" spans="1:100" ht="13.5" x14ac:dyDescent="0.15">
      <c r="A173" s="15">
        <v>81</v>
      </c>
      <c r="B173" s="28" t="s">
        <v>556</v>
      </c>
      <c r="C173" t="s">
        <v>414</v>
      </c>
      <c r="E173" t="s">
        <v>140</v>
      </c>
      <c r="F173" t="s">
        <v>415</v>
      </c>
      <c r="G173" t="s">
        <v>140</v>
      </c>
      <c r="H173" t="s">
        <v>141</v>
      </c>
      <c r="I173" s="6" t="s">
        <v>136</v>
      </c>
      <c r="J173" s="6">
        <v>0</v>
      </c>
      <c r="L173" s="15">
        <v>1</v>
      </c>
      <c r="M173" s="7">
        <v>46080</v>
      </c>
      <c r="N173" s="7">
        <v>46114</v>
      </c>
      <c r="O173" s="7">
        <v>46107</v>
      </c>
      <c r="P173" s="7">
        <v>46112</v>
      </c>
      <c r="R173" s="6" t="s">
        <v>419</v>
      </c>
      <c r="S173" s="6" t="s">
        <v>140</v>
      </c>
      <c r="U173" s="6" t="s">
        <v>413</v>
      </c>
      <c r="V173" s="6" t="str">
        <f>TEXT(N173,"YY/MM")</f>
        <v>26/04</v>
      </c>
      <c r="W173">
        <v>1545</v>
      </c>
      <c r="AA173">
        <v>899</v>
      </c>
      <c r="AC173">
        <v>952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1</v>
      </c>
      <c r="BH173" s="23">
        <v>1</v>
      </c>
      <c r="BI173" s="23">
        <v>1</v>
      </c>
      <c r="BJ173" s="23">
        <v>1</v>
      </c>
      <c r="BK173" s="23">
        <v>1</v>
      </c>
      <c r="BL173" s="23">
        <v>1</v>
      </c>
      <c r="BM173" s="23">
        <v>1</v>
      </c>
      <c r="BN173" s="23">
        <v>1</v>
      </c>
      <c r="BO173" s="23">
        <v>1</v>
      </c>
      <c r="BP173" s="23">
        <f>$L173*AI173</f>
        <v>0</v>
      </c>
      <c r="BQ173" s="23">
        <f>$L173*AJ173</f>
        <v>0</v>
      </c>
      <c r="BR173" s="23">
        <f>$L173*AK173</f>
        <v>0</v>
      </c>
      <c r="BS173" s="23">
        <f>$L173*AL173</f>
        <v>0</v>
      </c>
      <c r="BT173" s="23">
        <f>$L173*AM173</f>
        <v>0</v>
      </c>
      <c r="BU173" s="23">
        <f>$L173*AN173</f>
        <v>0</v>
      </c>
      <c r="BV173" s="23">
        <f>$L173*AO173</f>
        <v>0</v>
      </c>
      <c r="BW173" s="23">
        <f>$L173*AP173</f>
        <v>0</v>
      </c>
      <c r="BX173" s="23">
        <f>$L173*AQ173</f>
        <v>0</v>
      </c>
      <c r="BY173" s="23">
        <f>$L173*AR173</f>
        <v>0</v>
      </c>
      <c r="BZ173" s="23">
        <f>$L173*AS173</f>
        <v>0</v>
      </c>
      <c r="CA173" s="23">
        <f>$L173*AT173</f>
        <v>0</v>
      </c>
      <c r="CB173" s="23">
        <f>$L173*AU173</f>
        <v>0</v>
      </c>
      <c r="CC173" s="23">
        <f>$L173*AV173</f>
        <v>0</v>
      </c>
      <c r="CD173" s="23">
        <f>$L173*AW173</f>
        <v>0</v>
      </c>
      <c r="CE173" s="23">
        <f>$L173*AX173</f>
        <v>0</v>
      </c>
      <c r="CF173" s="23">
        <f>$L173*AY173</f>
        <v>0</v>
      </c>
      <c r="CG173" s="23">
        <f>$L173*AZ173</f>
        <v>0</v>
      </c>
      <c r="CH173" s="23">
        <f>$L173*BA173</f>
        <v>0</v>
      </c>
      <c r="CI173" s="23">
        <f>$L173*BB173</f>
        <v>0</v>
      </c>
      <c r="CJ173" s="23">
        <f>$L173*BC173</f>
        <v>0</v>
      </c>
      <c r="CK173" s="23">
        <f>$L173*BD173</f>
        <v>0</v>
      </c>
      <c r="CL173" s="23">
        <f>$L173*BE173</f>
        <v>0</v>
      </c>
      <c r="CM173" s="23">
        <f>$L173*BF173</f>
        <v>0</v>
      </c>
      <c r="CN173" s="23">
        <f>$L173*BG173</f>
        <v>1</v>
      </c>
      <c r="CO173" s="23">
        <f>$L173*BH173</f>
        <v>1</v>
      </c>
      <c r="CP173" s="23">
        <f>$L173*BI173</f>
        <v>1</v>
      </c>
      <c r="CQ173" s="23">
        <f>$L173*BJ173</f>
        <v>1</v>
      </c>
      <c r="CR173" s="23">
        <f>$L173*BK173</f>
        <v>1</v>
      </c>
      <c r="CS173" s="23">
        <f>$L173*BL173</f>
        <v>1</v>
      </c>
      <c r="CT173" s="23">
        <f>$L173*BM173</f>
        <v>1</v>
      </c>
      <c r="CU173" s="23">
        <f>$L173*BN173</f>
        <v>1</v>
      </c>
      <c r="CV173" s="23">
        <f>$L173*BO173</f>
        <v>1</v>
      </c>
    </row>
    <row r="174" spans="1:100" ht="13.5" x14ac:dyDescent="0.15">
      <c r="A174" s="15">
        <v>81</v>
      </c>
      <c r="B174" s="28" t="s">
        <v>557</v>
      </c>
      <c r="C174" t="s">
        <v>414</v>
      </c>
      <c r="E174" t="s">
        <v>140</v>
      </c>
      <c r="F174" t="s">
        <v>415</v>
      </c>
      <c r="G174" t="s">
        <v>140</v>
      </c>
      <c r="H174" t="s">
        <v>141</v>
      </c>
      <c r="I174" s="6" t="s">
        <v>136</v>
      </c>
      <c r="J174" s="6">
        <v>0</v>
      </c>
      <c r="L174" s="15">
        <v>1</v>
      </c>
      <c r="M174" s="7">
        <v>46080</v>
      </c>
      <c r="N174" s="7">
        <v>46114</v>
      </c>
      <c r="O174" s="7">
        <v>46107</v>
      </c>
      <c r="P174" s="7">
        <v>46112</v>
      </c>
      <c r="R174" s="6" t="s">
        <v>419</v>
      </c>
      <c r="S174" s="6" t="s">
        <v>140</v>
      </c>
      <c r="U174" s="6" t="s">
        <v>413</v>
      </c>
      <c r="V174" s="6" t="str">
        <f>TEXT(N174,"YY/MM")</f>
        <v>26/04</v>
      </c>
      <c r="W174">
        <v>1546</v>
      </c>
      <c r="AA174">
        <v>900</v>
      </c>
      <c r="AC174">
        <v>953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3">
        <v>0</v>
      </c>
      <c r="AS174" s="23">
        <v>0</v>
      </c>
      <c r="AT174" s="23">
        <v>0</v>
      </c>
      <c r="AU174" s="23">
        <v>0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1</v>
      </c>
      <c r="BH174" s="23">
        <v>1</v>
      </c>
      <c r="BI174" s="23">
        <v>1</v>
      </c>
      <c r="BJ174" s="23">
        <v>1</v>
      </c>
      <c r="BK174" s="23">
        <v>1</v>
      </c>
      <c r="BL174" s="23">
        <v>1</v>
      </c>
      <c r="BM174" s="23">
        <v>1</v>
      </c>
      <c r="BN174" s="23">
        <v>1</v>
      </c>
      <c r="BO174" s="23">
        <v>1</v>
      </c>
      <c r="BP174" s="23">
        <f>$L174*AI174</f>
        <v>0</v>
      </c>
      <c r="BQ174" s="23">
        <f>$L174*AJ174</f>
        <v>0</v>
      </c>
      <c r="BR174" s="23">
        <f>$L174*AK174</f>
        <v>0</v>
      </c>
      <c r="BS174" s="23">
        <f>$L174*AL174</f>
        <v>0</v>
      </c>
      <c r="BT174" s="23">
        <f>$L174*AM174</f>
        <v>0</v>
      </c>
      <c r="BU174" s="23">
        <f>$L174*AN174</f>
        <v>0</v>
      </c>
      <c r="BV174" s="23">
        <f>$L174*AO174</f>
        <v>0</v>
      </c>
      <c r="BW174" s="23">
        <f>$L174*AP174</f>
        <v>0</v>
      </c>
      <c r="BX174" s="23">
        <f>$L174*AQ174</f>
        <v>0</v>
      </c>
      <c r="BY174" s="23">
        <f>$L174*AR174</f>
        <v>0</v>
      </c>
      <c r="BZ174" s="23">
        <f>$L174*AS174</f>
        <v>0</v>
      </c>
      <c r="CA174" s="23">
        <f>$L174*AT174</f>
        <v>0</v>
      </c>
      <c r="CB174" s="23">
        <f>$L174*AU174</f>
        <v>0</v>
      </c>
      <c r="CC174" s="23">
        <f>$L174*AV174</f>
        <v>0</v>
      </c>
      <c r="CD174" s="23">
        <f>$L174*AW174</f>
        <v>0</v>
      </c>
      <c r="CE174" s="23">
        <f>$L174*AX174</f>
        <v>0</v>
      </c>
      <c r="CF174" s="23">
        <f>$L174*AY174</f>
        <v>0</v>
      </c>
      <c r="CG174" s="23">
        <f>$L174*AZ174</f>
        <v>0</v>
      </c>
      <c r="CH174" s="23">
        <f>$L174*BA174</f>
        <v>0</v>
      </c>
      <c r="CI174" s="23">
        <f>$L174*BB174</f>
        <v>0</v>
      </c>
      <c r="CJ174" s="23">
        <f>$L174*BC174</f>
        <v>0</v>
      </c>
      <c r="CK174" s="23">
        <f>$L174*BD174</f>
        <v>0</v>
      </c>
      <c r="CL174" s="23">
        <f>$L174*BE174</f>
        <v>0</v>
      </c>
      <c r="CM174" s="23">
        <f>$L174*BF174</f>
        <v>0</v>
      </c>
      <c r="CN174" s="23">
        <f>$L174*BG174</f>
        <v>1</v>
      </c>
      <c r="CO174" s="23">
        <f>$L174*BH174</f>
        <v>1</v>
      </c>
      <c r="CP174" s="23">
        <f>$L174*BI174</f>
        <v>1</v>
      </c>
      <c r="CQ174" s="23">
        <f>$L174*BJ174</f>
        <v>1</v>
      </c>
      <c r="CR174" s="23">
        <f>$L174*BK174</f>
        <v>1</v>
      </c>
      <c r="CS174" s="23">
        <f>$L174*BL174</f>
        <v>1</v>
      </c>
      <c r="CT174" s="23">
        <f>$L174*BM174</f>
        <v>1</v>
      </c>
      <c r="CU174" s="23">
        <f>$L174*BN174</f>
        <v>1</v>
      </c>
      <c r="CV174" s="23">
        <f>$L174*BO174</f>
        <v>1</v>
      </c>
    </row>
    <row r="175" spans="1:100" ht="13.5" x14ac:dyDescent="0.15">
      <c r="A175" s="15">
        <v>81</v>
      </c>
      <c r="B175" s="28" t="s">
        <v>558</v>
      </c>
      <c r="C175" t="s">
        <v>414</v>
      </c>
      <c r="E175" t="s">
        <v>140</v>
      </c>
      <c r="F175" t="s">
        <v>415</v>
      </c>
      <c r="G175" t="s">
        <v>140</v>
      </c>
      <c r="H175" t="s">
        <v>141</v>
      </c>
      <c r="I175" s="6" t="s">
        <v>136</v>
      </c>
      <c r="J175" s="6">
        <v>0</v>
      </c>
      <c r="L175" s="15">
        <v>1</v>
      </c>
      <c r="M175" s="7">
        <v>46080</v>
      </c>
      <c r="N175" s="7">
        <v>46114</v>
      </c>
      <c r="O175" s="7">
        <v>46107</v>
      </c>
      <c r="P175" s="7">
        <v>46112</v>
      </c>
      <c r="R175" s="6" t="s">
        <v>419</v>
      </c>
      <c r="S175" s="6" t="s">
        <v>140</v>
      </c>
      <c r="U175" s="6" t="s">
        <v>413</v>
      </c>
      <c r="V175" s="6" t="str">
        <f>TEXT(N175,"YY/MM")</f>
        <v>26/04</v>
      </c>
      <c r="W175">
        <v>1547</v>
      </c>
      <c r="AA175">
        <v>901</v>
      </c>
      <c r="AC175">
        <v>954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1</v>
      </c>
      <c r="BH175" s="23">
        <v>1</v>
      </c>
      <c r="BI175" s="23">
        <v>1</v>
      </c>
      <c r="BJ175" s="23">
        <v>1</v>
      </c>
      <c r="BK175" s="23">
        <v>1</v>
      </c>
      <c r="BL175" s="23">
        <v>1</v>
      </c>
      <c r="BM175" s="23">
        <v>1</v>
      </c>
      <c r="BN175" s="23">
        <v>1</v>
      </c>
      <c r="BO175" s="23">
        <v>1</v>
      </c>
      <c r="BP175" s="23">
        <f>$L175*AI175</f>
        <v>0</v>
      </c>
      <c r="BQ175" s="23">
        <f>$L175*AJ175</f>
        <v>0</v>
      </c>
      <c r="BR175" s="23">
        <f>$L175*AK175</f>
        <v>0</v>
      </c>
      <c r="BS175" s="23">
        <f>$L175*AL175</f>
        <v>0</v>
      </c>
      <c r="BT175" s="23">
        <f>$L175*AM175</f>
        <v>0</v>
      </c>
      <c r="BU175" s="23">
        <f>$L175*AN175</f>
        <v>0</v>
      </c>
      <c r="BV175" s="23">
        <f>$L175*AO175</f>
        <v>0</v>
      </c>
      <c r="BW175" s="23">
        <f>$L175*AP175</f>
        <v>0</v>
      </c>
      <c r="BX175" s="23">
        <f>$L175*AQ175</f>
        <v>0</v>
      </c>
      <c r="BY175" s="23">
        <f>$L175*AR175</f>
        <v>0</v>
      </c>
      <c r="BZ175" s="23">
        <f>$L175*AS175</f>
        <v>0</v>
      </c>
      <c r="CA175" s="23">
        <f>$L175*AT175</f>
        <v>0</v>
      </c>
      <c r="CB175" s="23">
        <f>$L175*AU175</f>
        <v>0</v>
      </c>
      <c r="CC175" s="23">
        <f>$L175*AV175</f>
        <v>0</v>
      </c>
      <c r="CD175" s="23">
        <f>$L175*AW175</f>
        <v>0</v>
      </c>
      <c r="CE175" s="23">
        <f>$L175*AX175</f>
        <v>0</v>
      </c>
      <c r="CF175" s="23">
        <f>$L175*AY175</f>
        <v>0</v>
      </c>
      <c r="CG175" s="23">
        <f>$L175*AZ175</f>
        <v>0</v>
      </c>
      <c r="CH175" s="23">
        <f>$L175*BA175</f>
        <v>0</v>
      </c>
      <c r="CI175" s="23">
        <f>$L175*BB175</f>
        <v>0</v>
      </c>
      <c r="CJ175" s="23">
        <f>$L175*BC175</f>
        <v>0</v>
      </c>
      <c r="CK175" s="23">
        <f>$L175*BD175</f>
        <v>0</v>
      </c>
      <c r="CL175" s="23">
        <f>$L175*BE175</f>
        <v>0</v>
      </c>
      <c r="CM175" s="23">
        <f>$L175*BF175</f>
        <v>0</v>
      </c>
      <c r="CN175" s="23">
        <f>$L175*BG175</f>
        <v>1</v>
      </c>
      <c r="CO175" s="23">
        <f>$L175*BH175</f>
        <v>1</v>
      </c>
      <c r="CP175" s="23">
        <f>$L175*BI175</f>
        <v>1</v>
      </c>
      <c r="CQ175" s="23">
        <f>$L175*BJ175</f>
        <v>1</v>
      </c>
      <c r="CR175" s="23">
        <f>$L175*BK175</f>
        <v>1</v>
      </c>
      <c r="CS175" s="23">
        <f>$L175*BL175</f>
        <v>1</v>
      </c>
      <c r="CT175" s="23">
        <f>$L175*BM175</f>
        <v>1</v>
      </c>
      <c r="CU175" s="23">
        <f>$L175*BN175</f>
        <v>1</v>
      </c>
      <c r="CV175" s="23">
        <f>$L175*BO175</f>
        <v>1</v>
      </c>
    </row>
    <row r="176" spans="1:100" ht="13.5" x14ac:dyDescent="0.15">
      <c r="A176" s="15">
        <v>81</v>
      </c>
      <c r="B176" s="28" t="s">
        <v>559</v>
      </c>
      <c r="C176" t="s">
        <v>414</v>
      </c>
      <c r="E176" t="s">
        <v>140</v>
      </c>
      <c r="F176" t="s">
        <v>415</v>
      </c>
      <c r="G176" t="s">
        <v>140</v>
      </c>
      <c r="H176" t="s">
        <v>141</v>
      </c>
      <c r="I176" s="6" t="s">
        <v>136</v>
      </c>
      <c r="J176" s="6">
        <v>0</v>
      </c>
      <c r="L176" s="15">
        <v>1</v>
      </c>
      <c r="M176" s="7">
        <v>46080</v>
      </c>
      <c r="N176" s="7">
        <v>46115</v>
      </c>
      <c r="O176" s="7">
        <v>46107</v>
      </c>
      <c r="P176" s="7">
        <v>46112</v>
      </c>
      <c r="R176" s="6" t="s">
        <v>419</v>
      </c>
      <c r="S176" s="6" t="s">
        <v>140</v>
      </c>
      <c r="U176" s="6" t="s">
        <v>413</v>
      </c>
      <c r="V176" s="6" t="str">
        <f>TEXT(N176,"YY/MM")</f>
        <v>26/04</v>
      </c>
      <c r="W176">
        <v>1548</v>
      </c>
      <c r="AA176">
        <v>902</v>
      </c>
      <c r="AC176">
        <v>955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1</v>
      </c>
      <c r="BH176" s="23">
        <v>1</v>
      </c>
      <c r="BI176" s="23">
        <v>1</v>
      </c>
      <c r="BJ176" s="23">
        <v>1</v>
      </c>
      <c r="BK176" s="23">
        <v>1</v>
      </c>
      <c r="BL176" s="23">
        <v>1</v>
      </c>
      <c r="BM176" s="23">
        <v>1</v>
      </c>
      <c r="BN176" s="23">
        <v>1</v>
      </c>
      <c r="BO176" s="23">
        <v>1</v>
      </c>
      <c r="BP176" s="23">
        <f>$L176*AI176</f>
        <v>0</v>
      </c>
      <c r="BQ176" s="23">
        <f>$L176*AJ176</f>
        <v>0</v>
      </c>
      <c r="BR176" s="23">
        <f>$L176*AK176</f>
        <v>0</v>
      </c>
      <c r="BS176" s="23">
        <f>$L176*AL176</f>
        <v>0</v>
      </c>
      <c r="BT176" s="23">
        <f>$L176*AM176</f>
        <v>0</v>
      </c>
      <c r="BU176" s="23">
        <f>$L176*AN176</f>
        <v>0</v>
      </c>
      <c r="BV176" s="23">
        <f>$L176*AO176</f>
        <v>0</v>
      </c>
      <c r="BW176" s="23">
        <f>$L176*AP176</f>
        <v>0</v>
      </c>
      <c r="BX176" s="23">
        <f>$L176*AQ176</f>
        <v>0</v>
      </c>
      <c r="BY176" s="23">
        <f>$L176*AR176</f>
        <v>0</v>
      </c>
      <c r="BZ176" s="23">
        <f>$L176*AS176</f>
        <v>0</v>
      </c>
      <c r="CA176" s="23">
        <f>$L176*AT176</f>
        <v>0</v>
      </c>
      <c r="CB176" s="23">
        <f>$L176*AU176</f>
        <v>0</v>
      </c>
      <c r="CC176" s="23">
        <f>$L176*AV176</f>
        <v>0</v>
      </c>
      <c r="CD176" s="23">
        <f>$L176*AW176</f>
        <v>0</v>
      </c>
      <c r="CE176" s="23">
        <f>$L176*AX176</f>
        <v>0</v>
      </c>
      <c r="CF176" s="23">
        <f>$L176*AY176</f>
        <v>0</v>
      </c>
      <c r="CG176" s="23">
        <f>$L176*AZ176</f>
        <v>0</v>
      </c>
      <c r="CH176" s="23">
        <f>$L176*BA176</f>
        <v>0</v>
      </c>
      <c r="CI176" s="23">
        <f>$L176*BB176</f>
        <v>0</v>
      </c>
      <c r="CJ176" s="23">
        <f>$L176*BC176</f>
        <v>0</v>
      </c>
      <c r="CK176" s="23">
        <f>$L176*BD176</f>
        <v>0</v>
      </c>
      <c r="CL176" s="23">
        <f>$L176*BE176</f>
        <v>0</v>
      </c>
      <c r="CM176" s="23">
        <f>$L176*BF176</f>
        <v>0</v>
      </c>
      <c r="CN176" s="23">
        <f>$L176*BG176</f>
        <v>1</v>
      </c>
      <c r="CO176" s="23">
        <f>$L176*BH176</f>
        <v>1</v>
      </c>
      <c r="CP176" s="23">
        <f>$L176*BI176</f>
        <v>1</v>
      </c>
      <c r="CQ176" s="23">
        <f>$L176*BJ176</f>
        <v>1</v>
      </c>
      <c r="CR176" s="23">
        <f>$L176*BK176</f>
        <v>1</v>
      </c>
      <c r="CS176" s="23">
        <f>$L176*BL176</f>
        <v>1</v>
      </c>
      <c r="CT176" s="23">
        <f>$L176*BM176</f>
        <v>1</v>
      </c>
      <c r="CU176" s="23">
        <f>$L176*BN176</f>
        <v>1</v>
      </c>
      <c r="CV176" s="23">
        <f>$L176*BO176</f>
        <v>1</v>
      </c>
    </row>
    <row r="177" spans="1:100" ht="13.5" x14ac:dyDescent="0.15">
      <c r="A177" s="15">
        <v>81</v>
      </c>
      <c r="B177" s="28" t="s">
        <v>560</v>
      </c>
      <c r="C177" t="s">
        <v>414</v>
      </c>
      <c r="E177" t="s">
        <v>140</v>
      </c>
      <c r="F177" t="s">
        <v>415</v>
      </c>
      <c r="G177" t="s">
        <v>140</v>
      </c>
      <c r="H177" t="s">
        <v>141</v>
      </c>
      <c r="I177" s="6" t="s">
        <v>136</v>
      </c>
      <c r="J177" s="6">
        <v>0</v>
      </c>
      <c r="L177" s="15">
        <v>1</v>
      </c>
      <c r="M177" s="7">
        <v>46080</v>
      </c>
      <c r="N177" s="7">
        <v>46115</v>
      </c>
      <c r="O177" s="7">
        <v>46107</v>
      </c>
      <c r="P177" s="7">
        <v>46112</v>
      </c>
      <c r="R177" s="6" t="s">
        <v>419</v>
      </c>
      <c r="S177" s="6" t="s">
        <v>140</v>
      </c>
      <c r="U177" s="6" t="s">
        <v>413</v>
      </c>
      <c r="V177" s="6" t="str">
        <f>TEXT(N177,"YY/MM")</f>
        <v>26/04</v>
      </c>
      <c r="W177">
        <v>1549</v>
      </c>
      <c r="AA177">
        <v>903</v>
      </c>
      <c r="AC177">
        <v>956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1</v>
      </c>
      <c r="BH177" s="23">
        <v>1</v>
      </c>
      <c r="BI177" s="23">
        <v>1</v>
      </c>
      <c r="BJ177" s="23">
        <v>1</v>
      </c>
      <c r="BK177" s="23">
        <v>1</v>
      </c>
      <c r="BL177" s="23">
        <v>1</v>
      </c>
      <c r="BM177" s="23">
        <v>1</v>
      </c>
      <c r="BN177" s="23">
        <v>1</v>
      </c>
      <c r="BO177" s="23">
        <v>1</v>
      </c>
      <c r="BP177" s="23">
        <f>$L177*AI177</f>
        <v>0</v>
      </c>
      <c r="BQ177" s="23">
        <f>$L177*AJ177</f>
        <v>0</v>
      </c>
      <c r="BR177" s="23">
        <f>$L177*AK177</f>
        <v>0</v>
      </c>
      <c r="BS177" s="23">
        <f>$L177*AL177</f>
        <v>0</v>
      </c>
      <c r="BT177" s="23">
        <f>$L177*AM177</f>
        <v>0</v>
      </c>
      <c r="BU177" s="23">
        <f>$L177*AN177</f>
        <v>0</v>
      </c>
      <c r="BV177" s="23">
        <f>$L177*AO177</f>
        <v>0</v>
      </c>
      <c r="BW177" s="23">
        <f>$L177*AP177</f>
        <v>0</v>
      </c>
      <c r="BX177" s="23">
        <f>$L177*AQ177</f>
        <v>0</v>
      </c>
      <c r="BY177" s="23">
        <f>$L177*AR177</f>
        <v>0</v>
      </c>
      <c r="BZ177" s="23">
        <f>$L177*AS177</f>
        <v>0</v>
      </c>
      <c r="CA177" s="23">
        <f>$L177*AT177</f>
        <v>0</v>
      </c>
      <c r="CB177" s="23">
        <f>$L177*AU177</f>
        <v>0</v>
      </c>
      <c r="CC177" s="23">
        <f>$L177*AV177</f>
        <v>0</v>
      </c>
      <c r="CD177" s="23">
        <f>$L177*AW177</f>
        <v>0</v>
      </c>
      <c r="CE177" s="23">
        <f>$L177*AX177</f>
        <v>0</v>
      </c>
      <c r="CF177" s="23">
        <f>$L177*AY177</f>
        <v>0</v>
      </c>
      <c r="CG177" s="23">
        <f>$L177*AZ177</f>
        <v>0</v>
      </c>
      <c r="CH177" s="23">
        <f>$L177*BA177</f>
        <v>0</v>
      </c>
      <c r="CI177" s="23">
        <f>$L177*BB177</f>
        <v>0</v>
      </c>
      <c r="CJ177" s="23">
        <f>$L177*BC177</f>
        <v>0</v>
      </c>
      <c r="CK177" s="23">
        <f>$L177*BD177</f>
        <v>0</v>
      </c>
      <c r="CL177" s="23">
        <f>$L177*BE177</f>
        <v>0</v>
      </c>
      <c r="CM177" s="23">
        <f>$L177*BF177</f>
        <v>0</v>
      </c>
      <c r="CN177" s="23">
        <f>$L177*BG177</f>
        <v>1</v>
      </c>
      <c r="CO177" s="23">
        <f>$L177*BH177</f>
        <v>1</v>
      </c>
      <c r="CP177" s="23">
        <f>$L177*BI177</f>
        <v>1</v>
      </c>
      <c r="CQ177" s="23">
        <f>$L177*BJ177</f>
        <v>1</v>
      </c>
      <c r="CR177" s="23">
        <f>$L177*BK177</f>
        <v>1</v>
      </c>
      <c r="CS177" s="23">
        <f>$L177*BL177</f>
        <v>1</v>
      </c>
      <c r="CT177" s="23">
        <f>$L177*BM177</f>
        <v>1</v>
      </c>
      <c r="CU177" s="23">
        <f>$L177*BN177</f>
        <v>1</v>
      </c>
      <c r="CV177" s="23">
        <f>$L177*BO177</f>
        <v>1</v>
      </c>
    </row>
    <row r="178" spans="1:100" ht="13.5" x14ac:dyDescent="0.15">
      <c r="A178" s="15">
        <v>81</v>
      </c>
      <c r="B178" s="28" t="s">
        <v>561</v>
      </c>
      <c r="C178" t="s">
        <v>414</v>
      </c>
      <c r="E178" t="s">
        <v>140</v>
      </c>
      <c r="F178" t="s">
        <v>415</v>
      </c>
      <c r="G178" t="s">
        <v>140</v>
      </c>
      <c r="H178" t="s">
        <v>141</v>
      </c>
      <c r="I178" s="6" t="s">
        <v>136</v>
      </c>
      <c r="J178" s="6">
        <v>0</v>
      </c>
      <c r="L178" s="15">
        <v>1</v>
      </c>
      <c r="M178" s="7">
        <v>46080</v>
      </c>
      <c r="N178" s="7">
        <v>46118</v>
      </c>
      <c r="O178" s="7">
        <v>46107</v>
      </c>
      <c r="P178" s="7">
        <v>46112</v>
      </c>
      <c r="R178" s="6" t="s">
        <v>419</v>
      </c>
      <c r="S178" s="6" t="s">
        <v>140</v>
      </c>
      <c r="U178" s="6" t="s">
        <v>413</v>
      </c>
      <c r="V178" s="6" t="str">
        <f>TEXT(N178,"YY/MM")</f>
        <v>26/04</v>
      </c>
      <c r="W178">
        <v>1550</v>
      </c>
      <c r="AA178">
        <v>904</v>
      </c>
      <c r="AC178">
        <v>957</v>
      </c>
      <c r="AI178" s="23">
        <v>0</v>
      </c>
      <c r="AJ178" s="23">
        <v>0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3">
        <v>0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1</v>
      </c>
      <c r="BH178" s="23">
        <v>1</v>
      </c>
      <c r="BI178" s="23">
        <v>1</v>
      </c>
      <c r="BJ178" s="23">
        <v>1</v>
      </c>
      <c r="BK178" s="23">
        <v>1</v>
      </c>
      <c r="BL178" s="23">
        <v>1</v>
      </c>
      <c r="BM178" s="23">
        <v>1</v>
      </c>
      <c r="BN178" s="23">
        <v>1</v>
      </c>
      <c r="BO178" s="23">
        <v>1</v>
      </c>
      <c r="BP178" s="23">
        <f>$L178*AI178</f>
        <v>0</v>
      </c>
      <c r="BQ178" s="23">
        <f>$L178*AJ178</f>
        <v>0</v>
      </c>
      <c r="BR178" s="23">
        <f>$L178*AK178</f>
        <v>0</v>
      </c>
      <c r="BS178" s="23">
        <f>$L178*AL178</f>
        <v>0</v>
      </c>
      <c r="BT178" s="23">
        <f>$L178*AM178</f>
        <v>0</v>
      </c>
      <c r="BU178" s="23">
        <f>$L178*AN178</f>
        <v>0</v>
      </c>
      <c r="BV178" s="23">
        <f>$L178*AO178</f>
        <v>0</v>
      </c>
      <c r="BW178" s="23">
        <f>$L178*AP178</f>
        <v>0</v>
      </c>
      <c r="BX178" s="23">
        <f>$L178*AQ178</f>
        <v>0</v>
      </c>
      <c r="BY178" s="23">
        <f>$L178*AR178</f>
        <v>0</v>
      </c>
      <c r="BZ178" s="23">
        <f>$L178*AS178</f>
        <v>0</v>
      </c>
      <c r="CA178" s="23">
        <f>$L178*AT178</f>
        <v>0</v>
      </c>
      <c r="CB178" s="23">
        <f>$L178*AU178</f>
        <v>0</v>
      </c>
      <c r="CC178" s="23">
        <f>$L178*AV178</f>
        <v>0</v>
      </c>
      <c r="CD178" s="23">
        <f>$L178*AW178</f>
        <v>0</v>
      </c>
      <c r="CE178" s="23">
        <f>$L178*AX178</f>
        <v>0</v>
      </c>
      <c r="CF178" s="23">
        <f>$L178*AY178</f>
        <v>0</v>
      </c>
      <c r="CG178" s="23">
        <f>$L178*AZ178</f>
        <v>0</v>
      </c>
      <c r="CH178" s="23">
        <f>$L178*BA178</f>
        <v>0</v>
      </c>
      <c r="CI178" s="23">
        <f>$L178*BB178</f>
        <v>0</v>
      </c>
      <c r="CJ178" s="23">
        <f>$L178*BC178</f>
        <v>0</v>
      </c>
      <c r="CK178" s="23">
        <f>$L178*BD178</f>
        <v>0</v>
      </c>
      <c r="CL178" s="23">
        <f>$L178*BE178</f>
        <v>0</v>
      </c>
      <c r="CM178" s="23">
        <f>$L178*BF178</f>
        <v>0</v>
      </c>
      <c r="CN178" s="23">
        <f>$L178*BG178</f>
        <v>1</v>
      </c>
      <c r="CO178" s="23">
        <f>$L178*BH178</f>
        <v>1</v>
      </c>
      <c r="CP178" s="23">
        <f>$L178*BI178</f>
        <v>1</v>
      </c>
      <c r="CQ178" s="23">
        <f>$L178*BJ178</f>
        <v>1</v>
      </c>
      <c r="CR178" s="23">
        <f>$L178*BK178</f>
        <v>1</v>
      </c>
      <c r="CS178" s="23">
        <f>$L178*BL178</f>
        <v>1</v>
      </c>
      <c r="CT178" s="23">
        <f>$L178*BM178</f>
        <v>1</v>
      </c>
      <c r="CU178" s="23">
        <f>$L178*BN178</f>
        <v>1</v>
      </c>
      <c r="CV178" s="23">
        <f>$L178*BO178</f>
        <v>1</v>
      </c>
    </row>
    <row r="179" spans="1:100" ht="13.5" x14ac:dyDescent="0.15">
      <c r="A179" s="15">
        <v>81</v>
      </c>
      <c r="B179" s="28" t="s">
        <v>562</v>
      </c>
      <c r="C179" t="s">
        <v>414</v>
      </c>
      <c r="E179" t="s">
        <v>140</v>
      </c>
      <c r="F179" t="s">
        <v>415</v>
      </c>
      <c r="G179" t="s">
        <v>140</v>
      </c>
      <c r="H179" t="s">
        <v>141</v>
      </c>
      <c r="I179" s="6" t="s">
        <v>136</v>
      </c>
      <c r="J179" s="6">
        <v>0</v>
      </c>
      <c r="L179" s="15">
        <v>1</v>
      </c>
      <c r="M179" s="7">
        <v>46080</v>
      </c>
      <c r="N179" s="7">
        <v>46118</v>
      </c>
      <c r="O179" s="7">
        <v>46107</v>
      </c>
      <c r="P179" s="7">
        <v>46112</v>
      </c>
      <c r="R179" s="6" t="s">
        <v>419</v>
      </c>
      <c r="S179" s="6" t="s">
        <v>140</v>
      </c>
      <c r="U179" s="6" t="s">
        <v>413</v>
      </c>
      <c r="V179" s="6" t="str">
        <f>TEXT(N179,"YY/MM")</f>
        <v>26/04</v>
      </c>
      <c r="W179">
        <v>1551</v>
      </c>
      <c r="AA179">
        <v>905</v>
      </c>
      <c r="AC179">
        <v>958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1</v>
      </c>
      <c r="BH179" s="23">
        <v>1</v>
      </c>
      <c r="BI179" s="23">
        <v>1</v>
      </c>
      <c r="BJ179" s="23">
        <v>1</v>
      </c>
      <c r="BK179" s="23">
        <v>1</v>
      </c>
      <c r="BL179" s="23">
        <v>1</v>
      </c>
      <c r="BM179" s="23">
        <v>1</v>
      </c>
      <c r="BN179" s="23">
        <v>1</v>
      </c>
      <c r="BO179" s="23">
        <v>1</v>
      </c>
      <c r="BP179" s="23">
        <f>$L179*AI179</f>
        <v>0</v>
      </c>
      <c r="BQ179" s="23">
        <f>$L179*AJ179</f>
        <v>0</v>
      </c>
      <c r="BR179" s="23">
        <f>$L179*AK179</f>
        <v>0</v>
      </c>
      <c r="BS179" s="23">
        <f>$L179*AL179</f>
        <v>0</v>
      </c>
      <c r="BT179" s="23">
        <f>$L179*AM179</f>
        <v>0</v>
      </c>
      <c r="BU179" s="23">
        <f>$L179*AN179</f>
        <v>0</v>
      </c>
      <c r="BV179" s="23">
        <f>$L179*AO179</f>
        <v>0</v>
      </c>
      <c r="BW179" s="23">
        <f>$L179*AP179</f>
        <v>0</v>
      </c>
      <c r="BX179" s="23">
        <f>$L179*AQ179</f>
        <v>0</v>
      </c>
      <c r="BY179" s="23">
        <f>$L179*AR179</f>
        <v>0</v>
      </c>
      <c r="BZ179" s="23">
        <f>$L179*AS179</f>
        <v>0</v>
      </c>
      <c r="CA179" s="23">
        <f>$L179*AT179</f>
        <v>0</v>
      </c>
      <c r="CB179" s="23">
        <f>$L179*AU179</f>
        <v>0</v>
      </c>
      <c r="CC179" s="23">
        <f>$L179*AV179</f>
        <v>0</v>
      </c>
      <c r="CD179" s="23">
        <f>$L179*AW179</f>
        <v>0</v>
      </c>
      <c r="CE179" s="23">
        <f>$L179*AX179</f>
        <v>0</v>
      </c>
      <c r="CF179" s="23">
        <f>$L179*AY179</f>
        <v>0</v>
      </c>
      <c r="CG179" s="23">
        <f>$L179*AZ179</f>
        <v>0</v>
      </c>
      <c r="CH179" s="23">
        <f>$L179*BA179</f>
        <v>0</v>
      </c>
      <c r="CI179" s="23">
        <f>$L179*BB179</f>
        <v>0</v>
      </c>
      <c r="CJ179" s="23">
        <f>$L179*BC179</f>
        <v>0</v>
      </c>
      <c r="CK179" s="23">
        <f>$L179*BD179</f>
        <v>0</v>
      </c>
      <c r="CL179" s="23">
        <f>$L179*BE179</f>
        <v>0</v>
      </c>
      <c r="CM179" s="23">
        <f>$L179*BF179</f>
        <v>0</v>
      </c>
      <c r="CN179" s="23">
        <f>$L179*BG179</f>
        <v>1</v>
      </c>
      <c r="CO179" s="23">
        <f>$L179*BH179</f>
        <v>1</v>
      </c>
      <c r="CP179" s="23">
        <f>$L179*BI179</f>
        <v>1</v>
      </c>
      <c r="CQ179" s="23">
        <f>$L179*BJ179</f>
        <v>1</v>
      </c>
      <c r="CR179" s="23">
        <f>$L179*BK179</f>
        <v>1</v>
      </c>
      <c r="CS179" s="23">
        <f>$L179*BL179</f>
        <v>1</v>
      </c>
      <c r="CT179" s="23">
        <f>$L179*BM179</f>
        <v>1</v>
      </c>
      <c r="CU179" s="23">
        <f>$L179*BN179</f>
        <v>1</v>
      </c>
      <c r="CV179" s="23">
        <f>$L179*BO179</f>
        <v>1</v>
      </c>
    </row>
    <row r="180" spans="1:100" ht="13.5" x14ac:dyDescent="0.15">
      <c r="A180" s="15">
        <v>81</v>
      </c>
      <c r="B180" s="28" t="s">
        <v>563</v>
      </c>
      <c r="C180" t="s">
        <v>414</v>
      </c>
      <c r="E180" t="s">
        <v>140</v>
      </c>
      <c r="F180" t="s">
        <v>415</v>
      </c>
      <c r="G180" t="s">
        <v>140</v>
      </c>
      <c r="H180" t="s">
        <v>141</v>
      </c>
      <c r="I180" s="6" t="s">
        <v>136</v>
      </c>
      <c r="J180" s="6">
        <v>0</v>
      </c>
      <c r="L180" s="15">
        <v>1</v>
      </c>
      <c r="M180" s="7">
        <v>46080</v>
      </c>
      <c r="N180" s="7">
        <v>46119</v>
      </c>
      <c r="O180" s="7">
        <v>46107</v>
      </c>
      <c r="P180" s="7">
        <v>46112</v>
      </c>
      <c r="R180" s="6" t="s">
        <v>419</v>
      </c>
      <c r="S180" s="6" t="s">
        <v>140</v>
      </c>
      <c r="U180" s="6" t="s">
        <v>413</v>
      </c>
      <c r="V180" s="6" t="str">
        <f>TEXT(N180,"YY/MM")</f>
        <v>26/04</v>
      </c>
      <c r="W180">
        <v>1552</v>
      </c>
      <c r="AA180">
        <v>906</v>
      </c>
      <c r="AC180">
        <v>959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1</v>
      </c>
      <c r="BH180" s="23">
        <v>1</v>
      </c>
      <c r="BI180" s="23">
        <v>1</v>
      </c>
      <c r="BJ180" s="23">
        <v>1</v>
      </c>
      <c r="BK180" s="23">
        <v>1</v>
      </c>
      <c r="BL180" s="23">
        <v>1</v>
      </c>
      <c r="BM180" s="23">
        <v>1</v>
      </c>
      <c r="BN180" s="23">
        <v>1</v>
      </c>
      <c r="BO180" s="23">
        <v>1</v>
      </c>
      <c r="BP180" s="23">
        <f>$L180*AI180</f>
        <v>0</v>
      </c>
      <c r="BQ180" s="23">
        <f>$L180*AJ180</f>
        <v>0</v>
      </c>
      <c r="BR180" s="23">
        <f>$L180*AK180</f>
        <v>0</v>
      </c>
      <c r="BS180" s="23">
        <f>$L180*AL180</f>
        <v>0</v>
      </c>
      <c r="BT180" s="23">
        <f>$L180*AM180</f>
        <v>0</v>
      </c>
      <c r="BU180" s="23">
        <f>$L180*AN180</f>
        <v>0</v>
      </c>
      <c r="BV180" s="23">
        <f>$L180*AO180</f>
        <v>0</v>
      </c>
      <c r="BW180" s="23">
        <f>$L180*AP180</f>
        <v>0</v>
      </c>
      <c r="BX180" s="23">
        <f>$L180*AQ180</f>
        <v>0</v>
      </c>
      <c r="BY180" s="23">
        <f>$L180*AR180</f>
        <v>0</v>
      </c>
      <c r="BZ180" s="23">
        <f>$L180*AS180</f>
        <v>0</v>
      </c>
      <c r="CA180" s="23">
        <f>$L180*AT180</f>
        <v>0</v>
      </c>
      <c r="CB180" s="23">
        <f>$L180*AU180</f>
        <v>0</v>
      </c>
      <c r="CC180" s="23">
        <f>$L180*AV180</f>
        <v>0</v>
      </c>
      <c r="CD180" s="23">
        <f>$L180*AW180</f>
        <v>0</v>
      </c>
      <c r="CE180" s="23">
        <f>$L180*AX180</f>
        <v>0</v>
      </c>
      <c r="CF180" s="23">
        <f>$L180*AY180</f>
        <v>0</v>
      </c>
      <c r="CG180" s="23">
        <f>$L180*AZ180</f>
        <v>0</v>
      </c>
      <c r="CH180" s="23">
        <f>$L180*BA180</f>
        <v>0</v>
      </c>
      <c r="CI180" s="23">
        <f>$L180*BB180</f>
        <v>0</v>
      </c>
      <c r="CJ180" s="23">
        <f>$L180*BC180</f>
        <v>0</v>
      </c>
      <c r="CK180" s="23">
        <f>$L180*BD180</f>
        <v>0</v>
      </c>
      <c r="CL180" s="23">
        <f>$L180*BE180</f>
        <v>0</v>
      </c>
      <c r="CM180" s="23">
        <f>$L180*BF180</f>
        <v>0</v>
      </c>
      <c r="CN180" s="23">
        <f>$L180*BG180</f>
        <v>1</v>
      </c>
      <c r="CO180" s="23">
        <f>$L180*BH180</f>
        <v>1</v>
      </c>
      <c r="CP180" s="23">
        <f>$L180*BI180</f>
        <v>1</v>
      </c>
      <c r="CQ180" s="23">
        <f>$L180*BJ180</f>
        <v>1</v>
      </c>
      <c r="CR180" s="23">
        <f>$L180*BK180</f>
        <v>1</v>
      </c>
      <c r="CS180" s="23">
        <f>$L180*BL180</f>
        <v>1</v>
      </c>
      <c r="CT180" s="23">
        <f>$L180*BM180</f>
        <v>1</v>
      </c>
      <c r="CU180" s="23">
        <f>$L180*BN180</f>
        <v>1</v>
      </c>
      <c r="CV180" s="23">
        <f>$L180*BO180</f>
        <v>1</v>
      </c>
    </row>
    <row r="181" spans="1:100" ht="13.5" x14ac:dyDescent="0.15">
      <c r="A181" s="15">
        <v>81</v>
      </c>
      <c r="B181" s="28" t="s">
        <v>564</v>
      </c>
      <c r="C181" t="s">
        <v>414</v>
      </c>
      <c r="E181" t="s">
        <v>140</v>
      </c>
      <c r="F181" t="s">
        <v>415</v>
      </c>
      <c r="G181" t="s">
        <v>140</v>
      </c>
      <c r="H181" t="s">
        <v>141</v>
      </c>
      <c r="I181" s="6" t="s">
        <v>136</v>
      </c>
      <c r="J181" s="6">
        <v>0</v>
      </c>
      <c r="L181" s="15">
        <v>1</v>
      </c>
      <c r="M181" s="7">
        <v>46080</v>
      </c>
      <c r="N181" s="7">
        <v>46119</v>
      </c>
      <c r="O181" s="7">
        <v>46107</v>
      </c>
      <c r="P181" s="7">
        <v>46112</v>
      </c>
      <c r="R181" s="6" t="s">
        <v>419</v>
      </c>
      <c r="S181" s="6" t="s">
        <v>140</v>
      </c>
      <c r="U181" s="6" t="s">
        <v>413</v>
      </c>
      <c r="V181" s="6" t="str">
        <f>TEXT(N181,"YY/MM")</f>
        <v>26/04</v>
      </c>
      <c r="W181">
        <v>1553</v>
      </c>
      <c r="AA181">
        <v>907</v>
      </c>
      <c r="AC181">
        <v>960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1</v>
      </c>
      <c r="BH181" s="23">
        <v>1</v>
      </c>
      <c r="BI181" s="23">
        <v>1</v>
      </c>
      <c r="BJ181" s="23">
        <v>1</v>
      </c>
      <c r="BK181" s="23">
        <v>1</v>
      </c>
      <c r="BL181" s="23">
        <v>1</v>
      </c>
      <c r="BM181" s="23">
        <v>1</v>
      </c>
      <c r="BN181" s="23">
        <v>1</v>
      </c>
      <c r="BO181" s="23">
        <v>1</v>
      </c>
      <c r="BP181" s="23">
        <f>$L181*AI181</f>
        <v>0</v>
      </c>
      <c r="BQ181" s="23">
        <f>$L181*AJ181</f>
        <v>0</v>
      </c>
      <c r="BR181" s="23">
        <f>$L181*AK181</f>
        <v>0</v>
      </c>
      <c r="BS181" s="23">
        <f>$L181*AL181</f>
        <v>0</v>
      </c>
      <c r="BT181" s="23">
        <f>$L181*AM181</f>
        <v>0</v>
      </c>
      <c r="BU181" s="23">
        <f>$L181*AN181</f>
        <v>0</v>
      </c>
      <c r="BV181" s="23">
        <f>$L181*AO181</f>
        <v>0</v>
      </c>
      <c r="BW181" s="23">
        <f>$L181*AP181</f>
        <v>0</v>
      </c>
      <c r="BX181" s="23">
        <f>$L181*AQ181</f>
        <v>0</v>
      </c>
      <c r="BY181" s="23">
        <f>$L181*AR181</f>
        <v>0</v>
      </c>
      <c r="BZ181" s="23">
        <f>$L181*AS181</f>
        <v>0</v>
      </c>
      <c r="CA181" s="23">
        <f>$L181*AT181</f>
        <v>0</v>
      </c>
      <c r="CB181" s="23">
        <f>$L181*AU181</f>
        <v>0</v>
      </c>
      <c r="CC181" s="23">
        <f>$L181*AV181</f>
        <v>0</v>
      </c>
      <c r="CD181" s="23">
        <f>$L181*AW181</f>
        <v>0</v>
      </c>
      <c r="CE181" s="23">
        <f>$L181*AX181</f>
        <v>0</v>
      </c>
      <c r="CF181" s="23">
        <f>$L181*AY181</f>
        <v>0</v>
      </c>
      <c r="CG181" s="23">
        <f>$L181*AZ181</f>
        <v>0</v>
      </c>
      <c r="CH181" s="23">
        <f>$L181*BA181</f>
        <v>0</v>
      </c>
      <c r="CI181" s="23">
        <f>$L181*BB181</f>
        <v>0</v>
      </c>
      <c r="CJ181" s="23">
        <f>$L181*BC181</f>
        <v>0</v>
      </c>
      <c r="CK181" s="23">
        <f>$L181*BD181</f>
        <v>0</v>
      </c>
      <c r="CL181" s="23">
        <f>$L181*BE181</f>
        <v>0</v>
      </c>
      <c r="CM181" s="23">
        <f>$L181*BF181</f>
        <v>0</v>
      </c>
      <c r="CN181" s="23">
        <f>$L181*BG181</f>
        <v>1</v>
      </c>
      <c r="CO181" s="23">
        <f>$L181*BH181</f>
        <v>1</v>
      </c>
      <c r="CP181" s="23">
        <f>$L181*BI181</f>
        <v>1</v>
      </c>
      <c r="CQ181" s="23">
        <f>$L181*BJ181</f>
        <v>1</v>
      </c>
      <c r="CR181" s="23">
        <f>$L181*BK181</f>
        <v>1</v>
      </c>
      <c r="CS181" s="23">
        <f>$L181*BL181</f>
        <v>1</v>
      </c>
      <c r="CT181" s="23">
        <f>$L181*BM181</f>
        <v>1</v>
      </c>
      <c r="CU181" s="23">
        <f>$L181*BN181</f>
        <v>1</v>
      </c>
      <c r="CV181" s="23">
        <f>$L181*BO181</f>
        <v>1</v>
      </c>
    </row>
    <row r="182" spans="1:100" ht="13.5" x14ac:dyDescent="0.15">
      <c r="A182" s="15">
        <v>85</v>
      </c>
      <c r="B182" s="28" t="s">
        <v>565</v>
      </c>
      <c r="C182" t="s">
        <v>414</v>
      </c>
      <c r="E182" t="s">
        <v>140</v>
      </c>
      <c r="F182" t="s">
        <v>415</v>
      </c>
      <c r="G182" t="s">
        <v>140</v>
      </c>
      <c r="H182" t="s">
        <v>141</v>
      </c>
      <c r="I182" s="6" t="s">
        <v>136</v>
      </c>
      <c r="J182" s="6">
        <v>0</v>
      </c>
      <c r="L182" s="15">
        <v>1</v>
      </c>
      <c r="M182" s="7">
        <v>46104</v>
      </c>
      <c r="N182" s="7">
        <v>46120</v>
      </c>
      <c r="O182" s="7">
        <v>46118</v>
      </c>
      <c r="P182" s="7">
        <v>46119</v>
      </c>
      <c r="S182" s="6" t="s">
        <v>140</v>
      </c>
      <c r="U182" s="6" t="s">
        <v>413</v>
      </c>
      <c r="V182" s="6" t="str">
        <f>TEXT(N182,"YY/MM")</f>
        <v>26/04</v>
      </c>
      <c r="W182">
        <v>1554</v>
      </c>
      <c r="AA182">
        <v>908</v>
      </c>
      <c r="AC182">
        <v>961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1</v>
      </c>
      <c r="BH182" s="23">
        <v>1</v>
      </c>
      <c r="BI182" s="23">
        <v>1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1</v>
      </c>
      <c r="BP182" s="23">
        <f>$L182*AI182</f>
        <v>0</v>
      </c>
      <c r="BQ182" s="23">
        <f>$L182*AJ182</f>
        <v>0</v>
      </c>
      <c r="BR182" s="23">
        <f>$L182*AK182</f>
        <v>0</v>
      </c>
      <c r="BS182" s="23">
        <f>$L182*AL182</f>
        <v>0</v>
      </c>
      <c r="BT182" s="23">
        <f>$L182*AM182</f>
        <v>0</v>
      </c>
      <c r="BU182" s="23">
        <f>$L182*AN182</f>
        <v>0</v>
      </c>
      <c r="BV182" s="23">
        <f>$L182*AO182</f>
        <v>0</v>
      </c>
      <c r="BW182" s="23">
        <f>$L182*AP182</f>
        <v>0</v>
      </c>
      <c r="BX182" s="23">
        <f>$L182*AQ182</f>
        <v>0</v>
      </c>
      <c r="BY182" s="23">
        <f>$L182*AR182</f>
        <v>0</v>
      </c>
      <c r="BZ182" s="23">
        <f>$L182*AS182</f>
        <v>0</v>
      </c>
      <c r="CA182" s="23">
        <f>$L182*AT182</f>
        <v>0</v>
      </c>
      <c r="CB182" s="23">
        <f>$L182*AU182</f>
        <v>0</v>
      </c>
      <c r="CC182" s="23">
        <f>$L182*AV182</f>
        <v>0</v>
      </c>
      <c r="CD182" s="23">
        <f>$L182*AW182</f>
        <v>0</v>
      </c>
      <c r="CE182" s="23">
        <f>$L182*AX182</f>
        <v>0</v>
      </c>
      <c r="CF182" s="23">
        <f>$L182*AY182</f>
        <v>0</v>
      </c>
      <c r="CG182" s="23">
        <f>$L182*AZ182</f>
        <v>0</v>
      </c>
      <c r="CH182" s="23">
        <f>$L182*BA182</f>
        <v>0</v>
      </c>
      <c r="CI182" s="23">
        <f>$L182*BB182</f>
        <v>0</v>
      </c>
      <c r="CJ182" s="23">
        <f>$L182*BC182</f>
        <v>0</v>
      </c>
      <c r="CK182" s="23">
        <f>$L182*BD182</f>
        <v>0</v>
      </c>
      <c r="CL182" s="23">
        <f>$L182*BE182</f>
        <v>0</v>
      </c>
      <c r="CM182" s="23">
        <f>$L182*BF182</f>
        <v>0</v>
      </c>
      <c r="CN182" s="23">
        <f>$L182*BG182</f>
        <v>1</v>
      </c>
      <c r="CO182" s="23">
        <f>$L182*BH182</f>
        <v>1</v>
      </c>
      <c r="CP182" s="23">
        <f>$L182*BI182</f>
        <v>1</v>
      </c>
      <c r="CQ182" s="23">
        <f>$L182*BJ182</f>
        <v>1</v>
      </c>
      <c r="CR182" s="23">
        <f>$L182*BK182</f>
        <v>1</v>
      </c>
      <c r="CS182" s="23">
        <f>$L182*BL182</f>
        <v>1</v>
      </c>
      <c r="CT182" s="23">
        <f>$L182*BM182</f>
        <v>1</v>
      </c>
      <c r="CU182" s="23">
        <f>$L182*BN182</f>
        <v>1</v>
      </c>
      <c r="CV182" s="23">
        <f>$L182*BO182</f>
        <v>1</v>
      </c>
    </row>
    <row r="183" spans="1:100" ht="13.5" x14ac:dyDescent="0.15">
      <c r="A183" s="15">
        <v>85</v>
      </c>
      <c r="B183" s="28" t="s">
        <v>566</v>
      </c>
      <c r="C183" t="s">
        <v>414</v>
      </c>
      <c r="E183" t="s">
        <v>140</v>
      </c>
      <c r="F183" t="s">
        <v>415</v>
      </c>
      <c r="G183" t="s">
        <v>140</v>
      </c>
      <c r="H183" t="s">
        <v>141</v>
      </c>
      <c r="I183" s="6" t="s">
        <v>136</v>
      </c>
      <c r="J183" s="6">
        <v>0</v>
      </c>
      <c r="L183" s="15">
        <v>1</v>
      </c>
      <c r="M183" s="7">
        <v>46104</v>
      </c>
      <c r="N183" s="7">
        <v>46120</v>
      </c>
      <c r="O183" s="7">
        <v>46118</v>
      </c>
      <c r="P183" s="7">
        <v>46119</v>
      </c>
      <c r="S183" s="6" t="s">
        <v>140</v>
      </c>
      <c r="U183" s="6" t="s">
        <v>413</v>
      </c>
      <c r="V183" s="6" t="str">
        <f>TEXT(N183,"YY/MM")</f>
        <v>26/04</v>
      </c>
      <c r="W183">
        <v>1555</v>
      </c>
      <c r="AA183">
        <v>909</v>
      </c>
      <c r="AC183">
        <v>962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1</v>
      </c>
      <c r="BH183" s="23">
        <v>1</v>
      </c>
      <c r="BI183" s="23">
        <v>1</v>
      </c>
      <c r="BJ183" s="23">
        <v>1</v>
      </c>
      <c r="BK183" s="23">
        <v>1</v>
      </c>
      <c r="BL183" s="23">
        <v>1</v>
      </c>
      <c r="BM183" s="23">
        <v>1</v>
      </c>
      <c r="BN183" s="23">
        <v>1</v>
      </c>
      <c r="BO183" s="23">
        <v>1</v>
      </c>
      <c r="BP183" s="23">
        <f>$L183*AI183</f>
        <v>0</v>
      </c>
      <c r="BQ183" s="23">
        <f>$L183*AJ183</f>
        <v>0</v>
      </c>
      <c r="BR183" s="23">
        <f>$L183*AK183</f>
        <v>0</v>
      </c>
      <c r="BS183" s="23">
        <f>$L183*AL183</f>
        <v>0</v>
      </c>
      <c r="BT183" s="23">
        <f>$L183*AM183</f>
        <v>0</v>
      </c>
      <c r="BU183" s="23">
        <f>$L183*AN183</f>
        <v>0</v>
      </c>
      <c r="BV183" s="23">
        <f>$L183*AO183</f>
        <v>0</v>
      </c>
      <c r="BW183" s="23">
        <f>$L183*AP183</f>
        <v>0</v>
      </c>
      <c r="BX183" s="23">
        <f>$L183*AQ183</f>
        <v>0</v>
      </c>
      <c r="BY183" s="23">
        <f>$L183*AR183</f>
        <v>0</v>
      </c>
      <c r="BZ183" s="23">
        <f>$L183*AS183</f>
        <v>0</v>
      </c>
      <c r="CA183" s="23">
        <f>$L183*AT183</f>
        <v>0</v>
      </c>
      <c r="CB183" s="23">
        <f>$L183*AU183</f>
        <v>0</v>
      </c>
      <c r="CC183" s="23">
        <f>$L183*AV183</f>
        <v>0</v>
      </c>
      <c r="CD183" s="23">
        <f>$L183*AW183</f>
        <v>0</v>
      </c>
      <c r="CE183" s="23">
        <f>$L183*AX183</f>
        <v>0</v>
      </c>
      <c r="CF183" s="23">
        <f>$L183*AY183</f>
        <v>0</v>
      </c>
      <c r="CG183" s="23">
        <f>$L183*AZ183</f>
        <v>0</v>
      </c>
      <c r="CH183" s="23">
        <f>$L183*BA183</f>
        <v>0</v>
      </c>
      <c r="CI183" s="23">
        <f>$L183*BB183</f>
        <v>0</v>
      </c>
      <c r="CJ183" s="23">
        <f>$L183*BC183</f>
        <v>0</v>
      </c>
      <c r="CK183" s="23">
        <f>$L183*BD183</f>
        <v>0</v>
      </c>
      <c r="CL183" s="23">
        <f>$L183*BE183</f>
        <v>0</v>
      </c>
      <c r="CM183" s="23">
        <f>$L183*BF183</f>
        <v>0</v>
      </c>
      <c r="CN183" s="23">
        <f>$L183*BG183</f>
        <v>1</v>
      </c>
      <c r="CO183" s="23">
        <f>$L183*BH183</f>
        <v>1</v>
      </c>
      <c r="CP183" s="23">
        <f>$L183*BI183</f>
        <v>1</v>
      </c>
      <c r="CQ183" s="23">
        <f>$L183*BJ183</f>
        <v>1</v>
      </c>
      <c r="CR183" s="23">
        <f>$L183*BK183</f>
        <v>1</v>
      </c>
      <c r="CS183" s="23">
        <f>$L183*BL183</f>
        <v>1</v>
      </c>
      <c r="CT183" s="23">
        <f>$L183*BM183</f>
        <v>1</v>
      </c>
      <c r="CU183" s="23">
        <f>$L183*BN183</f>
        <v>1</v>
      </c>
      <c r="CV183" s="23">
        <f>$L183*BO183</f>
        <v>1</v>
      </c>
    </row>
    <row r="184" spans="1:100" ht="13.5" x14ac:dyDescent="0.15">
      <c r="A184" s="15">
        <v>85</v>
      </c>
      <c r="B184" s="28" t="s">
        <v>567</v>
      </c>
      <c r="C184" t="s">
        <v>414</v>
      </c>
      <c r="E184" t="s">
        <v>140</v>
      </c>
      <c r="F184" t="s">
        <v>415</v>
      </c>
      <c r="G184" t="s">
        <v>140</v>
      </c>
      <c r="H184" t="s">
        <v>141</v>
      </c>
      <c r="I184" s="6" t="s">
        <v>136</v>
      </c>
      <c r="J184" s="6">
        <v>0</v>
      </c>
      <c r="L184" s="15">
        <v>1</v>
      </c>
      <c r="M184" s="7">
        <v>46104</v>
      </c>
      <c r="N184" s="7">
        <v>46120</v>
      </c>
      <c r="O184" s="7">
        <v>46118</v>
      </c>
      <c r="P184" s="7">
        <v>46119</v>
      </c>
      <c r="S184" s="6" t="s">
        <v>140</v>
      </c>
      <c r="U184" s="6" t="s">
        <v>413</v>
      </c>
      <c r="V184" s="6" t="str">
        <f>TEXT(N184,"YY/MM")</f>
        <v>26/04</v>
      </c>
      <c r="W184">
        <v>1556</v>
      </c>
      <c r="AA184">
        <v>910</v>
      </c>
      <c r="AC184">
        <v>963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1</v>
      </c>
      <c r="BH184" s="23">
        <v>1</v>
      </c>
      <c r="BI184" s="23">
        <v>1</v>
      </c>
      <c r="BJ184" s="23">
        <v>1</v>
      </c>
      <c r="BK184" s="23">
        <v>1</v>
      </c>
      <c r="BL184" s="23">
        <v>1</v>
      </c>
      <c r="BM184" s="23">
        <v>1</v>
      </c>
      <c r="BN184" s="23">
        <v>1</v>
      </c>
      <c r="BO184" s="23">
        <v>1</v>
      </c>
      <c r="BP184" s="23">
        <f>$L184*AI184</f>
        <v>0</v>
      </c>
      <c r="BQ184" s="23">
        <f>$L184*AJ184</f>
        <v>0</v>
      </c>
      <c r="BR184" s="23">
        <f>$L184*AK184</f>
        <v>0</v>
      </c>
      <c r="BS184" s="23">
        <f>$L184*AL184</f>
        <v>0</v>
      </c>
      <c r="BT184" s="23">
        <f>$L184*AM184</f>
        <v>0</v>
      </c>
      <c r="BU184" s="23">
        <f>$L184*AN184</f>
        <v>0</v>
      </c>
      <c r="BV184" s="23">
        <f>$L184*AO184</f>
        <v>0</v>
      </c>
      <c r="BW184" s="23">
        <f>$L184*AP184</f>
        <v>0</v>
      </c>
      <c r="BX184" s="23">
        <f>$L184*AQ184</f>
        <v>0</v>
      </c>
      <c r="BY184" s="23">
        <f>$L184*AR184</f>
        <v>0</v>
      </c>
      <c r="BZ184" s="23">
        <f>$L184*AS184</f>
        <v>0</v>
      </c>
      <c r="CA184" s="23">
        <f>$L184*AT184</f>
        <v>0</v>
      </c>
      <c r="CB184" s="23">
        <f>$L184*AU184</f>
        <v>0</v>
      </c>
      <c r="CC184" s="23">
        <f>$L184*AV184</f>
        <v>0</v>
      </c>
      <c r="CD184" s="23">
        <f>$L184*AW184</f>
        <v>0</v>
      </c>
      <c r="CE184" s="23">
        <f>$L184*AX184</f>
        <v>0</v>
      </c>
      <c r="CF184" s="23">
        <f>$L184*AY184</f>
        <v>0</v>
      </c>
      <c r="CG184" s="23">
        <f>$L184*AZ184</f>
        <v>0</v>
      </c>
      <c r="CH184" s="23">
        <f>$L184*BA184</f>
        <v>0</v>
      </c>
      <c r="CI184" s="23">
        <f>$L184*BB184</f>
        <v>0</v>
      </c>
      <c r="CJ184" s="23">
        <f>$L184*BC184</f>
        <v>0</v>
      </c>
      <c r="CK184" s="23">
        <f>$L184*BD184</f>
        <v>0</v>
      </c>
      <c r="CL184" s="23">
        <f>$L184*BE184</f>
        <v>0</v>
      </c>
      <c r="CM184" s="23">
        <f>$L184*BF184</f>
        <v>0</v>
      </c>
      <c r="CN184" s="23">
        <f>$L184*BG184</f>
        <v>1</v>
      </c>
      <c r="CO184" s="23">
        <f>$L184*BH184</f>
        <v>1</v>
      </c>
      <c r="CP184" s="23">
        <f>$L184*BI184</f>
        <v>1</v>
      </c>
      <c r="CQ184" s="23">
        <f>$L184*BJ184</f>
        <v>1</v>
      </c>
      <c r="CR184" s="23">
        <f>$L184*BK184</f>
        <v>1</v>
      </c>
      <c r="CS184" s="23">
        <f>$L184*BL184</f>
        <v>1</v>
      </c>
      <c r="CT184" s="23">
        <f>$L184*BM184</f>
        <v>1</v>
      </c>
      <c r="CU184" s="23">
        <f>$L184*BN184</f>
        <v>1</v>
      </c>
      <c r="CV184" s="23">
        <f>$L184*BO184</f>
        <v>1</v>
      </c>
    </row>
    <row r="185" spans="1:100" ht="13.5" x14ac:dyDescent="0.15">
      <c r="A185" s="15">
        <v>85</v>
      </c>
      <c r="B185" s="28" t="s">
        <v>568</v>
      </c>
      <c r="C185" t="s">
        <v>414</v>
      </c>
      <c r="E185" t="s">
        <v>140</v>
      </c>
      <c r="F185" t="s">
        <v>415</v>
      </c>
      <c r="G185" t="s">
        <v>140</v>
      </c>
      <c r="H185" t="s">
        <v>141</v>
      </c>
      <c r="I185" s="6" t="s">
        <v>136</v>
      </c>
      <c r="J185" s="6">
        <v>0</v>
      </c>
      <c r="L185" s="15">
        <v>1</v>
      </c>
      <c r="M185" s="7">
        <v>46104</v>
      </c>
      <c r="N185" s="7">
        <v>46121</v>
      </c>
      <c r="O185" s="7">
        <v>46118</v>
      </c>
      <c r="P185" s="7">
        <v>46119</v>
      </c>
      <c r="S185" s="6" t="s">
        <v>140</v>
      </c>
      <c r="U185" s="6" t="s">
        <v>413</v>
      </c>
      <c r="V185" s="6" t="str">
        <f>TEXT(N185,"YY/MM")</f>
        <v>26/04</v>
      </c>
      <c r="W185">
        <v>1557</v>
      </c>
      <c r="AA185">
        <v>911</v>
      </c>
      <c r="AC185">
        <v>964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1</v>
      </c>
      <c r="BH185" s="23">
        <v>1</v>
      </c>
      <c r="BI185" s="23">
        <v>1</v>
      </c>
      <c r="BJ185" s="23">
        <v>1</v>
      </c>
      <c r="BK185" s="23">
        <v>1</v>
      </c>
      <c r="BL185" s="23">
        <v>1</v>
      </c>
      <c r="BM185" s="23">
        <v>1</v>
      </c>
      <c r="BN185" s="23">
        <v>1</v>
      </c>
      <c r="BO185" s="23">
        <v>1</v>
      </c>
      <c r="BP185" s="23">
        <f>$L185*AI185</f>
        <v>0</v>
      </c>
      <c r="BQ185" s="23">
        <f>$L185*AJ185</f>
        <v>0</v>
      </c>
      <c r="BR185" s="23">
        <f>$L185*AK185</f>
        <v>0</v>
      </c>
      <c r="BS185" s="23">
        <f>$L185*AL185</f>
        <v>0</v>
      </c>
      <c r="BT185" s="23">
        <f>$L185*AM185</f>
        <v>0</v>
      </c>
      <c r="BU185" s="23">
        <f>$L185*AN185</f>
        <v>0</v>
      </c>
      <c r="BV185" s="23">
        <f>$L185*AO185</f>
        <v>0</v>
      </c>
      <c r="BW185" s="23">
        <f>$L185*AP185</f>
        <v>0</v>
      </c>
      <c r="BX185" s="23">
        <f>$L185*AQ185</f>
        <v>0</v>
      </c>
      <c r="BY185" s="23">
        <f>$L185*AR185</f>
        <v>0</v>
      </c>
      <c r="BZ185" s="23">
        <f>$L185*AS185</f>
        <v>0</v>
      </c>
      <c r="CA185" s="23">
        <f>$L185*AT185</f>
        <v>0</v>
      </c>
      <c r="CB185" s="23">
        <f>$L185*AU185</f>
        <v>0</v>
      </c>
      <c r="CC185" s="23">
        <f>$L185*AV185</f>
        <v>0</v>
      </c>
      <c r="CD185" s="23">
        <f>$L185*AW185</f>
        <v>0</v>
      </c>
      <c r="CE185" s="23">
        <f>$L185*AX185</f>
        <v>0</v>
      </c>
      <c r="CF185" s="23">
        <f>$L185*AY185</f>
        <v>0</v>
      </c>
      <c r="CG185" s="23">
        <f>$L185*AZ185</f>
        <v>0</v>
      </c>
      <c r="CH185" s="23">
        <f>$L185*BA185</f>
        <v>0</v>
      </c>
      <c r="CI185" s="23">
        <f>$L185*BB185</f>
        <v>0</v>
      </c>
      <c r="CJ185" s="23">
        <f>$L185*BC185</f>
        <v>0</v>
      </c>
      <c r="CK185" s="23">
        <f>$L185*BD185</f>
        <v>0</v>
      </c>
      <c r="CL185" s="23">
        <f>$L185*BE185</f>
        <v>0</v>
      </c>
      <c r="CM185" s="23">
        <f>$L185*BF185</f>
        <v>0</v>
      </c>
      <c r="CN185" s="23">
        <f>$L185*BG185</f>
        <v>1</v>
      </c>
      <c r="CO185" s="23">
        <f>$L185*BH185</f>
        <v>1</v>
      </c>
      <c r="CP185" s="23">
        <f>$L185*BI185</f>
        <v>1</v>
      </c>
      <c r="CQ185" s="23">
        <f>$L185*BJ185</f>
        <v>1</v>
      </c>
      <c r="CR185" s="23">
        <f>$L185*BK185</f>
        <v>1</v>
      </c>
      <c r="CS185" s="23">
        <f>$L185*BL185</f>
        <v>1</v>
      </c>
      <c r="CT185" s="23">
        <f>$L185*BM185</f>
        <v>1</v>
      </c>
      <c r="CU185" s="23">
        <f>$L185*BN185</f>
        <v>1</v>
      </c>
      <c r="CV185" s="23">
        <f>$L185*BO185</f>
        <v>1</v>
      </c>
    </row>
    <row r="186" spans="1:100" ht="13.5" x14ac:dyDescent="0.15">
      <c r="A186" s="15">
        <v>85</v>
      </c>
      <c r="B186" s="28" t="s">
        <v>569</v>
      </c>
      <c r="C186" t="s">
        <v>414</v>
      </c>
      <c r="E186" t="s">
        <v>140</v>
      </c>
      <c r="F186" t="s">
        <v>415</v>
      </c>
      <c r="G186" t="s">
        <v>140</v>
      </c>
      <c r="H186" t="s">
        <v>141</v>
      </c>
      <c r="I186" s="6" t="s">
        <v>136</v>
      </c>
      <c r="J186" s="6">
        <v>0</v>
      </c>
      <c r="L186" s="15">
        <v>1</v>
      </c>
      <c r="M186" s="7">
        <v>46104</v>
      </c>
      <c r="N186" s="7">
        <v>46121</v>
      </c>
      <c r="O186" s="7">
        <v>46118</v>
      </c>
      <c r="P186" s="7">
        <v>46119</v>
      </c>
      <c r="S186" s="6" t="s">
        <v>140</v>
      </c>
      <c r="U186" s="6" t="s">
        <v>413</v>
      </c>
      <c r="V186" s="6" t="str">
        <f>TEXT(N186,"YY/MM")</f>
        <v>26/04</v>
      </c>
      <c r="W186">
        <v>1558</v>
      </c>
      <c r="AA186">
        <v>912</v>
      </c>
      <c r="AC186">
        <v>965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1</v>
      </c>
      <c r="BP186" s="23">
        <f>$L186*AI186</f>
        <v>0</v>
      </c>
      <c r="BQ186" s="23">
        <f>$L186*AJ186</f>
        <v>0</v>
      </c>
      <c r="BR186" s="23">
        <f>$L186*AK186</f>
        <v>0</v>
      </c>
      <c r="BS186" s="23">
        <f>$L186*AL186</f>
        <v>0</v>
      </c>
      <c r="BT186" s="23">
        <f>$L186*AM186</f>
        <v>0</v>
      </c>
      <c r="BU186" s="23">
        <f>$L186*AN186</f>
        <v>0</v>
      </c>
      <c r="BV186" s="23">
        <f>$L186*AO186</f>
        <v>0</v>
      </c>
      <c r="BW186" s="23">
        <f>$L186*AP186</f>
        <v>0</v>
      </c>
      <c r="BX186" s="23">
        <f>$L186*AQ186</f>
        <v>0</v>
      </c>
      <c r="BY186" s="23">
        <f>$L186*AR186</f>
        <v>0</v>
      </c>
      <c r="BZ186" s="23">
        <f>$L186*AS186</f>
        <v>0</v>
      </c>
      <c r="CA186" s="23">
        <f>$L186*AT186</f>
        <v>0</v>
      </c>
      <c r="CB186" s="23">
        <f>$L186*AU186</f>
        <v>0</v>
      </c>
      <c r="CC186" s="23">
        <f>$L186*AV186</f>
        <v>0</v>
      </c>
      <c r="CD186" s="23">
        <f>$L186*AW186</f>
        <v>0</v>
      </c>
      <c r="CE186" s="23">
        <f>$L186*AX186</f>
        <v>0</v>
      </c>
      <c r="CF186" s="23">
        <f>$L186*AY186</f>
        <v>0</v>
      </c>
      <c r="CG186" s="23">
        <f>$L186*AZ186</f>
        <v>0</v>
      </c>
      <c r="CH186" s="23">
        <f>$L186*BA186</f>
        <v>0</v>
      </c>
      <c r="CI186" s="23">
        <f>$L186*BB186</f>
        <v>0</v>
      </c>
      <c r="CJ186" s="23">
        <f>$L186*BC186</f>
        <v>0</v>
      </c>
      <c r="CK186" s="23">
        <f>$L186*BD186</f>
        <v>0</v>
      </c>
      <c r="CL186" s="23">
        <f>$L186*BE186</f>
        <v>0</v>
      </c>
      <c r="CM186" s="23">
        <f>$L186*BF186</f>
        <v>0</v>
      </c>
      <c r="CN186" s="23">
        <f>$L186*BG186</f>
        <v>1</v>
      </c>
      <c r="CO186" s="23">
        <f>$L186*BH186</f>
        <v>1</v>
      </c>
      <c r="CP186" s="23">
        <f>$L186*BI186</f>
        <v>1</v>
      </c>
      <c r="CQ186" s="23">
        <f>$L186*BJ186</f>
        <v>1</v>
      </c>
      <c r="CR186" s="23">
        <f>$L186*BK186</f>
        <v>1</v>
      </c>
      <c r="CS186" s="23">
        <f>$L186*BL186</f>
        <v>1</v>
      </c>
      <c r="CT186" s="23">
        <f>$L186*BM186</f>
        <v>1</v>
      </c>
      <c r="CU186" s="23">
        <f>$L186*BN186</f>
        <v>1</v>
      </c>
      <c r="CV186" s="23">
        <f>$L186*BO186</f>
        <v>1</v>
      </c>
    </row>
    <row r="187" spans="1:100" ht="13.5" x14ac:dyDescent="0.15">
      <c r="A187" s="15">
        <v>85</v>
      </c>
      <c r="B187" s="28" t="s">
        <v>570</v>
      </c>
      <c r="C187" t="s">
        <v>414</v>
      </c>
      <c r="E187" t="s">
        <v>140</v>
      </c>
      <c r="F187" t="s">
        <v>415</v>
      </c>
      <c r="G187" t="s">
        <v>140</v>
      </c>
      <c r="H187" t="s">
        <v>141</v>
      </c>
      <c r="I187" s="6" t="s">
        <v>136</v>
      </c>
      <c r="J187" s="6">
        <v>0</v>
      </c>
      <c r="L187" s="15">
        <v>1</v>
      </c>
      <c r="M187" s="7">
        <v>46104</v>
      </c>
      <c r="N187" s="7">
        <v>46122</v>
      </c>
      <c r="O187" s="7">
        <v>46118</v>
      </c>
      <c r="P187" s="7">
        <v>46119</v>
      </c>
      <c r="S187" s="6" t="s">
        <v>140</v>
      </c>
      <c r="U187" s="6" t="s">
        <v>413</v>
      </c>
      <c r="V187" s="6" t="str">
        <f>TEXT(N187,"YY/MM")</f>
        <v>26/04</v>
      </c>
      <c r="W187">
        <v>1559</v>
      </c>
      <c r="AA187">
        <v>913</v>
      </c>
      <c r="AC187">
        <v>966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1</v>
      </c>
      <c r="BP187" s="23">
        <f>$L187*AI187</f>
        <v>0</v>
      </c>
      <c r="BQ187" s="23">
        <f>$L187*AJ187</f>
        <v>0</v>
      </c>
      <c r="BR187" s="23">
        <f>$L187*AK187</f>
        <v>0</v>
      </c>
      <c r="BS187" s="23">
        <f>$L187*AL187</f>
        <v>0</v>
      </c>
      <c r="BT187" s="23">
        <f>$L187*AM187</f>
        <v>0</v>
      </c>
      <c r="BU187" s="23">
        <f>$L187*AN187</f>
        <v>0</v>
      </c>
      <c r="BV187" s="23">
        <f>$L187*AO187</f>
        <v>0</v>
      </c>
      <c r="BW187" s="23">
        <f>$L187*AP187</f>
        <v>0</v>
      </c>
      <c r="BX187" s="23">
        <f>$L187*AQ187</f>
        <v>0</v>
      </c>
      <c r="BY187" s="23">
        <f>$L187*AR187</f>
        <v>0</v>
      </c>
      <c r="BZ187" s="23">
        <f>$L187*AS187</f>
        <v>0</v>
      </c>
      <c r="CA187" s="23">
        <f>$L187*AT187</f>
        <v>0</v>
      </c>
      <c r="CB187" s="23">
        <f>$L187*AU187</f>
        <v>0</v>
      </c>
      <c r="CC187" s="23">
        <f>$L187*AV187</f>
        <v>0</v>
      </c>
      <c r="CD187" s="23">
        <f>$L187*AW187</f>
        <v>0</v>
      </c>
      <c r="CE187" s="23">
        <f>$L187*AX187</f>
        <v>0</v>
      </c>
      <c r="CF187" s="23">
        <f>$L187*AY187</f>
        <v>0</v>
      </c>
      <c r="CG187" s="23">
        <f>$L187*AZ187</f>
        <v>0</v>
      </c>
      <c r="CH187" s="23">
        <f>$L187*BA187</f>
        <v>0</v>
      </c>
      <c r="CI187" s="23">
        <f>$L187*BB187</f>
        <v>0</v>
      </c>
      <c r="CJ187" s="23">
        <f>$L187*BC187</f>
        <v>0</v>
      </c>
      <c r="CK187" s="23">
        <f>$L187*BD187</f>
        <v>0</v>
      </c>
      <c r="CL187" s="23">
        <f>$L187*BE187</f>
        <v>0</v>
      </c>
      <c r="CM187" s="23">
        <f>$L187*BF187</f>
        <v>0</v>
      </c>
      <c r="CN187" s="23">
        <f>$L187*BG187</f>
        <v>1</v>
      </c>
      <c r="CO187" s="23">
        <f>$L187*BH187</f>
        <v>1</v>
      </c>
      <c r="CP187" s="23">
        <f>$L187*BI187</f>
        <v>1</v>
      </c>
      <c r="CQ187" s="23">
        <f>$L187*BJ187</f>
        <v>1</v>
      </c>
      <c r="CR187" s="23">
        <f>$L187*BK187</f>
        <v>1</v>
      </c>
      <c r="CS187" s="23">
        <f>$L187*BL187</f>
        <v>1</v>
      </c>
      <c r="CT187" s="23">
        <f>$L187*BM187</f>
        <v>1</v>
      </c>
      <c r="CU187" s="23">
        <f>$L187*BN187</f>
        <v>1</v>
      </c>
      <c r="CV187" s="23">
        <f>$L187*BO187</f>
        <v>1</v>
      </c>
    </row>
    <row r="188" spans="1:100" ht="13.5" x14ac:dyDescent="0.15">
      <c r="A188" s="15">
        <v>85</v>
      </c>
      <c r="B188" s="28" t="s">
        <v>571</v>
      </c>
      <c r="C188" t="s">
        <v>414</v>
      </c>
      <c r="E188" t="s">
        <v>140</v>
      </c>
      <c r="F188" t="s">
        <v>415</v>
      </c>
      <c r="G188" t="s">
        <v>140</v>
      </c>
      <c r="H188" t="s">
        <v>141</v>
      </c>
      <c r="I188" s="6" t="s">
        <v>136</v>
      </c>
      <c r="J188" s="6">
        <v>0</v>
      </c>
      <c r="L188" s="15">
        <v>1</v>
      </c>
      <c r="M188" s="7">
        <v>46104</v>
      </c>
      <c r="N188" s="7">
        <v>46122</v>
      </c>
      <c r="O188" s="7">
        <v>46118</v>
      </c>
      <c r="P188" s="7">
        <v>46119</v>
      </c>
      <c r="S188" s="6" t="s">
        <v>140</v>
      </c>
      <c r="U188" s="6" t="s">
        <v>413</v>
      </c>
      <c r="V188" s="6" t="str">
        <f>TEXT(N188,"YY/MM")</f>
        <v>26/04</v>
      </c>
      <c r="W188">
        <v>1560</v>
      </c>
      <c r="AA188">
        <v>914</v>
      </c>
      <c r="AC188">
        <v>967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1</v>
      </c>
      <c r="BP188" s="23">
        <f>$L188*AI188</f>
        <v>0</v>
      </c>
      <c r="BQ188" s="23">
        <f>$L188*AJ188</f>
        <v>0</v>
      </c>
      <c r="BR188" s="23">
        <f>$L188*AK188</f>
        <v>0</v>
      </c>
      <c r="BS188" s="23">
        <f>$L188*AL188</f>
        <v>0</v>
      </c>
      <c r="BT188" s="23">
        <f>$L188*AM188</f>
        <v>0</v>
      </c>
      <c r="BU188" s="23">
        <f>$L188*AN188</f>
        <v>0</v>
      </c>
      <c r="BV188" s="23">
        <f>$L188*AO188</f>
        <v>0</v>
      </c>
      <c r="BW188" s="23">
        <f>$L188*AP188</f>
        <v>0</v>
      </c>
      <c r="BX188" s="23">
        <f>$L188*AQ188</f>
        <v>0</v>
      </c>
      <c r="BY188" s="23">
        <f>$L188*AR188</f>
        <v>0</v>
      </c>
      <c r="BZ188" s="23">
        <f>$L188*AS188</f>
        <v>0</v>
      </c>
      <c r="CA188" s="23">
        <f>$L188*AT188</f>
        <v>0</v>
      </c>
      <c r="CB188" s="23">
        <f>$L188*AU188</f>
        <v>0</v>
      </c>
      <c r="CC188" s="23">
        <f>$L188*AV188</f>
        <v>0</v>
      </c>
      <c r="CD188" s="23">
        <f>$L188*AW188</f>
        <v>0</v>
      </c>
      <c r="CE188" s="23">
        <f>$L188*AX188</f>
        <v>0</v>
      </c>
      <c r="CF188" s="23">
        <f>$L188*AY188</f>
        <v>0</v>
      </c>
      <c r="CG188" s="23">
        <f>$L188*AZ188</f>
        <v>0</v>
      </c>
      <c r="CH188" s="23">
        <f>$L188*BA188</f>
        <v>0</v>
      </c>
      <c r="CI188" s="23">
        <f>$L188*BB188</f>
        <v>0</v>
      </c>
      <c r="CJ188" s="23">
        <f>$L188*BC188</f>
        <v>0</v>
      </c>
      <c r="CK188" s="23">
        <f>$L188*BD188</f>
        <v>0</v>
      </c>
      <c r="CL188" s="23">
        <f>$L188*BE188</f>
        <v>0</v>
      </c>
      <c r="CM188" s="23">
        <f>$L188*BF188</f>
        <v>0</v>
      </c>
      <c r="CN188" s="23">
        <f>$L188*BG188</f>
        <v>1</v>
      </c>
      <c r="CO188" s="23">
        <f>$L188*BH188</f>
        <v>1</v>
      </c>
      <c r="CP188" s="23">
        <f>$L188*BI188</f>
        <v>1</v>
      </c>
      <c r="CQ188" s="23">
        <f>$L188*BJ188</f>
        <v>1</v>
      </c>
      <c r="CR188" s="23">
        <f>$L188*BK188</f>
        <v>1</v>
      </c>
      <c r="CS188" s="23">
        <f>$L188*BL188</f>
        <v>1</v>
      </c>
      <c r="CT188" s="23">
        <f>$L188*BM188</f>
        <v>1</v>
      </c>
      <c r="CU188" s="23">
        <f>$L188*BN188</f>
        <v>1</v>
      </c>
      <c r="CV188" s="23">
        <f>$L188*BO188</f>
        <v>1</v>
      </c>
    </row>
    <row r="189" spans="1:100" ht="13.5" x14ac:dyDescent="0.15">
      <c r="A189" s="15">
        <v>85</v>
      </c>
      <c r="B189" s="28" t="s">
        <v>572</v>
      </c>
      <c r="C189" t="s">
        <v>414</v>
      </c>
      <c r="E189" t="s">
        <v>140</v>
      </c>
      <c r="F189" t="s">
        <v>415</v>
      </c>
      <c r="G189" t="s">
        <v>140</v>
      </c>
      <c r="H189" t="s">
        <v>141</v>
      </c>
      <c r="I189" s="6" t="s">
        <v>136</v>
      </c>
      <c r="J189" s="6">
        <v>0</v>
      </c>
      <c r="L189" s="15">
        <v>1</v>
      </c>
      <c r="M189" s="7">
        <v>46104</v>
      </c>
      <c r="N189" s="7">
        <v>46125</v>
      </c>
      <c r="O189" s="7">
        <v>46118</v>
      </c>
      <c r="P189" s="7">
        <v>46119</v>
      </c>
      <c r="S189" s="6" t="s">
        <v>140</v>
      </c>
      <c r="U189" s="6" t="s">
        <v>413</v>
      </c>
      <c r="V189" s="6" t="str">
        <f>TEXT(N189,"YY/MM")</f>
        <v>26/04</v>
      </c>
      <c r="W189">
        <v>1561</v>
      </c>
      <c r="AA189">
        <v>915</v>
      </c>
      <c r="AC189">
        <v>968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1</v>
      </c>
      <c r="BP189" s="23">
        <f>$L189*AI189</f>
        <v>0</v>
      </c>
      <c r="BQ189" s="23">
        <f>$L189*AJ189</f>
        <v>0</v>
      </c>
      <c r="BR189" s="23">
        <f>$L189*AK189</f>
        <v>0</v>
      </c>
      <c r="BS189" s="23">
        <f>$L189*AL189</f>
        <v>0</v>
      </c>
      <c r="BT189" s="23">
        <f>$L189*AM189</f>
        <v>0</v>
      </c>
      <c r="BU189" s="23">
        <f>$L189*AN189</f>
        <v>0</v>
      </c>
      <c r="BV189" s="23">
        <f>$L189*AO189</f>
        <v>0</v>
      </c>
      <c r="BW189" s="23">
        <f>$L189*AP189</f>
        <v>0</v>
      </c>
      <c r="BX189" s="23">
        <f>$L189*AQ189</f>
        <v>0</v>
      </c>
      <c r="BY189" s="23">
        <f>$L189*AR189</f>
        <v>0</v>
      </c>
      <c r="BZ189" s="23">
        <f>$L189*AS189</f>
        <v>0</v>
      </c>
      <c r="CA189" s="23">
        <f>$L189*AT189</f>
        <v>0</v>
      </c>
      <c r="CB189" s="23">
        <f>$L189*AU189</f>
        <v>0</v>
      </c>
      <c r="CC189" s="23">
        <f>$L189*AV189</f>
        <v>0</v>
      </c>
      <c r="CD189" s="23">
        <f>$L189*AW189</f>
        <v>0</v>
      </c>
      <c r="CE189" s="23">
        <f>$L189*AX189</f>
        <v>0</v>
      </c>
      <c r="CF189" s="23">
        <f>$L189*AY189</f>
        <v>0</v>
      </c>
      <c r="CG189" s="23">
        <f>$L189*AZ189</f>
        <v>0</v>
      </c>
      <c r="CH189" s="23">
        <f>$L189*BA189</f>
        <v>0</v>
      </c>
      <c r="CI189" s="23">
        <f>$L189*BB189</f>
        <v>0</v>
      </c>
      <c r="CJ189" s="23">
        <f>$L189*BC189</f>
        <v>0</v>
      </c>
      <c r="CK189" s="23">
        <f>$L189*BD189</f>
        <v>0</v>
      </c>
      <c r="CL189" s="23">
        <f>$L189*BE189</f>
        <v>0</v>
      </c>
      <c r="CM189" s="23">
        <f>$L189*BF189</f>
        <v>0</v>
      </c>
      <c r="CN189" s="23">
        <f>$L189*BG189</f>
        <v>1</v>
      </c>
      <c r="CO189" s="23">
        <f>$L189*BH189</f>
        <v>1</v>
      </c>
      <c r="CP189" s="23">
        <f>$L189*BI189</f>
        <v>1</v>
      </c>
      <c r="CQ189" s="23">
        <f>$L189*BJ189</f>
        <v>1</v>
      </c>
      <c r="CR189" s="23">
        <f>$L189*BK189</f>
        <v>1</v>
      </c>
      <c r="CS189" s="23">
        <f>$L189*BL189</f>
        <v>1</v>
      </c>
      <c r="CT189" s="23">
        <f>$L189*BM189</f>
        <v>1</v>
      </c>
      <c r="CU189" s="23">
        <f>$L189*BN189</f>
        <v>1</v>
      </c>
      <c r="CV189" s="23">
        <f>$L189*BO189</f>
        <v>1</v>
      </c>
    </row>
    <row r="190" spans="1:100" ht="13.5" x14ac:dyDescent="0.15">
      <c r="A190" s="15">
        <v>85</v>
      </c>
      <c r="B190" s="28" t="s">
        <v>573</v>
      </c>
      <c r="C190" t="s">
        <v>414</v>
      </c>
      <c r="E190" t="s">
        <v>140</v>
      </c>
      <c r="F190" t="s">
        <v>415</v>
      </c>
      <c r="G190" t="s">
        <v>140</v>
      </c>
      <c r="H190" t="s">
        <v>141</v>
      </c>
      <c r="I190" s="6" t="s">
        <v>136</v>
      </c>
      <c r="J190" s="6">
        <v>0</v>
      </c>
      <c r="L190" s="15">
        <v>1</v>
      </c>
      <c r="M190" s="7">
        <v>46104</v>
      </c>
      <c r="N190" s="29">
        <v>46125</v>
      </c>
      <c r="O190" s="7">
        <v>46118</v>
      </c>
      <c r="P190" s="7">
        <v>46119</v>
      </c>
      <c r="S190" s="6" t="s">
        <v>140</v>
      </c>
      <c r="U190" s="6" t="s">
        <v>413</v>
      </c>
      <c r="V190" s="6" t="str">
        <f>TEXT(N190,"YY/MM")</f>
        <v>26/04</v>
      </c>
      <c r="W190">
        <v>1562</v>
      </c>
      <c r="AA190">
        <v>916</v>
      </c>
      <c r="AC190">
        <v>969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1</v>
      </c>
      <c r="BP190" s="23">
        <f>$L190*AI190</f>
        <v>0</v>
      </c>
      <c r="BQ190" s="23">
        <f>$L190*AJ190</f>
        <v>0</v>
      </c>
      <c r="BR190" s="23">
        <f>$L190*AK190</f>
        <v>0</v>
      </c>
      <c r="BS190" s="23">
        <f>$L190*AL190</f>
        <v>0</v>
      </c>
      <c r="BT190" s="23">
        <f>$L190*AM190</f>
        <v>0</v>
      </c>
      <c r="BU190" s="23">
        <f>$L190*AN190</f>
        <v>0</v>
      </c>
      <c r="BV190" s="23">
        <f>$L190*AO190</f>
        <v>0</v>
      </c>
      <c r="BW190" s="23">
        <f>$L190*AP190</f>
        <v>0</v>
      </c>
      <c r="BX190" s="23">
        <f>$L190*AQ190</f>
        <v>0</v>
      </c>
      <c r="BY190" s="23">
        <f>$L190*AR190</f>
        <v>0</v>
      </c>
      <c r="BZ190" s="23">
        <f>$L190*AS190</f>
        <v>0</v>
      </c>
      <c r="CA190" s="23">
        <f>$L190*AT190</f>
        <v>0</v>
      </c>
      <c r="CB190" s="23">
        <f>$L190*AU190</f>
        <v>0</v>
      </c>
      <c r="CC190" s="23">
        <f>$L190*AV190</f>
        <v>0</v>
      </c>
      <c r="CD190" s="23">
        <f>$L190*AW190</f>
        <v>0</v>
      </c>
      <c r="CE190" s="23">
        <f>$L190*AX190</f>
        <v>0</v>
      </c>
      <c r="CF190" s="23">
        <f>$L190*AY190</f>
        <v>0</v>
      </c>
      <c r="CG190" s="23">
        <f>$L190*AZ190</f>
        <v>0</v>
      </c>
      <c r="CH190" s="23">
        <f>$L190*BA190</f>
        <v>0</v>
      </c>
      <c r="CI190" s="23">
        <f>$L190*BB190</f>
        <v>0</v>
      </c>
      <c r="CJ190" s="23">
        <f>$L190*BC190</f>
        <v>0</v>
      </c>
      <c r="CK190" s="23">
        <f>$L190*BD190</f>
        <v>0</v>
      </c>
      <c r="CL190" s="23">
        <f>$L190*BE190</f>
        <v>0</v>
      </c>
      <c r="CM190" s="23">
        <f>$L190*BF190</f>
        <v>0</v>
      </c>
      <c r="CN190" s="23">
        <f>$L190*BG190</f>
        <v>1</v>
      </c>
      <c r="CO190" s="23">
        <f>$L190*BH190</f>
        <v>1</v>
      </c>
      <c r="CP190" s="23">
        <f>$L190*BI190</f>
        <v>1</v>
      </c>
      <c r="CQ190" s="23">
        <f>$L190*BJ190</f>
        <v>1</v>
      </c>
      <c r="CR190" s="23">
        <f>$L190*BK190</f>
        <v>1</v>
      </c>
      <c r="CS190" s="23">
        <f>$L190*BL190</f>
        <v>1</v>
      </c>
      <c r="CT190" s="23">
        <f>$L190*BM190</f>
        <v>1</v>
      </c>
      <c r="CU190" s="23">
        <f>$L190*BN190</f>
        <v>1</v>
      </c>
      <c r="CV190" s="23">
        <f>$L190*BO190</f>
        <v>1</v>
      </c>
    </row>
    <row r="191" spans="1:100" ht="13.5" x14ac:dyDescent="0.15">
      <c r="A191" s="15">
        <v>85</v>
      </c>
      <c r="B191" s="28" t="s">
        <v>574</v>
      </c>
      <c r="C191" t="s">
        <v>414</v>
      </c>
      <c r="E191" t="s">
        <v>140</v>
      </c>
      <c r="F191" t="s">
        <v>415</v>
      </c>
      <c r="G191" t="s">
        <v>140</v>
      </c>
      <c r="H191" t="s">
        <v>141</v>
      </c>
      <c r="I191" s="6" t="s">
        <v>136</v>
      </c>
      <c r="J191" s="6">
        <v>0</v>
      </c>
      <c r="L191" s="15">
        <v>1</v>
      </c>
      <c r="M191" s="7">
        <v>46104</v>
      </c>
      <c r="N191" s="7">
        <v>46126</v>
      </c>
      <c r="O191" s="7">
        <v>46118</v>
      </c>
      <c r="P191" s="7">
        <v>46119</v>
      </c>
      <c r="S191" s="6" t="s">
        <v>140</v>
      </c>
      <c r="U191" s="6" t="s">
        <v>413</v>
      </c>
      <c r="V191" s="6" t="str">
        <f>TEXT(N191,"YY/MM")</f>
        <v>26/04</v>
      </c>
      <c r="W191">
        <v>1563</v>
      </c>
      <c r="AA191">
        <v>917</v>
      </c>
      <c r="AC191">
        <v>970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1</v>
      </c>
      <c r="BP191" s="23">
        <f>$L191*AI191</f>
        <v>0</v>
      </c>
      <c r="BQ191" s="23">
        <f>$L191*AJ191</f>
        <v>0</v>
      </c>
      <c r="BR191" s="23">
        <f>$L191*AK191</f>
        <v>0</v>
      </c>
      <c r="BS191" s="23">
        <f>$L191*AL191</f>
        <v>0</v>
      </c>
      <c r="BT191" s="23">
        <f>$L191*AM191</f>
        <v>0</v>
      </c>
      <c r="BU191" s="23">
        <f>$L191*AN191</f>
        <v>0</v>
      </c>
      <c r="BV191" s="23">
        <f>$L191*AO191</f>
        <v>0</v>
      </c>
      <c r="BW191" s="23">
        <f>$L191*AP191</f>
        <v>0</v>
      </c>
      <c r="BX191" s="23">
        <f>$L191*AQ191</f>
        <v>0</v>
      </c>
      <c r="BY191" s="23">
        <f>$L191*AR191</f>
        <v>0</v>
      </c>
      <c r="BZ191" s="23">
        <f>$L191*AS191</f>
        <v>0</v>
      </c>
      <c r="CA191" s="23">
        <f>$L191*AT191</f>
        <v>0</v>
      </c>
      <c r="CB191" s="23">
        <f>$L191*AU191</f>
        <v>0</v>
      </c>
      <c r="CC191" s="23">
        <f>$L191*AV191</f>
        <v>0</v>
      </c>
      <c r="CD191" s="23">
        <f>$L191*AW191</f>
        <v>0</v>
      </c>
      <c r="CE191" s="23">
        <f>$L191*AX191</f>
        <v>0</v>
      </c>
      <c r="CF191" s="23">
        <f>$L191*AY191</f>
        <v>0</v>
      </c>
      <c r="CG191" s="23">
        <f>$L191*AZ191</f>
        <v>0</v>
      </c>
      <c r="CH191" s="23">
        <f>$L191*BA191</f>
        <v>0</v>
      </c>
      <c r="CI191" s="23">
        <f>$L191*BB191</f>
        <v>0</v>
      </c>
      <c r="CJ191" s="23">
        <f>$L191*BC191</f>
        <v>0</v>
      </c>
      <c r="CK191" s="23">
        <f>$L191*BD191</f>
        <v>0</v>
      </c>
      <c r="CL191" s="23">
        <f>$L191*BE191</f>
        <v>0</v>
      </c>
      <c r="CM191" s="23">
        <f>$L191*BF191</f>
        <v>0</v>
      </c>
      <c r="CN191" s="23">
        <f>$L191*BG191</f>
        <v>1</v>
      </c>
      <c r="CO191" s="23">
        <f>$L191*BH191</f>
        <v>1</v>
      </c>
      <c r="CP191" s="23">
        <f>$L191*BI191</f>
        <v>1</v>
      </c>
      <c r="CQ191" s="23">
        <f>$L191*BJ191</f>
        <v>1</v>
      </c>
      <c r="CR191" s="23">
        <f>$L191*BK191</f>
        <v>1</v>
      </c>
      <c r="CS191" s="23">
        <f>$L191*BL191</f>
        <v>1</v>
      </c>
      <c r="CT191" s="23">
        <f>$L191*BM191</f>
        <v>1</v>
      </c>
      <c r="CU191" s="23">
        <f>$L191*BN191</f>
        <v>1</v>
      </c>
      <c r="CV191" s="23">
        <f>$L191*BO191</f>
        <v>1</v>
      </c>
    </row>
    <row r="192" spans="1:100" ht="13.5" x14ac:dyDescent="0.15">
      <c r="A192" s="15">
        <v>85</v>
      </c>
      <c r="B192" s="28" t="s">
        <v>575</v>
      </c>
      <c r="C192" t="s">
        <v>414</v>
      </c>
      <c r="E192" t="s">
        <v>140</v>
      </c>
      <c r="F192" t="s">
        <v>415</v>
      </c>
      <c r="G192" t="s">
        <v>140</v>
      </c>
      <c r="H192" t="s">
        <v>141</v>
      </c>
      <c r="I192" s="6" t="s">
        <v>136</v>
      </c>
      <c r="J192" s="6">
        <v>0</v>
      </c>
      <c r="L192" s="15">
        <v>1</v>
      </c>
      <c r="M192" s="7">
        <v>46104</v>
      </c>
      <c r="N192" s="7">
        <v>46126</v>
      </c>
      <c r="O192" s="7">
        <v>46118</v>
      </c>
      <c r="P192" s="7">
        <v>46119</v>
      </c>
      <c r="S192" s="6" t="s">
        <v>140</v>
      </c>
      <c r="U192" s="6" t="s">
        <v>413</v>
      </c>
      <c r="V192" s="6" t="str">
        <f>TEXT(N192,"YY/MM")</f>
        <v>26/04</v>
      </c>
      <c r="W192">
        <v>1564</v>
      </c>
      <c r="AA192">
        <v>918</v>
      </c>
      <c r="AC192">
        <v>971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1</v>
      </c>
      <c r="BP192" s="23">
        <f>$L192*AI192</f>
        <v>0</v>
      </c>
      <c r="BQ192" s="23">
        <f>$L192*AJ192</f>
        <v>0</v>
      </c>
      <c r="BR192" s="23">
        <f>$L192*AK192</f>
        <v>0</v>
      </c>
      <c r="BS192" s="23">
        <f>$L192*AL192</f>
        <v>0</v>
      </c>
      <c r="BT192" s="23">
        <f>$L192*AM192</f>
        <v>0</v>
      </c>
      <c r="BU192" s="23">
        <f>$L192*AN192</f>
        <v>0</v>
      </c>
      <c r="BV192" s="23">
        <f>$L192*AO192</f>
        <v>0</v>
      </c>
      <c r="BW192" s="23">
        <f>$L192*AP192</f>
        <v>0</v>
      </c>
      <c r="BX192" s="23">
        <f>$L192*AQ192</f>
        <v>0</v>
      </c>
      <c r="BY192" s="23">
        <f>$L192*AR192</f>
        <v>0</v>
      </c>
      <c r="BZ192" s="23">
        <f>$L192*AS192</f>
        <v>0</v>
      </c>
      <c r="CA192" s="23">
        <f>$L192*AT192</f>
        <v>0</v>
      </c>
      <c r="CB192" s="23">
        <f>$L192*AU192</f>
        <v>0</v>
      </c>
      <c r="CC192" s="23">
        <f>$L192*AV192</f>
        <v>0</v>
      </c>
      <c r="CD192" s="23">
        <f>$L192*AW192</f>
        <v>0</v>
      </c>
      <c r="CE192" s="23">
        <f>$L192*AX192</f>
        <v>0</v>
      </c>
      <c r="CF192" s="23">
        <f>$L192*AY192</f>
        <v>0</v>
      </c>
      <c r="CG192" s="23">
        <f>$L192*AZ192</f>
        <v>0</v>
      </c>
      <c r="CH192" s="23">
        <f>$L192*BA192</f>
        <v>0</v>
      </c>
      <c r="CI192" s="23">
        <f>$L192*BB192</f>
        <v>0</v>
      </c>
      <c r="CJ192" s="23">
        <f>$L192*BC192</f>
        <v>0</v>
      </c>
      <c r="CK192" s="23">
        <f>$L192*BD192</f>
        <v>0</v>
      </c>
      <c r="CL192" s="23">
        <f>$L192*BE192</f>
        <v>0</v>
      </c>
      <c r="CM192" s="23">
        <f>$L192*BF192</f>
        <v>0</v>
      </c>
      <c r="CN192" s="23">
        <f>$L192*BG192</f>
        <v>1</v>
      </c>
      <c r="CO192" s="23">
        <f>$L192*BH192</f>
        <v>1</v>
      </c>
      <c r="CP192" s="23">
        <f>$L192*BI192</f>
        <v>1</v>
      </c>
      <c r="CQ192" s="23">
        <f>$L192*BJ192</f>
        <v>1</v>
      </c>
      <c r="CR192" s="23">
        <f>$L192*BK192</f>
        <v>1</v>
      </c>
      <c r="CS192" s="23">
        <f>$L192*BL192</f>
        <v>1</v>
      </c>
      <c r="CT192" s="23">
        <f>$L192*BM192</f>
        <v>1</v>
      </c>
      <c r="CU192" s="23">
        <f>$L192*BN192</f>
        <v>1</v>
      </c>
      <c r="CV192" s="23">
        <f>$L192*BO192</f>
        <v>1</v>
      </c>
    </row>
    <row r="193" spans="1:100" ht="13.5" x14ac:dyDescent="0.15">
      <c r="A193" s="15">
        <v>87</v>
      </c>
      <c r="B193" s="28" t="s">
        <v>576</v>
      </c>
      <c r="C193" t="s">
        <v>414</v>
      </c>
      <c r="E193" t="s">
        <v>140</v>
      </c>
      <c r="F193" t="s">
        <v>415</v>
      </c>
      <c r="G193" t="s">
        <v>140</v>
      </c>
      <c r="H193" t="s">
        <v>141</v>
      </c>
      <c r="I193" s="6" t="s">
        <v>136</v>
      </c>
      <c r="J193" s="6">
        <v>0</v>
      </c>
      <c r="L193" s="15">
        <v>1</v>
      </c>
      <c r="M193" s="7">
        <v>46104</v>
      </c>
      <c r="N193" s="7">
        <v>46127</v>
      </c>
      <c r="O193" s="7">
        <v>46125</v>
      </c>
      <c r="P193" s="7">
        <v>46126</v>
      </c>
      <c r="S193" s="6" t="s">
        <v>140</v>
      </c>
      <c r="U193" s="6" t="s">
        <v>413</v>
      </c>
      <c r="V193" s="6" t="str">
        <f>TEXT(N193,"YY/MM")</f>
        <v>26/04</v>
      </c>
      <c r="W193">
        <v>1565</v>
      </c>
      <c r="AA193">
        <v>919</v>
      </c>
      <c r="AC193">
        <v>972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>$L193*AI193</f>
        <v>0</v>
      </c>
      <c r="BQ193" s="23">
        <f>$L193*AJ193</f>
        <v>0</v>
      </c>
      <c r="BR193" s="23">
        <f>$L193*AK193</f>
        <v>0</v>
      </c>
      <c r="BS193" s="23">
        <f>$L193*AL193</f>
        <v>0</v>
      </c>
      <c r="BT193" s="23">
        <f>$L193*AM193</f>
        <v>0</v>
      </c>
      <c r="BU193" s="23">
        <f>$L193*AN193</f>
        <v>0</v>
      </c>
      <c r="BV193" s="23">
        <f>$L193*AO193</f>
        <v>0</v>
      </c>
      <c r="BW193" s="23">
        <f>$L193*AP193</f>
        <v>0</v>
      </c>
      <c r="BX193" s="23">
        <f>$L193*AQ193</f>
        <v>0</v>
      </c>
      <c r="BY193" s="23">
        <f>$L193*AR193</f>
        <v>0</v>
      </c>
      <c r="BZ193" s="23">
        <f>$L193*AS193</f>
        <v>0</v>
      </c>
      <c r="CA193" s="23">
        <f>$L193*AT193</f>
        <v>0</v>
      </c>
      <c r="CB193" s="23">
        <f>$L193*AU193</f>
        <v>0</v>
      </c>
      <c r="CC193" s="23">
        <f>$L193*AV193</f>
        <v>0</v>
      </c>
      <c r="CD193" s="23">
        <f>$L193*AW193</f>
        <v>0</v>
      </c>
      <c r="CE193" s="23">
        <f>$L193*AX193</f>
        <v>0</v>
      </c>
      <c r="CF193" s="23">
        <f>$L193*AY193</f>
        <v>0</v>
      </c>
      <c r="CG193" s="23">
        <f>$L193*AZ193</f>
        <v>0</v>
      </c>
      <c r="CH193" s="23">
        <f>$L193*BA193</f>
        <v>0</v>
      </c>
      <c r="CI193" s="23">
        <f>$L193*BB193</f>
        <v>0</v>
      </c>
      <c r="CJ193" s="23">
        <f>$L193*BC193</f>
        <v>0</v>
      </c>
      <c r="CK193" s="23">
        <f>$L193*BD193</f>
        <v>0</v>
      </c>
      <c r="CL193" s="23">
        <f>$L193*BE193</f>
        <v>0</v>
      </c>
      <c r="CM193" s="23">
        <f>$L193*BF193</f>
        <v>0</v>
      </c>
      <c r="CN193" s="23">
        <f>$L193*BG193</f>
        <v>1</v>
      </c>
      <c r="CO193" s="23">
        <f>$L193*BH193</f>
        <v>1</v>
      </c>
      <c r="CP193" s="23">
        <f>$L193*BI193</f>
        <v>1</v>
      </c>
      <c r="CQ193" s="23">
        <f>$L193*BJ193</f>
        <v>1</v>
      </c>
      <c r="CR193" s="23">
        <f>$L193*BK193</f>
        <v>1</v>
      </c>
      <c r="CS193" s="23">
        <f>$L193*BL193</f>
        <v>1</v>
      </c>
      <c r="CT193" s="23">
        <f>$L193*BM193</f>
        <v>1</v>
      </c>
      <c r="CU193" s="23">
        <f>$L193*BN193</f>
        <v>1</v>
      </c>
      <c r="CV193" s="23">
        <f>$L193*BO193</f>
        <v>1</v>
      </c>
    </row>
    <row r="194" spans="1:100" ht="13.5" x14ac:dyDescent="0.15">
      <c r="A194" s="15">
        <v>87</v>
      </c>
      <c r="B194" s="28" t="s">
        <v>577</v>
      </c>
      <c r="C194" t="s">
        <v>414</v>
      </c>
      <c r="E194" t="s">
        <v>140</v>
      </c>
      <c r="F194" t="s">
        <v>415</v>
      </c>
      <c r="G194" t="s">
        <v>140</v>
      </c>
      <c r="H194" t="s">
        <v>141</v>
      </c>
      <c r="I194" s="6" t="s">
        <v>136</v>
      </c>
      <c r="J194" s="6">
        <v>0</v>
      </c>
      <c r="L194" s="15">
        <v>1</v>
      </c>
      <c r="M194" s="7">
        <v>46104</v>
      </c>
      <c r="N194" s="7">
        <v>46127</v>
      </c>
      <c r="O194" s="7">
        <v>46125</v>
      </c>
      <c r="P194" s="7">
        <v>46126</v>
      </c>
      <c r="S194" s="6" t="s">
        <v>140</v>
      </c>
      <c r="U194" s="6" t="s">
        <v>413</v>
      </c>
      <c r="V194" s="6" t="str">
        <f>TEXT(N194,"YY/MM")</f>
        <v>26/04</v>
      </c>
      <c r="W194">
        <v>1566</v>
      </c>
      <c r="AA194">
        <v>920</v>
      </c>
      <c r="AC194">
        <v>973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>$L194*AI194</f>
        <v>0</v>
      </c>
      <c r="BQ194" s="23">
        <f>$L194*AJ194</f>
        <v>0</v>
      </c>
      <c r="BR194" s="23">
        <f>$L194*AK194</f>
        <v>0</v>
      </c>
      <c r="BS194" s="23">
        <f>$L194*AL194</f>
        <v>0</v>
      </c>
      <c r="BT194" s="23">
        <f>$L194*AM194</f>
        <v>0</v>
      </c>
      <c r="BU194" s="23">
        <f>$L194*AN194</f>
        <v>0</v>
      </c>
      <c r="BV194" s="23">
        <f>$L194*AO194</f>
        <v>0</v>
      </c>
      <c r="BW194" s="23">
        <f>$L194*AP194</f>
        <v>0</v>
      </c>
      <c r="BX194" s="23">
        <f>$L194*AQ194</f>
        <v>0</v>
      </c>
      <c r="BY194" s="23">
        <f>$L194*AR194</f>
        <v>0</v>
      </c>
      <c r="BZ194" s="23">
        <f>$L194*AS194</f>
        <v>0</v>
      </c>
      <c r="CA194" s="23">
        <f>$L194*AT194</f>
        <v>0</v>
      </c>
      <c r="CB194" s="23">
        <f>$L194*AU194</f>
        <v>0</v>
      </c>
      <c r="CC194" s="23">
        <f>$L194*AV194</f>
        <v>0</v>
      </c>
      <c r="CD194" s="23">
        <f>$L194*AW194</f>
        <v>0</v>
      </c>
      <c r="CE194" s="23">
        <f>$L194*AX194</f>
        <v>0</v>
      </c>
      <c r="CF194" s="23">
        <f>$L194*AY194</f>
        <v>0</v>
      </c>
      <c r="CG194" s="23">
        <f>$L194*AZ194</f>
        <v>0</v>
      </c>
      <c r="CH194" s="23">
        <f>$L194*BA194</f>
        <v>0</v>
      </c>
      <c r="CI194" s="23">
        <f>$L194*BB194</f>
        <v>0</v>
      </c>
      <c r="CJ194" s="23">
        <f>$L194*BC194</f>
        <v>0</v>
      </c>
      <c r="CK194" s="23">
        <f>$L194*BD194</f>
        <v>0</v>
      </c>
      <c r="CL194" s="23">
        <f>$L194*BE194</f>
        <v>0</v>
      </c>
      <c r="CM194" s="23">
        <f>$L194*BF194</f>
        <v>0</v>
      </c>
      <c r="CN194" s="23">
        <f>$L194*BG194</f>
        <v>1</v>
      </c>
      <c r="CO194" s="23">
        <f>$L194*BH194</f>
        <v>1</v>
      </c>
      <c r="CP194" s="23">
        <f>$L194*BI194</f>
        <v>1</v>
      </c>
      <c r="CQ194" s="23">
        <f>$L194*BJ194</f>
        <v>1</v>
      </c>
      <c r="CR194" s="23">
        <f>$L194*BK194</f>
        <v>1</v>
      </c>
      <c r="CS194" s="23">
        <f>$L194*BL194</f>
        <v>1</v>
      </c>
      <c r="CT194" s="23">
        <f>$L194*BM194</f>
        <v>1</v>
      </c>
      <c r="CU194" s="23">
        <f>$L194*BN194</f>
        <v>1</v>
      </c>
      <c r="CV194" s="23">
        <f>$L194*BO194</f>
        <v>1</v>
      </c>
    </row>
    <row r="195" spans="1:100" ht="13.5" x14ac:dyDescent="0.15">
      <c r="A195" s="15">
        <v>87</v>
      </c>
      <c r="B195" s="28" t="s">
        <v>578</v>
      </c>
      <c r="C195" t="s">
        <v>414</v>
      </c>
      <c r="E195" t="s">
        <v>140</v>
      </c>
      <c r="F195" t="s">
        <v>415</v>
      </c>
      <c r="G195" t="s">
        <v>140</v>
      </c>
      <c r="H195" t="s">
        <v>141</v>
      </c>
      <c r="I195" s="6" t="s">
        <v>136</v>
      </c>
      <c r="J195" s="6">
        <v>0</v>
      </c>
      <c r="L195" s="15">
        <v>1</v>
      </c>
      <c r="M195" s="7">
        <v>46104</v>
      </c>
      <c r="N195" s="7">
        <v>46127</v>
      </c>
      <c r="O195" s="7">
        <v>46125</v>
      </c>
      <c r="P195" s="7">
        <v>46126</v>
      </c>
      <c r="S195" s="6" t="s">
        <v>140</v>
      </c>
      <c r="U195" s="6" t="s">
        <v>413</v>
      </c>
      <c r="V195" s="6" t="str">
        <f>TEXT(N195,"YY/MM")</f>
        <v>26/04</v>
      </c>
      <c r="W195">
        <v>1567</v>
      </c>
      <c r="AA195">
        <v>921</v>
      </c>
      <c r="AC195">
        <v>974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1</v>
      </c>
      <c r="BP195" s="23">
        <f>$L195*AI195</f>
        <v>0</v>
      </c>
      <c r="BQ195" s="23">
        <f>$L195*AJ195</f>
        <v>0</v>
      </c>
      <c r="BR195" s="23">
        <f>$L195*AK195</f>
        <v>0</v>
      </c>
      <c r="BS195" s="23">
        <f>$L195*AL195</f>
        <v>0</v>
      </c>
      <c r="BT195" s="23">
        <f>$L195*AM195</f>
        <v>0</v>
      </c>
      <c r="BU195" s="23">
        <f>$L195*AN195</f>
        <v>0</v>
      </c>
      <c r="BV195" s="23">
        <f>$L195*AO195</f>
        <v>0</v>
      </c>
      <c r="BW195" s="23">
        <f>$L195*AP195</f>
        <v>0</v>
      </c>
      <c r="BX195" s="23">
        <f>$L195*AQ195</f>
        <v>0</v>
      </c>
      <c r="BY195" s="23">
        <f>$L195*AR195</f>
        <v>0</v>
      </c>
      <c r="BZ195" s="23">
        <f>$L195*AS195</f>
        <v>0</v>
      </c>
      <c r="CA195" s="23">
        <f>$L195*AT195</f>
        <v>0</v>
      </c>
      <c r="CB195" s="23">
        <f>$L195*AU195</f>
        <v>0</v>
      </c>
      <c r="CC195" s="23">
        <f>$L195*AV195</f>
        <v>0</v>
      </c>
      <c r="CD195" s="23">
        <f>$L195*AW195</f>
        <v>0</v>
      </c>
      <c r="CE195" s="23">
        <f>$L195*AX195</f>
        <v>0</v>
      </c>
      <c r="CF195" s="23">
        <f>$L195*AY195</f>
        <v>0</v>
      </c>
      <c r="CG195" s="23">
        <f>$L195*AZ195</f>
        <v>0</v>
      </c>
      <c r="CH195" s="23">
        <f>$L195*BA195</f>
        <v>0</v>
      </c>
      <c r="CI195" s="23">
        <f>$L195*BB195</f>
        <v>0</v>
      </c>
      <c r="CJ195" s="23">
        <f>$L195*BC195</f>
        <v>0</v>
      </c>
      <c r="CK195" s="23">
        <f>$L195*BD195</f>
        <v>0</v>
      </c>
      <c r="CL195" s="23">
        <f>$L195*BE195</f>
        <v>0</v>
      </c>
      <c r="CM195" s="23">
        <f>$L195*BF195</f>
        <v>0</v>
      </c>
      <c r="CN195" s="23">
        <f>$L195*BG195</f>
        <v>1</v>
      </c>
      <c r="CO195" s="23">
        <f>$L195*BH195</f>
        <v>1</v>
      </c>
      <c r="CP195" s="23">
        <f>$L195*BI195</f>
        <v>1</v>
      </c>
      <c r="CQ195" s="23">
        <f>$L195*BJ195</f>
        <v>1</v>
      </c>
      <c r="CR195" s="23">
        <f>$L195*BK195</f>
        <v>1</v>
      </c>
      <c r="CS195" s="23">
        <f>$L195*BL195</f>
        <v>1</v>
      </c>
      <c r="CT195" s="23">
        <f>$L195*BM195</f>
        <v>1</v>
      </c>
      <c r="CU195" s="23">
        <f>$L195*BN195</f>
        <v>1</v>
      </c>
      <c r="CV195" s="23">
        <f>$L195*BO195</f>
        <v>1</v>
      </c>
    </row>
    <row r="196" spans="1:100" ht="13.5" x14ac:dyDescent="0.15">
      <c r="A196" s="15">
        <v>87</v>
      </c>
      <c r="B196" s="28" t="s">
        <v>579</v>
      </c>
      <c r="C196" t="s">
        <v>414</v>
      </c>
      <c r="E196" t="s">
        <v>140</v>
      </c>
      <c r="F196" t="s">
        <v>415</v>
      </c>
      <c r="G196" t="s">
        <v>140</v>
      </c>
      <c r="H196" t="s">
        <v>141</v>
      </c>
      <c r="I196" s="6" t="s">
        <v>136</v>
      </c>
      <c r="J196" s="6">
        <v>0</v>
      </c>
      <c r="L196" s="15">
        <v>1</v>
      </c>
      <c r="M196" s="7">
        <v>46104</v>
      </c>
      <c r="N196" s="7">
        <v>46128</v>
      </c>
      <c r="O196" s="7">
        <v>46125</v>
      </c>
      <c r="P196" s="7">
        <v>46126</v>
      </c>
      <c r="S196" s="6" t="s">
        <v>140</v>
      </c>
      <c r="U196" s="6" t="s">
        <v>413</v>
      </c>
      <c r="V196" s="6" t="str">
        <f>TEXT(N196,"YY/MM")</f>
        <v>26/04</v>
      </c>
      <c r="W196">
        <v>1568</v>
      </c>
      <c r="AA196">
        <v>922</v>
      </c>
      <c r="AC196">
        <v>975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1</v>
      </c>
      <c r="BP196" s="23">
        <f>$L196*AI196</f>
        <v>0</v>
      </c>
      <c r="BQ196" s="23">
        <f>$L196*AJ196</f>
        <v>0</v>
      </c>
      <c r="BR196" s="23">
        <f>$L196*AK196</f>
        <v>0</v>
      </c>
      <c r="BS196" s="23">
        <f>$L196*AL196</f>
        <v>0</v>
      </c>
      <c r="BT196" s="23">
        <f>$L196*AM196</f>
        <v>0</v>
      </c>
      <c r="BU196" s="23">
        <f>$L196*AN196</f>
        <v>0</v>
      </c>
      <c r="BV196" s="23">
        <f>$L196*AO196</f>
        <v>0</v>
      </c>
      <c r="BW196" s="23">
        <f>$L196*AP196</f>
        <v>0</v>
      </c>
      <c r="BX196" s="23">
        <f>$L196*AQ196</f>
        <v>0</v>
      </c>
      <c r="BY196" s="23">
        <f>$L196*AR196</f>
        <v>0</v>
      </c>
      <c r="BZ196" s="23">
        <f>$L196*AS196</f>
        <v>0</v>
      </c>
      <c r="CA196" s="23">
        <f>$L196*AT196</f>
        <v>0</v>
      </c>
      <c r="CB196" s="23">
        <f>$L196*AU196</f>
        <v>0</v>
      </c>
      <c r="CC196" s="23">
        <f>$L196*AV196</f>
        <v>0</v>
      </c>
      <c r="CD196" s="23">
        <f>$L196*AW196</f>
        <v>0</v>
      </c>
      <c r="CE196" s="23">
        <f>$L196*AX196</f>
        <v>0</v>
      </c>
      <c r="CF196" s="23">
        <f>$L196*AY196</f>
        <v>0</v>
      </c>
      <c r="CG196" s="23">
        <f>$L196*AZ196</f>
        <v>0</v>
      </c>
      <c r="CH196" s="23">
        <f>$L196*BA196</f>
        <v>0</v>
      </c>
      <c r="CI196" s="23">
        <f>$L196*BB196</f>
        <v>0</v>
      </c>
      <c r="CJ196" s="23">
        <f>$L196*BC196</f>
        <v>0</v>
      </c>
      <c r="CK196" s="23">
        <f>$L196*BD196</f>
        <v>0</v>
      </c>
      <c r="CL196" s="23">
        <f>$L196*BE196</f>
        <v>0</v>
      </c>
      <c r="CM196" s="23">
        <f>$L196*BF196</f>
        <v>0</v>
      </c>
      <c r="CN196" s="23">
        <f>$L196*BG196</f>
        <v>1</v>
      </c>
      <c r="CO196" s="23">
        <f>$L196*BH196</f>
        <v>1</v>
      </c>
      <c r="CP196" s="23">
        <f>$L196*BI196</f>
        <v>1</v>
      </c>
      <c r="CQ196" s="23">
        <f>$L196*BJ196</f>
        <v>1</v>
      </c>
      <c r="CR196" s="23">
        <f>$L196*BK196</f>
        <v>1</v>
      </c>
      <c r="CS196" s="23">
        <f>$L196*BL196</f>
        <v>1</v>
      </c>
      <c r="CT196" s="23">
        <f>$L196*BM196</f>
        <v>1</v>
      </c>
      <c r="CU196" s="23">
        <f>$L196*BN196</f>
        <v>1</v>
      </c>
      <c r="CV196" s="23">
        <f>$L196*BO196</f>
        <v>1</v>
      </c>
    </row>
    <row r="197" spans="1:100" ht="13.5" x14ac:dyDescent="0.15">
      <c r="A197" s="15">
        <v>87</v>
      </c>
      <c r="B197" s="28" t="s">
        <v>580</v>
      </c>
      <c r="C197" t="s">
        <v>414</v>
      </c>
      <c r="E197" t="s">
        <v>140</v>
      </c>
      <c r="F197" t="s">
        <v>415</v>
      </c>
      <c r="G197" t="s">
        <v>140</v>
      </c>
      <c r="H197" t="s">
        <v>141</v>
      </c>
      <c r="I197" s="6" t="s">
        <v>136</v>
      </c>
      <c r="J197" s="6">
        <v>0</v>
      </c>
      <c r="L197" s="15">
        <v>1</v>
      </c>
      <c r="M197" s="7">
        <v>46104</v>
      </c>
      <c r="N197" s="7">
        <v>46128</v>
      </c>
      <c r="O197" s="7">
        <v>46125</v>
      </c>
      <c r="P197" s="7">
        <v>46126</v>
      </c>
      <c r="S197" s="6" t="s">
        <v>140</v>
      </c>
      <c r="U197" s="6" t="s">
        <v>413</v>
      </c>
      <c r="V197" s="6" t="str">
        <f>TEXT(N197,"YY/MM")</f>
        <v>26/04</v>
      </c>
      <c r="W197">
        <v>1569</v>
      </c>
      <c r="AA197">
        <v>923</v>
      </c>
      <c r="AC197">
        <v>976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1</v>
      </c>
      <c r="BP197" s="23">
        <f>$L197*AI197</f>
        <v>0</v>
      </c>
      <c r="BQ197" s="23">
        <f>$L197*AJ197</f>
        <v>0</v>
      </c>
      <c r="BR197" s="23">
        <f>$L197*AK197</f>
        <v>0</v>
      </c>
      <c r="BS197" s="23">
        <f>$L197*AL197</f>
        <v>0</v>
      </c>
      <c r="BT197" s="23">
        <f>$L197*AM197</f>
        <v>0</v>
      </c>
      <c r="BU197" s="23">
        <f>$L197*AN197</f>
        <v>0</v>
      </c>
      <c r="BV197" s="23">
        <f>$L197*AO197</f>
        <v>0</v>
      </c>
      <c r="BW197" s="23">
        <f>$L197*AP197</f>
        <v>0</v>
      </c>
      <c r="BX197" s="23">
        <f>$L197*AQ197</f>
        <v>0</v>
      </c>
      <c r="BY197" s="23">
        <f>$L197*AR197</f>
        <v>0</v>
      </c>
      <c r="BZ197" s="23">
        <f>$L197*AS197</f>
        <v>0</v>
      </c>
      <c r="CA197" s="23">
        <f>$L197*AT197</f>
        <v>0</v>
      </c>
      <c r="CB197" s="23">
        <f>$L197*AU197</f>
        <v>0</v>
      </c>
      <c r="CC197" s="23">
        <f>$L197*AV197</f>
        <v>0</v>
      </c>
      <c r="CD197" s="23">
        <f>$L197*AW197</f>
        <v>0</v>
      </c>
      <c r="CE197" s="23">
        <f>$L197*AX197</f>
        <v>0</v>
      </c>
      <c r="CF197" s="23">
        <f>$L197*AY197</f>
        <v>0</v>
      </c>
      <c r="CG197" s="23">
        <f>$L197*AZ197</f>
        <v>0</v>
      </c>
      <c r="CH197" s="23">
        <f>$L197*BA197</f>
        <v>0</v>
      </c>
      <c r="CI197" s="23">
        <f>$L197*BB197</f>
        <v>0</v>
      </c>
      <c r="CJ197" s="23">
        <f>$L197*BC197</f>
        <v>0</v>
      </c>
      <c r="CK197" s="23">
        <f>$L197*BD197</f>
        <v>0</v>
      </c>
      <c r="CL197" s="23">
        <f>$L197*BE197</f>
        <v>0</v>
      </c>
      <c r="CM197" s="23">
        <f>$L197*BF197</f>
        <v>0</v>
      </c>
      <c r="CN197" s="23">
        <f>$L197*BG197</f>
        <v>1</v>
      </c>
      <c r="CO197" s="23">
        <f>$L197*BH197</f>
        <v>1</v>
      </c>
      <c r="CP197" s="23">
        <f>$L197*BI197</f>
        <v>1</v>
      </c>
      <c r="CQ197" s="23">
        <f>$L197*BJ197</f>
        <v>1</v>
      </c>
      <c r="CR197" s="23">
        <f>$L197*BK197</f>
        <v>1</v>
      </c>
      <c r="CS197" s="23">
        <f>$L197*BL197</f>
        <v>1</v>
      </c>
      <c r="CT197" s="23">
        <f>$L197*BM197</f>
        <v>1</v>
      </c>
      <c r="CU197" s="23">
        <f>$L197*BN197</f>
        <v>1</v>
      </c>
      <c r="CV197" s="23">
        <f>$L197*BO197</f>
        <v>1</v>
      </c>
    </row>
    <row r="198" spans="1:100" ht="13.5" x14ac:dyDescent="0.15">
      <c r="A198" s="15">
        <v>87</v>
      </c>
      <c r="B198" s="28" t="s">
        <v>581</v>
      </c>
      <c r="C198" t="s">
        <v>414</v>
      </c>
      <c r="E198" t="s">
        <v>140</v>
      </c>
      <c r="F198" t="s">
        <v>415</v>
      </c>
      <c r="G198" t="s">
        <v>140</v>
      </c>
      <c r="H198" t="s">
        <v>141</v>
      </c>
      <c r="I198" s="6" t="s">
        <v>136</v>
      </c>
      <c r="J198" s="6">
        <v>0</v>
      </c>
      <c r="L198" s="15">
        <v>1</v>
      </c>
      <c r="M198" s="7">
        <v>46104</v>
      </c>
      <c r="N198" s="7">
        <v>46128</v>
      </c>
      <c r="O198" s="7">
        <v>46125</v>
      </c>
      <c r="P198" s="7">
        <v>46126</v>
      </c>
      <c r="S198" s="6" t="s">
        <v>140</v>
      </c>
      <c r="U198" s="6" t="s">
        <v>413</v>
      </c>
      <c r="V198" s="6" t="str">
        <f>TEXT(N198,"YY/MM")</f>
        <v>26/04</v>
      </c>
      <c r="W198">
        <v>1570</v>
      </c>
      <c r="AA198">
        <v>924</v>
      </c>
      <c r="AC198">
        <v>977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>$L198*AI198</f>
        <v>0</v>
      </c>
      <c r="BQ198" s="23">
        <f>$L198*AJ198</f>
        <v>0</v>
      </c>
      <c r="BR198" s="23">
        <f>$L198*AK198</f>
        <v>0</v>
      </c>
      <c r="BS198" s="23">
        <f>$L198*AL198</f>
        <v>0</v>
      </c>
      <c r="BT198" s="23">
        <f>$L198*AM198</f>
        <v>0</v>
      </c>
      <c r="BU198" s="23">
        <f>$L198*AN198</f>
        <v>0</v>
      </c>
      <c r="BV198" s="23">
        <f>$L198*AO198</f>
        <v>0</v>
      </c>
      <c r="BW198" s="23">
        <f>$L198*AP198</f>
        <v>0</v>
      </c>
      <c r="BX198" s="23">
        <f>$L198*AQ198</f>
        <v>0</v>
      </c>
      <c r="BY198" s="23">
        <f>$L198*AR198</f>
        <v>0</v>
      </c>
      <c r="BZ198" s="23">
        <f>$L198*AS198</f>
        <v>0</v>
      </c>
      <c r="CA198" s="23">
        <f>$L198*AT198</f>
        <v>0</v>
      </c>
      <c r="CB198" s="23">
        <f>$L198*AU198</f>
        <v>0</v>
      </c>
      <c r="CC198" s="23">
        <f>$L198*AV198</f>
        <v>0</v>
      </c>
      <c r="CD198" s="23">
        <f>$L198*AW198</f>
        <v>0</v>
      </c>
      <c r="CE198" s="23">
        <f>$L198*AX198</f>
        <v>0</v>
      </c>
      <c r="CF198" s="23">
        <f>$L198*AY198</f>
        <v>0</v>
      </c>
      <c r="CG198" s="23">
        <f>$L198*AZ198</f>
        <v>0</v>
      </c>
      <c r="CH198" s="23">
        <f>$L198*BA198</f>
        <v>0</v>
      </c>
      <c r="CI198" s="23">
        <f>$L198*BB198</f>
        <v>0</v>
      </c>
      <c r="CJ198" s="23">
        <f>$L198*BC198</f>
        <v>0</v>
      </c>
      <c r="CK198" s="23">
        <f>$L198*BD198</f>
        <v>0</v>
      </c>
      <c r="CL198" s="23">
        <f>$L198*BE198</f>
        <v>0</v>
      </c>
      <c r="CM198" s="23">
        <f>$L198*BF198</f>
        <v>0</v>
      </c>
      <c r="CN198" s="23">
        <f>$L198*BG198</f>
        <v>1</v>
      </c>
      <c r="CO198" s="23">
        <f>$L198*BH198</f>
        <v>1</v>
      </c>
      <c r="CP198" s="23">
        <f>$L198*BI198</f>
        <v>1</v>
      </c>
      <c r="CQ198" s="23">
        <f>$L198*BJ198</f>
        <v>1</v>
      </c>
      <c r="CR198" s="23">
        <f>$L198*BK198</f>
        <v>1</v>
      </c>
      <c r="CS198" s="23">
        <f>$L198*BL198</f>
        <v>1</v>
      </c>
      <c r="CT198" s="23">
        <f>$L198*BM198</f>
        <v>1</v>
      </c>
      <c r="CU198" s="23">
        <f>$L198*BN198</f>
        <v>1</v>
      </c>
      <c r="CV198" s="23">
        <f>$L198*BO198</f>
        <v>1</v>
      </c>
    </row>
    <row r="199" spans="1:100" ht="13.5" x14ac:dyDescent="0.15">
      <c r="A199" s="15">
        <v>87</v>
      </c>
      <c r="B199" s="28" t="s">
        <v>582</v>
      </c>
      <c r="C199" t="s">
        <v>414</v>
      </c>
      <c r="E199" t="s">
        <v>140</v>
      </c>
      <c r="F199" t="s">
        <v>415</v>
      </c>
      <c r="G199" t="s">
        <v>140</v>
      </c>
      <c r="H199" t="s">
        <v>141</v>
      </c>
      <c r="I199" s="6" t="s">
        <v>136</v>
      </c>
      <c r="J199" s="6">
        <v>0</v>
      </c>
      <c r="L199" s="15">
        <v>1</v>
      </c>
      <c r="M199" s="7">
        <v>46104</v>
      </c>
      <c r="N199" s="7">
        <v>46129</v>
      </c>
      <c r="O199" s="7">
        <v>46125</v>
      </c>
      <c r="P199" s="7">
        <v>46126</v>
      </c>
      <c r="S199" s="6" t="s">
        <v>140</v>
      </c>
      <c r="U199" s="6" t="s">
        <v>413</v>
      </c>
      <c r="V199" s="6" t="str">
        <f>TEXT(N199,"YY/MM")</f>
        <v>26/04</v>
      </c>
      <c r="W199">
        <v>1571</v>
      </c>
      <c r="AA199">
        <v>925</v>
      </c>
      <c r="AC199">
        <v>978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1</v>
      </c>
      <c r="BP199" s="23">
        <f>$L199*AI199</f>
        <v>0</v>
      </c>
      <c r="BQ199" s="23">
        <f>$L199*AJ199</f>
        <v>0</v>
      </c>
      <c r="BR199" s="23">
        <f>$L199*AK199</f>
        <v>0</v>
      </c>
      <c r="BS199" s="23">
        <f>$L199*AL199</f>
        <v>0</v>
      </c>
      <c r="BT199" s="23">
        <f>$L199*AM199</f>
        <v>0</v>
      </c>
      <c r="BU199" s="23">
        <f>$L199*AN199</f>
        <v>0</v>
      </c>
      <c r="BV199" s="23">
        <f>$L199*AO199</f>
        <v>0</v>
      </c>
      <c r="BW199" s="23">
        <f>$L199*AP199</f>
        <v>0</v>
      </c>
      <c r="BX199" s="23">
        <f>$L199*AQ199</f>
        <v>0</v>
      </c>
      <c r="BY199" s="23">
        <f>$L199*AR199</f>
        <v>0</v>
      </c>
      <c r="BZ199" s="23">
        <f>$L199*AS199</f>
        <v>0</v>
      </c>
      <c r="CA199" s="23">
        <f>$L199*AT199</f>
        <v>0</v>
      </c>
      <c r="CB199" s="23">
        <f>$L199*AU199</f>
        <v>0</v>
      </c>
      <c r="CC199" s="23">
        <f>$L199*AV199</f>
        <v>0</v>
      </c>
      <c r="CD199" s="23">
        <f>$L199*AW199</f>
        <v>0</v>
      </c>
      <c r="CE199" s="23">
        <f>$L199*AX199</f>
        <v>0</v>
      </c>
      <c r="CF199" s="23">
        <f>$L199*AY199</f>
        <v>0</v>
      </c>
      <c r="CG199" s="23">
        <f>$L199*AZ199</f>
        <v>0</v>
      </c>
      <c r="CH199" s="23">
        <f>$L199*BA199</f>
        <v>0</v>
      </c>
      <c r="CI199" s="23">
        <f>$L199*BB199</f>
        <v>0</v>
      </c>
      <c r="CJ199" s="23">
        <f>$L199*BC199</f>
        <v>0</v>
      </c>
      <c r="CK199" s="23">
        <f>$L199*BD199</f>
        <v>0</v>
      </c>
      <c r="CL199" s="23">
        <f>$L199*BE199</f>
        <v>0</v>
      </c>
      <c r="CM199" s="23">
        <f>$L199*BF199</f>
        <v>0</v>
      </c>
      <c r="CN199" s="23">
        <f>$L199*BG199</f>
        <v>1</v>
      </c>
      <c r="CO199" s="23">
        <f>$L199*BH199</f>
        <v>1</v>
      </c>
      <c r="CP199" s="23">
        <f>$L199*BI199</f>
        <v>1</v>
      </c>
      <c r="CQ199" s="23">
        <f>$L199*BJ199</f>
        <v>1</v>
      </c>
      <c r="CR199" s="23">
        <f>$L199*BK199</f>
        <v>1</v>
      </c>
      <c r="CS199" s="23">
        <f>$L199*BL199</f>
        <v>1</v>
      </c>
      <c r="CT199" s="23">
        <f>$L199*BM199</f>
        <v>1</v>
      </c>
      <c r="CU199" s="23">
        <f>$L199*BN199</f>
        <v>1</v>
      </c>
      <c r="CV199" s="23">
        <f>$L199*BO199</f>
        <v>1</v>
      </c>
    </row>
    <row r="200" spans="1:100" ht="13.5" x14ac:dyDescent="0.15">
      <c r="A200" s="15">
        <v>87</v>
      </c>
      <c r="B200" s="28" t="s">
        <v>583</v>
      </c>
      <c r="C200" t="s">
        <v>414</v>
      </c>
      <c r="E200" t="s">
        <v>140</v>
      </c>
      <c r="F200" t="s">
        <v>415</v>
      </c>
      <c r="G200" t="s">
        <v>140</v>
      </c>
      <c r="H200" t="s">
        <v>141</v>
      </c>
      <c r="I200" s="6" t="s">
        <v>136</v>
      </c>
      <c r="J200" s="6">
        <v>0</v>
      </c>
      <c r="L200" s="15">
        <v>1</v>
      </c>
      <c r="M200" s="7">
        <v>46104</v>
      </c>
      <c r="N200" s="7">
        <v>46129</v>
      </c>
      <c r="O200" s="7">
        <v>46125</v>
      </c>
      <c r="P200" s="7">
        <v>46126</v>
      </c>
      <c r="S200" s="6" t="s">
        <v>140</v>
      </c>
      <c r="U200" s="6" t="s">
        <v>413</v>
      </c>
      <c r="V200" s="6" t="str">
        <f>TEXT(N200,"YY/MM")</f>
        <v>26/04</v>
      </c>
      <c r="W200">
        <v>1572</v>
      </c>
      <c r="AA200">
        <v>926</v>
      </c>
      <c r="AC200">
        <v>979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1</v>
      </c>
      <c r="BP200" s="23">
        <f>$L200*AI200</f>
        <v>0</v>
      </c>
      <c r="BQ200" s="23">
        <f>$L200*AJ200</f>
        <v>0</v>
      </c>
      <c r="BR200" s="23">
        <f>$L200*AK200</f>
        <v>0</v>
      </c>
      <c r="BS200" s="23">
        <f>$L200*AL200</f>
        <v>0</v>
      </c>
      <c r="BT200" s="23">
        <f>$L200*AM200</f>
        <v>0</v>
      </c>
      <c r="BU200" s="23">
        <f>$L200*AN200</f>
        <v>0</v>
      </c>
      <c r="BV200" s="23">
        <f>$L200*AO200</f>
        <v>0</v>
      </c>
      <c r="BW200" s="23">
        <f>$L200*AP200</f>
        <v>0</v>
      </c>
      <c r="BX200" s="23">
        <f>$L200*AQ200</f>
        <v>0</v>
      </c>
      <c r="BY200" s="23">
        <f>$L200*AR200</f>
        <v>0</v>
      </c>
      <c r="BZ200" s="23">
        <f>$L200*AS200</f>
        <v>0</v>
      </c>
      <c r="CA200" s="23">
        <f>$L200*AT200</f>
        <v>0</v>
      </c>
      <c r="CB200" s="23">
        <f>$L200*AU200</f>
        <v>0</v>
      </c>
      <c r="CC200" s="23">
        <f>$L200*AV200</f>
        <v>0</v>
      </c>
      <c r="CD200" s="23">
        <f>$L200*AW200</f>
        <v>0</v>
      </c>
      <c r="CE200" s="23">
        <f>$L200*AX200</f>
        <v>0</v>
      </c>
      <c r="CF200" s="23">
        <f>$L200*AY200</f>
        <v>0</v>
      </c>
      <c r="CG200" s="23">
        <f>$L200*AZ200</f>
        <v>0</v>
      </c>
      <c r="CH200" s="23">
        <f>$L200*BA200</f>
        <v>0</v>
      </c>
      <c r="CI200" s="23">
        <f>$L200*BB200</f>
        <v>0</v>
      </c>
      <c r="CJ200" s="23">
        <f>$L200*BC200</f>
        <v>0</v>
      </c>
      <c r="CK200" s="23">
        <f>$L200*BD200</f>
        <v>0</v>
      </c>
      <c r="CL200" s="23">
        <f>$L200*BE200</f>
        <v>0</v>
      </c>
      <c r="CM200" s="23">
        <f>$L200*BF200</f>
        <v>0</v>
      </c>
      <c r="CN200" s="23">
        <f>$L200*BG200</f>
        <v>1</v>
      </c>
      <c r="CO200" s="23">
        <f>$L200*BH200</f>
        <v>1</v>
      </c>
      <c r="CP200" s="23">
        <f>$L200*BI200</f>
        <v>1</v>
      </c>
      <c r="CQ200" s="23">
        <f>$L200*BJ200</f>
        <v>1</v>
      </c>
      <c r="CR200" s="23">
        <f>$L200*BK200</f>
        <v>1</v>
      </c>
      <c r="CS200" s="23">
        <f>$L200*BL200</f>
        <v>1</v>
      </c>
      <c r="CT200" s="23">
        <f>$L200*BM200</f>
        <v>1</v>
      </c>
      <c r="CU200" s="23">
        <f>$L200*BN200</f>
        <v>1</v>
      </c>
      <c r="CV200" s="23">
        <f>$L200*BO200</f>
        <v>1</v>
      </c>
    </row>
    <row r="201" spans="1:100" ht="13.5" x14ac:dyDescent="0.15">
      <c r="A201" s="15">
        <v>87</v>
      </c>
      <c r="B201" s="28" t="s">
        <v>584</v>
      </c>
      <c r="C201" t="s">
        <v>414</v>
      </c>
      <c r="E201" t="s">
        <v>140</v>
      </c>
      <c r="F201" t="s">
        <v>415</v>
      </c>
      <c r="G201" t="s">
        <v>140</v>
      </c>
      <c r="H201" t="s">
        <v>141</v>
      </c>
      <c r="I201" s="6" t="s">
        <v>136</v>
      </c>
      <c r="J201" s="6">
        <v>0</v>
      </c>
      <c r="L201" s="15">
        <v>1</v>
      </c>
      <c r="M201" s="7">
        <v>46104</v>
      </c>
      <c r="N201" s="7">
        <v>46129</v>
      </c>
      <c r="O201" s="7">
        <v>46125</v>
      </c>
      <c r="P201" s="7">
        <v>46126</v>
      </c>
      <c r="S201" s="6" t="s">
        <v>140</v>
      </c>
      <c r="U201" s="6" t="s">
        <v>413</v>
      </c>
      <c r="V201" s="6" t="str">
        <f>TEXT(N201,"YY/MM")</f>
        <v>26/04</v>
      </c>
      <c r="W201">
        <v>1573</v>
      </c>
      <c r="AA201">
        <v>927</v>
      </c>
      <c r="AC201">
        <v>980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1</v>
      </c>
      <c r="BP201" s="23">
        <f>$L201*AI201</f>
        <v>0</v>
      </c>
      <c r="BQ201" s="23">
        <f>$L201*AJ201</f>
        <v>0</v>
      </c>
      <c r="BR201" s="23">
        <f>$L201*AK201</f>
        <v>0</v>
      </c>
      <c r="BS201" s="23">
        <f>$L201*AL201</f>
        <v>0</v>
      </c>
      <c r="BT201" s="23">
        <f>$L201*AM201</f>
        <v>0</v>
      </c>
      <c r="BU201" s="23">
        <f>$L201*AN201</f>
        <v>0</v>
      </c>
      <c r="BV201" s="23">
        <f>$L201*AO201</f>
        <v>0</v>
      </c>
      <c r="BW201" s="23">
        <f>$L201*AP201</f>
        <v>0</v>
      </c>
      <c r="BX201" s="23">
        <f>$L201*AQ201</f>
        <v>0</v>
      </c>
      <c r="BY201" s="23">
        <f>$L201*AR201</f>
        <v>0</v>
      </c>
      <c r="BZ201" s="23">
        <f>$L201*AS201</f>
        <v>0</v>
      </c>
      <c r="CA201" s="23">
        <f>$L201*AT201</f>
        <v>0</v>
      </c>
      <c r="CB201" s="23">
        <f>$L201*AU201</f>
        <v>0</v>
      </c>
      <c r="CC201" s="23">
        <f>$L201*AV201</f>
        <v>0</v>
      </c>
      <c r="CD201" s="23">
        <f>$L201*AW201</f>
        <v>0</v>
      </c>
      <c r="CE201" s="23">
        <f>$L201*AX201</f>
        <v>0</v>
      </c>
      <c r="CF201" s="23">
        <f>$L201*AY201</f>
        <v>0</v>
      </c>
      <c r="CG201" s="23">
        <f>$L201*AZ201</f>
        <v>0</v>
      </c>
      <c r="CH201" s="23">
        <f>$L201*BA201</f>
        <v>0</v>
      </c>
      <c r="CI201" s="23">
        <f>$L201*BB201</f>
        <v>0</v>
      </c>
      <c r="CJ201" s="23">
        <f>$L201*BC201</f>
        <v>0</v>
      </c>
      <c r="CK201" s="23">
        <f>$L201*BD201</f>
        <v>0</v>
      </c>
      <c r="CL201" s="23">
        <f>$L201*BE201</f>
        <v>0</v>
      </c>
      <c r="CM201" s="23">
        <f>$L201*BF201</f>
        <v>0</v>
      </c>
      <c r="CN201" s="23">
        <f>$L201*BG201</f>
        <v>1</v>
      </c>
      <c r="CO201" s="23">
        <f>$L201*BH201</f>
        <v>1</v>
      </c>
      <c r="CP201" s="23">
        <f>$L201*BI201</f>
        <v>1</v>
      </c>
      <c r="CQ201" s="23">
        <f>$L201*BJ201</f>
        <v>1</v>
      </c>
      <c r="CR201" s="23">
        <f>$L201*BK201</f>
        <v>1</v>
      </c>
      <c r="CS201" s="23">
        <f>$L201*BL201</f>
        <v>1</v>
      </c>
      <c r="CT201" s="23">
        <f>$L201*BM201</f>
        <v>1</v>
      </c>
      <c r="CU201" s="23">
        <f>$L201*BN201</f>
        <v>1</v>
      </c>
      <c r="CV201" s="23">
        <f>$L201*BO201</f>
        <v>1</v>
      </c>
    </row>
    <row r="202" spans="1:100" ht="13.5" x14ac:dyDescent="0.15">
      <c r="A202" s="15">
        <v>87</v>
      </c>
      <c r="B202" s="28" t="s">
        <v>585</v>
      </c>
      <c r="C202" t="s">
        <v>414</v>
      </c>
      <c r="E202" t="s">
        <v>140</v>
      </c>
      <c r="F202" t="s">
        <v>415</v>
      </c>
      <c r="G202" t="s">
        <v>140</v>
      </c>
      <c r="H202" t="s">
        <v>141</v>
      </c>
      <c r="I202" s="6" t="s">
        <v>136</v>
      </c>
      <c r="J202" s="6">
        <v>0</v>
      </c>
      <c r="L202" s="15">
        <v>1</v>
      </c>
      <c r="M202" s="7">
        <v>46104</v>
      </c>
      <c r="N202" s="7">
        <v>46132</v>
      </c>
      <c r="O202" s="7">
        <v>46125</v>
      </c>
      <c r="P202" s="7">
        <v>46126</v>
      </c>
      <c r="S202" s="6" t="s">
        <v>140</v>
      </c>
      <c r="U202" s="6" t="s">
        <v>413</v>
      </c>
      <c r="V202" s="6" t="str">
        <f>TEXT(N202,"YY/MM")</f>
        <v>26/04</v>
      </c>
      <c r="W202">
        <v>1574</v>
      </c>
      <c r="AA202">
        <v>928</v>
      </c>
      <c r="AC202">
        <v>981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1</v>
      </c>
      <c r="BP202" s="23">
        <f>$L202*AI202</f>
        <v>0</v>
      </c>
      <c r="BQ202" s="23">
        <f>$L202*AJ202</f>
        <v>0</v>
      </c>
      <c r="BR202" s="23">
        <f>$L202*AK202</f>
        <v>0</v>
      </c>
      <c r="BS202" s="23">
        <f>$L202*AL202</f>
        <v>0</v>
      </c>
      <c r="BT202" s="23">
        <f>$L202*AM202</f>
        <v>0</v>
      </c>
      <c r="BU202" s="23">
        <f>$L202*AN202</f>
        <v>0</v>
      </c>
      <c r="BV202" s="23">
        <f>$L202*AO202</f>
        <v>0</v>
      </c>
      <c r="BW202" s="23">
        <f>$L202*AP202</f>
        <v>0</v>
      </c>
      <c r="BX202" s="23">
        <f>$L202*AQ202</f>
        <v>0</v>
      </c>
      <c r="BY202" s="23">
        <f>$L202*AR202</f>
        <v>0</v>
      </c>
      <c r="BZ202" s="23">
        <f>$L202*AS202</f>
        <v>0</v>
      </c>
      <c r="CA202" s="23">
        <f>$L202*AT202</f>
        <v>0</v>
      </c>
      <c r="CB202" s="23">
        <f>$L202*AU202</f>
        <v>0</v>
      </c>
      <c r="CC202" s="23">
        <f>$L202*AV202</f>
        <v>0</v>
      </c>
      <c r="CD202" s="23">
        <f>$L202*AW202</f>
        <v>0</v>
      </c>
      <c r="CE202" s="23">
        <f>$L202*AX202</f>
        <v>0</v>
      </c>
      <c r="CF202" s="23">
        <f>$L202*AY202</f>
        <v>0</v>
      </c>
      <c r="CG202" s="23">
        <f>$L202*AZ202</f>
        <v>0</v>
      </c>
      <c r="CH202" s="23">
        <f>$L202*BA202</f>
        <v>0</v>
      </c>
      <c r="CI202" s="23">
        <f>$L202*BB202</f>
        <v>0</v>
      </c>
      <c r="CJ202" s="23">
        <f>$L202*BC202</f>
        <v>0</v>
      </c>
      <c r="CK202" s="23">
        <f>$L202*BD202</f>
        <v>0</v>
      </c>
      <c r="CL202" s="23">
        <f>$L202*BE202</f>
        <v>0</v>
      </c>
      <c r="CM202" s="23">
        <f>$L202*BF202</f>
        <v>0</v>
      </c>
      <c r="CN202" s="23">
        <f>$L202*BG202</f>
        <v>1</v>
      </c>
      <c r="CO202" s="23">
        <f>$L202*BH202</f>
        <v>1</v>
      </c>
      <c r="CP202" s="23">
        <f>$L202*BI202</f>
        <v>1</v>
      </c>
      <c r="CQ202" s="23">
        <f>$L202*BJ202</f>
        <v>1</v>
      </c>
      <c r="CR202" s="23">
        <f>$L202*BK202</f>
        <v>1</v>
      </c>
      <c r="CS202" s="23">
        <f>$L202*BL202</f>
        <v>1</v>
      </c>
      <c r="CT202" s="23">
        <f>$L202*BM202</f>
        <v>1</v>
      </c>
      <c r="CU202" s="23">
        <f>$L202*BN202</f>
        <v>1</v>
      </c>
      <c r="CV202" s="23">
        <f>$L202*BO202</f>
        <v>1</v>
      </c>
    </row>
    <row r="203" spans="1:100" ht="13.5" x14ac:dyDescent="0.15">
      <c r="A203" s="15">
        <v>87</v>
      </c>
      <c r="B203" s="28" t="s">
        <v>586</v>
      </c>
      <c r="C203" t="s">
        <v>414</v>
      </c>
      <c r="E203" t="s">
        <v>140</v>
      </c>
      <c r="F203" t="s">
        <v>415</v>
      </c>
      <c r="G203" t="s">
        <v>140</v>
      </c>
      <c r="H203" t="s">
        <v>141</v>
      </c>
      <c r="I203" s="6" t="s">
        <v>136</v>
      </c>
      <c r="J203" s="6">
        <v>0</v>
      </c>
      <c r="L203" s="15">
        <v>1</v>
      </c>
      <c r="M203" s="7">
        <v>46104</v>
      </c>
      <c r="N203" s="7">
        <v>46132</v>
      </c>
      <c r="O203" s="7">
        <v>46125</v>
      </c>
      <c r="P203" s="7">
        <v>46126</v>
      </c>
      <c r="S203" s="6" t="s">
        <v>140</v>
      </c>
      <c r="U203" s="6" t="s">
        <v>413</v>
      </c>
      <c r="V203" s="6" t="str">
        <f>TEXT(N203,"YY/MM")</f>
        <v>26/04</v>
      </c>
      <c r="W203">
        <v>1575</v>
      </c>
      <c r="AA203">
        <v>929</v>
      </c>
      <c r="AC203">
        <v>982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1</v>
      </c>
      <c r="BP203" s="23">
        <f>$L203*AI203</f>
        <v>0</v>
      </c>
      <c r="BQ203" s="23">
        <f>$L203*AJ203</f>
        <v>0</v>
      </c>
      <c r="BR203" s="23">
        <f>$L203*AK203</f>
        <v>0</v>
      </c>
      <c r="BS203" s="23">
        <f>$L203*AL203</f>
        <v>0</v>
      </c>
      <c r="BT203" s="23">
        <f>$L203*AM203</f>
        <v>0</v>
      </c>
      <c r="BU203" s="23">
        <f>$L203*AN203</f>
        <v>0</v>
      </c>
      <c r="BV203" s="23">
        <f>$L203*AO203</f>
        <v>0</v>
      </c>
      <c r="BW203" s="23">
        <f>$L203*AP203</f>
        <v>0</v>
      </c>
      <c r="BX203" s="23">
        <f>$L203*AQ203</f>
        <v>0</v>
      </c>
      <c r="BY203" s="23">
        <f>$L203*AR203</f>
        <v>0</v>
      </c>
      <c r="BZ203" s="23">
        <f>$L203*AS203</f>
        <v>0</v>
      </c>
      <c r="CA203" s="23">
        <f>$L203*AT203</f>
        <v>0</v>
      </c>
      <c r="CB203" s="23">
        <f>$L203*AU203</f>
        <v>0</v>
      </c>
      <c r="CC203" s="23">
        <f>$L203*AV203</f>
        <v>0</v>
      </c>
      <c r="CD203" s="23">
        <f>$L203*AW203</f>
        <v>0</v>
      </c>
      <c r="CE203" s="23">
        <f>$L203*AX203</f>
        <v>0</v>
      </c>
      <c r="CF203" s="23">
        <f>$L203*AY203</f>
        <v>0</v>
      </c>
      <c r="CG203" s="23">
        <f>$L203*AZ203</f>
        <v>0</v>
      </c>
      <c r="CH203" s="23">
        <f>$L203*BA203</f>
        <v>0</v>
      </c>
      <c r="CI203" s="23">
        <f>$L203*BB203</f>
        <v>0</v>
      </c>
      <c r="CJ203" s="23">
        <f>$L203*BC203</f>
        <v>0</v>
      </c>
      <c r="CK203" s="23">
        <f>$L203*BD203</f>
        <v>0</v>
      </c>
      <c r="CL203" s="23">
        <f>$L203*BE203</f>
        <v>0</v>
      </c>
      <c r="CM203" s="23">
        <f>$L203*BF203</f>
        <v>0</v>
      </c>
      <c r="CN203" s="23">
        <f>$L203*BG203</f>
        <v>1</v>
      </c>
      <c r="CO203" s="23">
        <f>$L203*BH203</f>
        <v>1</v>
      </c>
      <c r="CP203" s="23">
        <f>$L203*BI203</f>
        <v>1</v>
      </c>
      <c r="CQ203" s="23">
        <f>$L203*BJ203</f>
        <v>1</v>
      </c>
      <c r="CR203" s="23">
        <f>$L203*BK203</f>
        <v>1</v>
      </c>
      <c r="CS203" s="23">
        <f>$L203*BL203</f>
        <v>1</v>
      </c>
      <c r="CT203" s="23">
        <f>$L203*BM203</f>
        <v>1</v>
      </c>
      <c r="CU203" s="23">
        <f>$L203*BN203</f>
        <v>1</v>
      </c>
      <c r="CV203" s="23">
        <f>$L203*BO203</f>
        <v>1</v>
      </c>
    </row>
    <row r="204" spans="1:100" ht="13.5" x14ac:dyDescent="0.15">
      <c r="A204" s="15">
        <v>102</v>
      </c>
      <c r="B204" s="28" t="s">
        <v>587</v>
      </c>
      <c r="C204" t="s">
        <v>414</v>
      </c>
      <c r="E204" t="s">
        <v>140</v>
      </c>
      <c r="F204" t="s">
        <v>415</v>
      </c>
      <c r="G204" t="s">
        <v>140</v>
      </c>
      <c r="H204" t="s">
        <v>141</v>
      </c>
      <c r="I204" s="6" t="s">
        <v>136</v>
      </c>
      <c r="J204" s="6">
        <v>0</v>
      </c>
      <c r="L204" s="15">
        <v>1</v>
      </c>
      <c r="M204" s="7">
        <v>46104</v>
      </c>
      <c r="N204" s="7">
        <v>46133</v>
      </c>
      <c r="O204" s="7">
        <v>46129</v>
      </c>
      <c r="P204" s="7">
        <v>46132</v>
      </c>
      <c r="S204" s="6" t="s">
        <v>140</v>
      </c>
      <c r="U204" s="6" t="s">
        <v>413</v>
      </c>
      <c r="V204" s="6" t="str">
        <f>TEXT(N204,"YY/MM")</f>
        <v>26/04</v>
      </c>
      <c r="W204">
        <v>1576</v>
      </c>
      <c r="AA204">
        <v>930</v>
      </c>
      <c r="AC204">
        <v>983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1</v>
      </c>
      <c r="BP204" s="23">
        <f>$L204*AI204</f>
        <v>0</v>
      </c>
      <c r="BQ204" s="23">
        <f>$L204*AJ204</f>
        <v>0</v>
      </c>
      <c r="BR204" s="23">
        <f>$L204*AK204</f>
        <v>0</v>
      </c>
      <c r="BS204" s="23">
        <f>$L204*AL204</f>
        <v>0</v>
      </c>
      <c r="BT204" s="23">
        <f>$L204*AM204</f>
        <v>0</v>
      </c>
      <c r="BU204" s="23">
        <f>$L204*AN204</f>
        <v>0</v>
      </c>
      <c r="BV204" s="23">
        <f>$L204*AO204</f>
        <v>0</v>
      </c>
      <c r="BW204" s="23">
        <f>$L204*AP204</f>
        <v>0</v>
      </c>
      <c r="BX204" s="23">
        <f>$L204*AQ204</f>
        <v>0</v>
      </c>
      <c r="BY204" s="23">
        <f>$L204*AR204</f>
        <v>0</v>
      </c>
      <c r="BZ204" s="23">
        <f>$L204*AS204</f>
        <v>0</v>
      </c>
      <c r="CA204" s="23">
        <f>$L204*AT204</f>
        <v>0</v>
      </c>
      <c r="CB204" s="23">
        <f>$L204*AU204</f>
        <v>0</v>
      </c>
      <c r="CC204" s="23">
        <f>$L204*AV204</f>
        <v>0</v>
      </c>
      <c r="CD204" s="23">
        <f>$L204*AW204</f>
        <v>0</v>
      </c>
      <c r="CE204" s="23">
        <f>$L204*AX204</f>
        <v>0</v>
      </c>
      <c r="CF204" s="23">
        <f>$L204*AY204</f>
        <v>0</v>
      </c>
      <c r="CG204" s="23">
        <f>$L204*AZ204</f>
        <v>0</v>
      </c>
      <c r="CH204" s="23">
        <f>$L204*BA204</f>
        <v>0</v>
      </c>
      <c r="CI204" s="23">
        <f>$L204*BB204</f>
        <v>0</v>
      </c>
      <c r="CJ204" s="23">
        <f>$L204*BC204</f>
        <v>0</v>
      </c>
      <c r="CK204" s="23">
        <f>$L204*BD204</f>
        <v>0</v>
      </c>
      <c r="CL204" s="23">
        <f>$L204*BE204</f>
        <v>0</v>
      </c>
      <c r="CM204" s="23">
        <f>$L204*BF204</f>
        <v>0</v>
      </c>
      <c r="CN204" s="23">
        <f>$L204*BG204</f>
        <v>1</v>
      </c>
      <c r="CO204" s="23">
        <f>$L204*BH204</f>
        <v>1</v>
      </c>
      <c r="CP204" s="23">
        <f>$L204*BI204</f>
        <v>1</v>
      </c>
      <c r="CQ204" s="23">
        <f>$L204*BJ204</f>
        <v>1</v>
      </c>
      <c r="CR204" s="23">
        <f>$L204*BK204</f>
        <v>1</v>
      </c>
      <c r="CS204" s="23">
        <f>$L204*BL204</f>
        <v>1</v>
      </c>
      <c r="CT204" s="23">
        <f>$L204*BM204</f>
        <v>1</v>
      </c>
      <c r="CU204" s="23">
        <f>$L204*BN204</f>
        <v>1</v>
      </c>
      <c r="CV204" s="23">
        <f>$L204*BO204</f>
        <v>1</v>
      </c>
    </row>
    <row r="205" spans="1:100" ht="13.5" x14ac:dyDescent="0.15">
      <c r="A205" s="15">
        <v>102</v>
      </c>
      <c r="B205" s="28" t="s">
        <v>588</v>
      </c>
      <c r="C205" t="s">
        <v>414</v>
      </c>
      <c r="E205" t="s">
        <v>140</v>
      </c>
      <c r="F205" t="s">
        <v>415</v>
      </c>
      <c r="G205" t="s">
        <v>140</v>
      </c>
      <c r="H205" t="s">
        <v>141</v>
      </c>
      <c r="I205" s="6" t="s">
        <v>136</v>
      </c>
      <c r="J205" s="6">
        <v>0</v>
      </c>
      <c r="L205" s="15">
        <v>1</v>
      </c>
      <c r="M205" s="7">
        <v>46104</v>
      </c>
      <c r="N205" s="7">
        <v>46133</v>
      </c>
      <c r="O205" s="7">
        <v>46129</v>
      </c>
      <c r="P205" s="7">
        <v>46132</v>
      </c>
      <c r="S205" s="6" t="s">
        <v>140</v>
      </c>
      <c r="U205" s="6" t="s">
        <v>413</v>
      </c>
      <c r="V205" s="6" t="str">
        <f>TEXT(N205,"YY/MM")</f>
        <v>26/04</v>
      </c>
      <c r="W205">
        <v>1577</v>
      </c>
      <c r="AA205">
        <v>931</v>
      </c>
      <c r="AC205">
        <v>984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1</v>
      </c>
      <c r="BP205" s="23">
        <f>$L205*AI205</f>
        <v>0</v>
      </c>
      <c r="BQ205" s="23">
        <f>$L205*AJ205</f>
        <v>0</v>
      </c>
      <c r="BR205" s="23">
        <f>$L205*AK205</f>
        <v>0</v>
      </c>
      <c r="BS205" s="23">
        <f>$L205*AL205</f>
        <v>0</v>
      </c>
      <c r="BT205" s="23">
        <f>$L205*AM205</f>
        <v>0</v>
      </c>
      <c r="BU205" s="23">
        <f>$L205*AN205</f>
        <v>0</v>
      </c>
      <c r="BV205" s="23">
        <f>$L205*AO205</f>
        <v>0</v>
      </c>
      <c r="BW205" s="23">
        <f>$L205*AP205</f>
        <v>0</v>
      </c>
      <c r="BX205" s="23">
        <f>$L205*AQ205</f>
        <v>0</v>
      </c>
      <c r="BY205" s="23">
        <f>$L205*AR205</f>
        <v>0</v>
      </c>
      <c r="BZ205" s="23">
        <f>$L205*AS205</f>
        <v>0</v>
      </c>
      <c r="CA205" s="23">
        <f>$L205*AT205</f>
        <v>0</v>
      </c>
      <c r="CB205" s="23">
        <f>$L205*AU205</f>
        <v>0</v>
      </c>
      <c r="CC205" s="23">
        <f>$L205*AV205</f>
        <v>0</v>
      </c>
      <c r="CD205" s="23">
        <f>$L205*AW205</f>
        <v>0</v>
      </c>
      <c r="CE205" s="23">
        <f>$L205*AX205</f>
        <v>0</v>
      </c>
      <c r="CF205" s="23">
        <f>$L205*AY205</f>
        <v>0</v>
      </c>
      <c r="CG205" s="23">
        <f>$L205*AZ205</f>
        <v>0</v>
      </c>
      <c r="CH205" s="23">
        <f>$L205*BA205</f>
        <v>0</v>
      </c>
      <c r="CI205" s="23">
        <f>$L205*BB205</f>
        <v>0</v>
      </c>
      <c r="CJ205" s="23">
        <f>$L205*BC205</f>
        <v>0</v>
      </c>
      <c r="CK205" s="23">
        <f>$L205*BD205</f>
        <v>0</v>
      </c>
      <c r="CL205" s="23">
        <f>$L205*BE205</f>
        <v>0</v>
      </c>
      <c r="CM205" s="23">
        <f>$L205*BF205</f>
        <v>0</v>
      </c>
      <c r="CN205" s="23">
        <f>$L205*BG205</f>
        <v>1</v>
      </c>
      <c r="CO205" s="23">
        <f>$L205*BH205</f>
        <v>1</v>
      </c>
      <c r="CP205" s="23">
        <f>$L205*BI205</f>
        <v>1</v>
      </c>
      <c r="CQ205" s="23">
        <f>$L205*BJ205</f>
        <v>1</v>
      </c>
      <c r="CR205" s="23">
        <f>$L205*BK205</f>
        <v>1</v>
      </c>
      <c r="CS205" s="23">
        <f>$L205*BL205</f>
        <v>1</v>
      </c>
      <c r="CT205" s="23">
        <f>$L205*BM205</f>
        <v>1</v>
      </c>
      <c r="CU205" s="23">
        <f>$L205*BN205</f>
        <v>1</v>
      </c>
      <c r="CV205" s="23">
        <f>$L205*BO205</f>
        <v>1</v>
      </c>
    </row>
    <row r="206" spans="1:100" ht="13.5" x14ac:dyDescent="0.15">
      <c r="A206" s="15">
        <v>102</v>
      </c>
      <c r="B206" s="28" t="s">
        <v>589</v>
      </c>
      <c r="C206" t="s">
        <v>414</v>
      </c>
      <c r="E206" t="s">
        <v>140</v>
      </c>
      <c r="F206" t="s">
        <v>415</v>
      </c>
      <c r="G206" t="s">
        <v>140</v>
      </c>
      <c r="H206" t="s">
        <v>141</v>
      </c>
      <c r="I206" s="6" t="s">
        <v>136</v>
      </c>
      <c r="J206" s="6">
        <v>0</v>
      </c>
      <c r="L206" s="15">
        <v>1</v>
      </c>
      <c r="M206" s="7">
        <v>46104</v>
      </c>
      <c r="N206" s="7">
        <v>46133</v>
      </c>
      <c r="O206" s="7">
        <v>46129</v>
      </c>
      <c r="P206" s="7">
        <v>46132</v>
      </c>
      <c r="S206" s="6" t="s">
        <v>140</v>
      </c>
      <c r="U206" s="6" t="s">
        <v>413</v>
      </c>
      <c r="V206" s="6" t="str">
        <f>TEXT(N206,"YY/MM")</f>
        <v>26/04</v>
      </c>
      <c r="W206">
        <v>1578</v>
      </c>
      <c r="AA206">
        <v>932</v>
      </c>
      <c r="AC206">
        <v>985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1</v>
      </c>
      <c r="BP206" s="23">
        <f>$L206*AI206</f>
        <v>0</v>
      </c>
      <c r="BQ206" s="23">
        <f>$L206*AJ206</f>
        <v>0</v>
      </c>
      <c r="BR206" s="23">
        <f>$L206*AK206</f>
        <v>0</v>
      </c>
      <c r="BS206" s="23">
        <f>$L206*AL206</f>
        <v>0</v>
      </c>
      <c r="BT206" s="23">
        <f>$L206*AM206</f>
        <v>0</v>
      </c>
      <c r="BU206" s="23">
        <f>$L206*AN206</f>
        <v>0</v>
      </c>
      <c r="BV206" s="23">
        <f>$L206*AO206</f>
        <v>0</v>
      </c>
      <c r="BW206" s="23">
        <f>$L206*AP206</f>
        <v>0</v>
      </c>
      <c r="BX206" s="23">
        <f>$L206*AQ206</f>
        <v>0</v>
      </c>
      <c r="BY206" s="23">
        <f>$L206*AR206</f>
        <v>0</v>
      </c>
      <c r="BZ206" s="23">
        <f>$L206*AS206</f>
        <v>0</v>
      </c>
      <c r="CA206" s="23">
        <f>$L206*AT206</f>
        <v>0</v>
      </c>
      <c r="CB206" s="23">
        <f>$L206*AU206</f>
        <v>0</v>
      </c>
      <c r="CC206" s="23">
        <f>$L206*AV206</f>
        <v>0</v>
      </c>
      <c r="CD206" s="23">
        <f>$L206*AW206</f>
        <v>0</v>
      </c>
      <c r="CE206" s="23">
        <f>$L206*AX206</f>
        <v>0</v>
      </c>
      <c r="CF206" s="23">
        <f>$L206*AY206</f>
        <v>0</v>
      </c>
      <c r="CG206" s="23">
        <f>$L206*AZ206</f>
        <v>0</v>
      </c>
      <c r="CH206" s="23">
        <f>$L206*BA206</f>
        <v>0</v>
      </c>
      <c r="CI206" s="23">
        <f>$L206*BB206</f>
        <v>0</v>
      </c>
      <c r="CJ206" s="23">
        <f>$L206*BC206</f>
        <v>0</v>
      </c>
      <c r="CK206" s="23">
        <f>$L206*BD206</f>
        <v>0</v>
      </c>
      <c r="CL206" s="23">
        <f>$L206*BE206</f>
        <v>0</v>
      </c>
      <c r="CM206" s="23">
        <f>$L206*BF206</f>
        <v>0</v>
      </c>
      <c r="CN206" s="23">
        <f>$L206*BG206</f>
        <v>1</v>
      </c>
      <c r="CO206" s="23">
        <f>$L206*BH206</f>
        <v>1</v>
      </c>
      <c r="CP206" s="23">
        <f>$L206*BI206</f>
        <v>1</v>
      </c>
      <c r="CQ206" s="23">
        <f>$L206*BJ206</f>
        <v>1</v>
      </c>
      <c r="CR206" s="23">
        <f>$L206*BK206</f>
        <v>1</v>
      </c>
      <c r="CS206" s="23">
        <f>$L206*BL206</f>
        <v>1</v>
      </c>
      <c r="CT206" s="23">
        <f>$L206*BM206</f>
        <v>1</v>
      </c>
      <c r="CU206" s="23">
        <f>$L206*BN206</f>
        <v>1</v>
      </c>
      <c r="CV206" s="23">
        <f>$L206*BO206</f>
        <v>1</v>
      </c>
    </row>
    <row r="207" spans="1:100" ht="13.5" x14ac:dyDescent="0.15">
      <c r="A207" s="15">
        <v>102</v>
      </c>
      <c r="B207" s="28" t="s">
        <v>590</v>
      </c>
      <c r="C207" t="s">
        <v>414</v>
      </c>
      <c r="E207" t="s">
        <v>140</v>
      </c>
      <c r="F207" t="s">
        <v>415</v>
      </c>
      <c r="G207" t="s">
        <v>140</v>
      </c>
      <c r="H207" t="s">
        <v>141</v>
      </c>
      <c r="I207" s="6" t="s">
        <v>136</v>
      </c>
      <c r="J207" s="6">
        <v>0</v>
      </c>
      <c r="L207" s="15">
        <v>1</v>
      </c>
      <c r="M207" s="7">
        <v>46104</v>
      </c>
      <c r="N207" s="7">
        <v>46133</v>
      </c>
      <c r="O207" s="7">
        <v>46129</v>
      </c>
      <c r="P207" s="7">
        <v>46132</v>
      </c>
      <c r="S207" s="6" t="s">
        <v>140</v>
      </c>
      <c r="U207" s="6" t="s">
        <v>413</v>
      </c>
      <c r="V207" s="6" t="str">
        <f>TEXT(N207,"YY/MM")</f>
        <v>26/04</v>
      </c>
      <c r="W207">
        <v>1579</v>
      </c>
      <c r="AA207">
        <v>933</v>
      </c>
      <c r="AC207">
        <v>986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1</v>
      </c>
      <c r="BP207" s="23">
        <f>$L207*AI207</f>
        <v>0</v>
      </c>
      <c r="BQ207" s="23">
        <f>$L207*AJ207</f>
        <v>0</v>
      </c>
      <c r="BR207" s="23">
        <f>$L207*AK207</f>
        <v>0</v>
      </c>
      <c r="BS207" s="23">
        <f>$L207*AL207</f>
        <v>0</v>
      </c>
      <c r="BT207" s="23">
        <f>$L207*AM207</f>
        <v>0</v>
      </c>
      <c r="BU207" s="23">
        <f>$L207*AN207</f>
        <v>0</v>
      </c>
      <c r="BV207" s="23">
        <f>$L207*AO207</f>
        <v>0</v>
      </c>
      <c r="BW207" s="23">
        <f>$L207*AP207</f>
        <v>0</v>
      </c>
      <c r="BX207" s="23">
        <f>$L207*AQ207</f>
        <v>0</v>
      </c>
      <c r="BY207" s="23">
        <f>$L207*AR207</f>
        <v>0</v>
      </c>
      <c r="BZ207" s="23">
        <f>$L207*AS207</f>
        <v>0</v>
      </c>
      <c r="CA207" s="23">
        <f>$L207*AT207</f>
        <v>0</v>
      </c>
      <c r="CB207" s="23">
        <f>$L207*AU207</f>
        <v>0</v>
      </c>
      <c r="CC207" s="23">
        <f>$L207*AV207</f>
        <v>0</v>
      </c>
      <c r="CD207" s="23">
        <f>$L207*AW207</f>
        <v>0</v>
      </c>
      <c r="CE207" s="23">
        <f>$L207*AX207</f>
        <v>0</v>
      </c>
      <c r="CF207" s="23">
        <f>$L207*AY207</f>
        <v>0</v>
      </c>
      <c r="CG207" s="23">
        <f>$L207*AZ207</f>
        <v>0</v>
      </c>
      <c r="CH207" s="23">
        <f>$L207*BA207</f>
        <v>0</v>
      </c>
      <c r="CI207" s="23">
        <f>$L207*BB207</f>
        <v>0</v>
      </c>
      <c r="CJ207" s="23">
        <f>$L207*BC207</f>
        <v>0</v>
      </c>
      <c r="CK207" s="23">
        <f>$L207*BD207</f>
        <v>0</v>
      </c>
      <c r="CL207" s="23">
        <f>$L207*BE207</f>
        <v>0</v>
      </c>
      <c r="CM207" s="23">
        <f>$L207*BF207</f>
        <v>0</v>
      </c>
      <c r="CN207" s="23">
        <f>$L207*BG207</f>
        <v>1</v>
      </c>
      <c r="CO207" s="23">
        <f>$L207*BH207</f>
        <v>1</v>
      </c>
      <c r="CP207" s="23">
        <f>$L207*BI207</f>
        <v>1</v>
      </c>
      <c r="CQ207" s="23">
        <f>$L207*BJ207</f>
        <v>1</v>
      </c>
      <c r="CR207" s="23">
        <f>$L207*BK207</f>
        <v>1</v>
      </c>
      <c r="CS207" s="23">
        <f>$L207*BL207</f>
        <v>1</v>
      </c>
      <c r="CT207" s="23">
        <f>$L207*BM207</f>
        <v>1</v>
      </c>
      <c r="CU207" s="23">
        <f>$L207*BN207</f>
        <v>1</v>
      </c>
      <c r="CV207" s="23">
        <f>$L207*BO207</f>
        <v>1</v>
      </c>
    </row>
    <row r="208" spans="1:100" ht="13.5" x14ac:dyDescent="0.15">
      <c r="A208" s="15">
        <v>102</v>
      </c>
      <c r="B208" s="28" t="s">
        <v>591</v>
      </c>
      <c r="C208" t="s">
        <v>414</v>
      </c>
      <c r="E208" t="s">
        <v>140</v>
      </c>
      <c r="F208" t="s">
        <v>415</v>
      </c>
      <c r="G208" t="s">
        <v>140</v>
      </c>
      <c r="H208" t="s">
        <v>141</v>
      </c>
      <c r="I208" s="6" t="s">
        <v>136</v>
      </c>
      <c r="J208" s="6">
        <v>0</v>
      </c>
      <c r="L208" s="15">
        <v>1</v>
      </c>
      <c r="M208" s="7">
        <v>46104</v>
      </c>
      <c r="N208" s="7">
        <v>46133</v>
      </c>
      <c r="O208" s="7">
        <v>46129</v>
      </c>
      <c r="P208" s="7">
        <v>46132</v>
      </c>
      <c r="S208" s="6" t="s">
        <v>140</v>
      </c>
      <c r="U208" s="6" t="s">
        <v>413</v>
      </c>
      <c r="V208" s="6" t="str">
        <f>TEXT(N208,"YY/MM")</f>
        <v>26/04</v>
      </c>
      <c r="W208">
        <v>1580</v>
      </c>
      <c r="AA208">
        <v>934</v>
      </c>
      <c r="AC208">
        <v>987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1</v>
      </c>
      <c r="BP208" s="23">
        <f>$L208*AI208</f>
        <v>0</v>
      </c>
      <c r="BQ208" s="23">
        <f>$L208*AJ208</f>
        <v>0</v>
      </c>
      <c r="BR208" s="23">
        <f>$L208*AK208</f>
        <v>0</v>
      </c>
      <c r="BS208" s="23">
        <f>$L208*AL208</f>
        <v>0</v>
      </c>
      <c r="BT208" s="23">
        <f>$L208*AM208</f>
        <v>0</v>
      </c>
      <c r="BU208" s="23">
        <f>$L208*AN208</f>
        <v>0</v>
      </c>
      <c r="BV208" s="23">
        <f>$L208*AO208</f>
        <v>0</v>
      </c>
      <c r="BW208" s="23">
        <f>$L208*AP208</f>
        <v>0</v>
      </c>
      <c r="BX208" s="23">
        <f>$L208*AQ208</f>
        <v>0</v>
      </c>
      <c r="BY208" s="23">
        <f>$L208*AR208</f>
        <v>0</v>
      </c>
      <c r="BZ208" s="23">
        <f>$L208*AS208</f>
        <v>0</v>
      </c>
      <c r="CA208" s="23">
        <f>$L208*AT208</f>
        <v>0</v>
      </c>
      <c r="CB208" s="23">
        <f>$L208*AU208</f>
        <v>0</v>
      </c>
      <c r="CC208" s="23">
        <f>$L208*AV208</f>
        <v>0</v>
      </c>
      <c r="CD208" s="23">
        <f>$L208*AW208</f>
        <v>0</v>
      </c>
      <c r="CE208" s="23">
        <f>$L208*AX208</f>
        <v>0</v>
      </c>
      <c r="CF208" s="23">
        <f>$L208*AY208</f>
        <v>0</v>
      </c>
      <c r="CG208" s="23">
        <f>$L208*AZ208</f>
        <v>0</v>
      </c>
      <c r="CH208" s="23">
        <f>$L208*BA208</f>
        <v>0</v>
      </c>
      <c r="CI208" s="23">
        <f>$L208*BB208</f>
        <v>0</v>
      </c>
      <c r="CJ208" s="23">
        <f>$L208*BC208</f>
        <v>0</v>
      </c>
      <c r="CK208" s="23">
        <f>$L208*BD208</f>
        <v>0</v>
      </c>
      <c r="CL208" s="23">
        <f>$L208*BE208</f>
        <v>0</v>
      </c>
      <c r="CM208" s="23">
        <f>$L208*BF208</f>
        <v>0</v>
      </c>
      <c r="CN208" s="23">
        <f>$L208*BG208</f>
        <v>1</v>
      </c>
      <c r="CO208" s="23">
        <f>$L208*BH208</f>
        <v>1</v>
      </c>
      <c r="CP208" s="23">
        <f>$L208*BI208</f>
        <v>1</v>
      </c>
      <c r="CQ208" s="23">
        <f>$L208*BJ208</f>
        <v>1</v>
      </c>
      <c r="CR208" s="23">
        <f>$L208*BK208</f>
        <v>1</v>
      </c>
      <c r="CS208" s="23">
        <f>$L208*BL208</f>
        <v>1</v>
      </c>
      <c r="CT208" s="23">
        <f>$L208*BM208</f>
        <v>1</v>
      </c>
      <c r="CU208" s="23">
        <f>$L208*BN208</f>
        <v>1</v>
      </c>
      <c r="CV208" s="23">
        <f>$L208*BO208</f>
        <v>1</v>
      </c>
    </row>
    <row r="209" spans="1:100" ht="13.5" x14ac:dyDescent="0.15">
      <c r="A209" s="15">
        <v>102</v>
      </c>
      <c r="B209" s="28" t="s">
        <v>592</v>
      </c>
      <c r="C209" t="s">
        <v>414</v>
      </c>
      <c r="E209" t="s">
        <v>140</v>
      </c>
      <c r="F209" t="s">
        <v>415</v>
      </c>
      <c r="G209" t="s">
        <v>140</v>
      </c>
      <c r="H209" t="s">
        <v>141</v>
      </c>
      <c r="I209" s="6" t="s">
        <v>136</v>
      </c>
      <c r="J209" s="6">
        <v>0</v>
      </c>
      <c r="L209" s="15">
        <v>1</v>
      </c>
      <c r="M209" s="7">
        <v>46104</v>
      </c>
      <c r="N209" s="7">
        <v>46133</v>
      </c>
      <c r="O209" s="7">
        <v>46129</v>
      </c>
      <c r="P209" s="7">
        <v>46132</v>
      </c>
      <c r="S209" s="6" t="s">
        <v>140</v>
      </c>
      <c r="U209" s="6" t="s">
        <v>413</v>
      </c>
      <c r="V209" s="6" t="str">
        <f>TEXT(N209,"YY/MM")</f>
        <v>26/04</v>
      </c>
      <c r="W209">
        <v>1581</v>
      </c>
      <c r="AA209">
        <v>935</v>
      </c>
      <c r="AC209">
        <v>988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1</v>
      </c>
      <c r="BP209" s="23">
        <f>$L209*AI209</f>
        <v>0</v>
      </c>
      <c r="BQ209" s="23">
        <f>$L209*AJ209</f>
        <v>0</v>
      </c>
      <c r="BR209" s="23">
        <f>$L209*AK209</f>
        <v>0</v>
      </c>
      <c r="BS209" s="23">
        <f>$L209*AL209</f>
        <v>0</v>
      </c>
      <c r="BT209" s="23">
        <f>$L209*AM209</f>
        <v>0</v>
      </c>
      <c r="BU209" s="23">
        <f>$L209*AN209</f>
        <v>0</v>
      </c>
      <c r="BV209" s="23">
        <f>$L209*AO209</f>
        <v>0</v>
      </c>
      <c r="BW209" s="23">
        <f>$L209*AP209</f>
        <v>0</v>
      </c>
      <c r="BX209" s="23">
        <f>$L209*AQ209</f>
        <v>0</v>
      </c>
      <c r="BY209" s="23">
        <f>$L209*AR209</f>
        <v>0</v>
      </c>
      <c r="BZ209" s="23">
        <f>$L209*AS209</f>
        <v>0</v>
      </c>
      <c r="CA209" s="23">
        <f>$L209*AT209</f>
        <v>0</v>
      </c>
      <c r="CB209" s="23">
        <f>$L209*AU209</f>
        <v>0</v>
      </c>
      <c r="CC209" s="23">
        <f>$L209*AV209</f>
        <v>0</v>
      </c>
      <c r="CD209" s="23">
        <f>$L209*AW209</f>
        <v>0</v>
      </c>
      <c r="CE209" s="23">
        <f>$L209*AX209</f>
        <v>0</v>
      </c>
      <c r="CF209" s="23">
        <f>$L209*AY209</f>
        <v>0</v>
      </c>
      <c r="CG209" s="23">
        <f>$L209*AZ209</f>
        <v>0</v>
      </c>
      <c r="CH209" s="23">
        <f>$L209*BA209</f>
        <v>0</v>
      </c>
      <c r="CI209" s="23">
        <f>$L209*BB209</f>
        <v>0</v>
      </c>
      <c r="CJ209" s="23">
        <f>$L209*BC209</f>
        <v>0</v>
      </c>
      <c r="CK209" s="23">
        <f>$L209*BD209</f>
        <v>0</v>
      </c>
      <c r="CL209" s="23">
        <f>$L209*BE209</f>
        <v>0</v>
      </c>
      <c r="CM209" s="23">
        <f>$L209*BF209</f>
        <v>0</v>
      </c>
      <c r="CN209" s="23">
        <f>$L209*BG209</f>
        <v>1</v>
      </c>
      <c r="CO209" s="23">
        <f>$L209*BH209</f>
        <v>1</v>
      </c>
      <c r="CP209" s="23">
        <f>$L209*BI209</f>
        <v>1</v>
      </c>
      <c r="CQ209" s="23">
        <f>$L209*BJ209</f>
        <v>1</v>
      </c>
      <c r="CR209" s="23">
        <f>$L209*BK209</f>
        <v>1</v>
      </c>
      <c r="CS209" s="23">
        <f>$L209*BL209</f>
        <v>1</v>
      </c>
      <c r="CT209" s="23">
        <f>$L209*BM209</f>
        <v>1</v>
      </c>
      <c r="CU209" s="23">
        <f>$L209*BN209</f>
        <v>1</v>
      </c>
      <c r="CV209" s="23">
        <f>$L209*BO209</f>
        <v>1</v>
      </c>
    </row>
    <row r="210" spans="1:100" ht="13.5" x14ac:dyDescent="0.15">
      <c r="A210" s="15">
        <v>102</v>
      </c>
      <c r="B210" s="28" t="s">
        <v>593</v>
      </c>
      <c r="C210" t="s">
        <v>414</v>
      </c>
      <c r="E210" t="s">
        <v>140</v>
      </c>
      <c r="F210" t="s">
        <v>415</v>
      </c>
      <c r="G210" t="s">
        <v>140</v>
      </c>
      <c r="H210" t="s">
        <v>141</v>
      </c>
      <c r="I210" s="6" t="s">
        <v>136</v>
      </c>
      <c r="J210" s="6">
        <v>0</v>
      </c>
      <c r="L210" s="15">
        <v>1</v>
      </c>
      <c r="M210" s="7">
        <v>46104</v>
      </c>
      <c r="N210" s="7">
        <v>46134</v>
      </c>
      <c r="O210" s="7">
        <v>46129</v>
      </c>
      <c r="P210" s="7">
        <v>46132</v>
      </c>
      <c r="S210" s="6" t="s">
        <v>140</v>
      </c>
      <c r="U210" s="6" t="s">
        <v>413</v>
      </c>
      <c r="V210" s="6" t="str">
        <f>TEXT(N210,"YY/MM")</f>
        <v>26/04</v>
      </c>
      <c r="W210">
        <v>1582</v>
      </c>
      <c r="AA210">
        <v>936</v>
      </c>
      <c r="AC210">
        <v>989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1</v>
      </c>
      <c r="BP210" s="23">
        <f>$L210*AI210</f>
        <v>0</v>
      </c>
      <c r="BQ210" s="23">
        <f>$L210*AJ210</f>
        <v>0</v>
      </c>
      <c r="BR210" s="23">
        <f>$L210*AK210</f>
        <v>0</v>
      </c>
      <c r="BS210" s="23">
        <f>$L210*AL210</f>
        <v>0</v>
      </c>
      <c r="BT210" s="23">
        <f>$L210*AM210</f>
        <v>0</v>
      </c>
      <c r="BU210" s="23">
        <f>$L210*AN210</f>
        <v>0</v>
      </c>
      <c r="BV210" s="23">
        <f>$L210*AO210</f>
        <v>0</v>
      </c>
      <c r="BW210" s="23">
        <f>$L210*AP210</f>
        <v>0</v>
      </c>
      <c r="BX210" s="23">
        <f>$L210*AQ210</f>
        <v>0</v>
      </c>
      <c r="BY210" s="23">
        <f>$L210*AR210</f>
        <v>0</v>
      </c>
      <c r="BZ210" s="23">
        <f>$L210*AS210</f>
        <v>0</v>
      </c>
      <c r="CA210" s="23">
        <f>$L210*AT210</f>
        <v>0</v>
      </c>
      <c r="CB210" s="23">
        <f>$L210*AU210</f>
        <v>0</v>
      </c>
      <c r="CC210" s="23">
        <f>$L210*AV210</f>
        <v>0</v>
      </c>
      <c r="CD210" s="23">
        <f>$L210*AW210</f>
        <v>0</v>
      </c>
      <c r="CE210" s="23">
        <f>$L210*AX210</f>
        <v>0</v>
      </c>
      <c r="CF210" s="23">
        <f>$L210*AY210</f>
        <v>0</v>
      </c>
      <c r="CG210" s="23">
        <f>$L210*AZ210</f>
        <v>0</v>
      </c>
      <c r="CH210" s="23">
        <f>$L210*BA210</f>
        <v>0</v>
      </c>
      <c r="CI210" s="23">
        <f>$L210*BB210</f>
        <v>0</v>
      </c>
      <c r="CJ210" s="23">
        <f>$L210*BC210</f>
        <v>0</v>
      </c>
      <c r="CK210" s="23">
        <f>$L210*BD210</f>
        <v>0</v>
      </c>
      <c r="CL210" s="23">
        <f>$L210*BE210</f>
        <v>0</v>
      </c>
      <c r="CM210" s="23">
        <f>$L210*BF210</f>
        <v>0</v>
      </c>
      <c r="CN210" s="23">
        <f>$L210*BG210</f>
        <v>1</v>
      </c>
      <c r="CO210" s="23">
        <f>$L210*BH210</f>
        <v>1</v>
      </c>
      <c r="CP210" s="23">
        <f>$L210*BI210</f>
        <v>1</v>
      </c>
      <c r="CQ210" s="23">
        <f>$L210*BJ210</f>
        <v>1</v>
      </c>
      <c r="CR210" s="23">
        <f>$L210*BK210</f>
        <v>1</v>
      </c>
      <c r="CS210" s="23">
        <f>$L210*BL210</f>
        <v>1</v>
      </c>
      <c r="CT210" s="23">
        <f>$L210*BM210</f>
        <v>1</v>
      </c>
      <c r="CU210" s="23">
        <f>$L210*BN210</f>
        <v>1</v>
      </c>
      <c r="CV210" s="23">
        <f>$L210*BO210</f>
        <v>1</v>
      </c>
    </row>
    <row r="211" spans="1:100" ht="13.5" x14ac:dyDescent="0.15">
      <c r="A211" s="15">
        <v>102</v>
      </c>
      <c r="B211" s="28" t="s">
        <v>594</v>
      </c>
      <c r="C211" t="s">
        <v>414</v>
      </c>
      <c r="E211" t="s">
        <v>140</v>
      </c>
      <c r="F211" t="s">
        <v>415</v>
      </c>
      <c r="G211" t="s">
        <v>140</v>
      </c>
      <c r="H211" t="s">
        <v>141</v>
      </c>
      <c r="I211" s="6" t="s">
        <v>136</v>
      </c>
      <c r="J211" s="6">
        <v>0</v>
      </c>
      <c r="L211" s="15">
        <v>1</v>
      </c>
      <c r="M211" s="7">
        <v>46104</v>
      </c>
      <c r="N211" s="7">
        <v>46134</v>
      </c>
      <c r="O211" s="7">
        <v>46129</v>
      </c>
      <c r="P211" s="7">
        <v>46132</v>
      </c>
      <c r="S211" s="6" t="s">
        <v>140</v>
      </c>
      <c r="U211" s="6" t="s">
        <v>413</v>
      </c>
      <c r="V211" s="6" t="str">
        <f>TEXT(N211,"YY/MM")</f>
        <v>26/04</v>
      </c>
      <c r="W211">
        <v>1583</v>
      </c>
      <c r="AA211">
        <v>937</v>
      </c>
      <c r="AC211">
        <v>990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1</v>
      </c>
      <c r="BP211" s="23">
        <f>$L211*AI211</f>
        <v>0</v>
      </c>
      <c r="BQ211" s="23">
        <f>$L211*AJ211</f>
        <v>0</v>
      </c>
      <c r="BR211" s="23">
        <f>$L211*AK211</f>
        <v>0</v>
      </c>
      <c r="BS211" s="23">
        <f>$L211*AL211</f>
        <v>0</v>
      </c>
      <c r="BT211" s="23">
        <f>$L211*AM211</f>
        <v>0</v>
      </c>
      <c r="BU211" s="23">
        <f>$L211*AN211</f>
        <v>0</v>
      </c>
      <c r="BV211" s="23">
        <f>$L211*AO211</f>
        <v>0</v>
      </c>
      <c r="BW211" s="23">
        <f>$L211*AP211</f>
        <v>0</v>
      </c>
      <c r="BX211" s="23">
        <f>$L211*AQ211</f>
        <v>0</v>
      </c>
      <c r="BY211" s="23">
        <f>$L211*AR211</f>
        <v>0</v>
      </c>
      <c r="BZ211" s="23">
        <f>$L211*AS211</f>
        <v>0</v>
      </c>
      <c r="CA211" s="23">
        <f>$L211*AT211</f>
        <v>0</v>
      </c>
      <c r="CB211" s="23">
        <f>$L211*AU211</f>
        <v>0</v>
      </c>
      <c r="CC211" s="23">
        <f>$L211*AV211</f>
        <v>0</v>
      </c>
      <c r="CD211" s="23">
        <f>$L211*AW211</f>
        <v>0</v>
      </c>
      <c r="CE211" s="23">
        <f>$L211*AX211</f>
        <v>0</v>
      </c>
      <c r="CF211" s="23">
        <f>$L211*AY211</f>
        <v>0</v>
      </c>
      <c r="CG211" s="23">
        <f>$L211*AZ211</f>
        <v>0</v>
      </c>
      <c r="CH211" s="23">
        <f>$L211*BA211</f>
        <v>0</v>
      </c>
      <c r="CI211" s="23">
        <f>$L211*BB211</f>
        <v>0</v>
      </c>
      <c r="CJ211" s="23">
        <f>$L211*BC211</f>
        <v>0</v>
      </c>
      <c r="CK211" s="23">
        <f>$L211*BD211</f>
        <v>0</v>
      </c>
      <c r="CL211" s="23">
        <f>$L211*BE211</f>
        <v>0</v>
      </c>
      <c r="CM211" s="23">
        <f>$L211*BF211</f>
        <v>0</v>
      </c>
      <c r="CN211" s="23">
        <f>$L211*BG211</f>
        <v>1</v>
      </c>
      <c r="CO211" s="23">
        <f>$L211*BH211</f>
        <v>1</v>
      </c>
      <c r="CP211" s="23">
        <f>$L211*BI211</f>
        <v>1</v>
      </c>
      <c r="CQ211" s="23">
        <f>$L211*BJ211</f>
        <v>1</v>
      </c>
      <c r="CR211" s="23">
        <f>$L211*BK211</f>
        <v>1</v>
      </c>
      <c r="CS211" s="23">
        <f>$L211*BL211</f>
        <v>1</v>
      </c>
      <c r="CT211" s="23">
        <f>$L211*BM211</f>
        <v>1</v>
      </c>
      <c r="CU211" s="23">
        <f>$L211*BN211</f>
        <v>1</v>
      </c>
      <c r="CV211" s="23">
        <f>$L211*BO211</f>
        <v>1</v>
      </c>
    </row>
    <row r="212" spans="1:100" ht="13.5" x14ac:dyDescent="0.15">
      <c r="A212" s="15">
        <v>102</v>
      </c>
      <c r="B212" s="28" t="s">
        <v>595</v>
      </c>
      <c r="C212" t="s">
        <v>414</v>
      </c>
      <c r="E212" t="s">
        <v>140</v>
      </c>
      <c r="F212" t="s">
        <v>415</v>
      </c>
      <c r="G212" t="s">
        <v>140</v>
      </c>
      <c r="H212" t="s">
        <v>141</v>
      </c>
      <c r="I212" s="6" t="s">
        <v>136</v>
      </c>
      <c r="J212" s="6">
        <v>0</v>
      </c>
      <c r="L212" s="15">
        <v>1</v>
      </c>
      <c r="M212" s="7">
        <v>46104</v>
      </c>
      <c r="N212" s="7">
        <v>46134</v>
      </c>
      <c r="O212" s="7">
        <v>46129</v>
      </c>
      <c r="P212" s="7">
        <v>46132</v>
      </c>
      <c r="S212" s="6" t="s">
        <v>140</v>
      </c>
      <c r="U212" s="6" t="s">
        <v>413</v>
      </c>
      <c r="V212" s="6" t="str">
        <f>TEXT(N212,"YY/MM")</f>
        <v>26/04</v>
      </c>
      <c r="W212">
        <v>1584</v>
      </c>
      <c r="AA212">
        <v>938</v>
      </c>
      <c r="AC212">
        <v>991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1</v>
      </c>
      <c r="BP212" s="23">
        <f>$L212*AI212</f>
        <v>0</v>
      </c>
      <c r="BQ212" s="23">
        <f>$L212*AJ212</f>
        <v>0</v>
      </c>
      <c r="BR212" s="23">
        <f>$L212*AK212</f>
        <v>0</v>
      </c>
      <c r="BS212" s="23">
        <f>$L212*AL212</f>
        <v>0</v>
      </c>
      <c r="BT212" s="23">
        <f>$L212*AM212</f>
        <v>0</v>
      </c>
      <c r="BU212" s="23">
        <f>$L212*AN212</f>
        <v>0</v>
      </c>
      <c r="BV212" s="23">
        <f>$L212*AO212</f>
        <v>0</v>
      </c>
      <c r="BW212" s="23">
        <f>$L212*AP212</f>
        <v>0</v>
      </c>
      <c r="BX212" s="23">
        <f>$L212*AQ212</f>
        <v>0</v>
      </c>
      <c r="BY212" s="23">
        <f>$L212*AR212</f>
        <v>0</v>
      </c>
      <c r="BZ212" s="23">
        <f>$L212*AS212</f>
        <v>0</v>
      </c>
      <c r="CA212" s="23">
        <f>$L212*AT212</f>
        <v>0</v>
      </c>
      <c r="CB212" s="23">
        <f>$L212*AU212</f>
        <v>0</v>
      </c>
      <c r="CC212" s="23">
        <f>$L212*AV212</f>
        <v>0</v>
      </c>
      <c r="CD212" s="23">
        <f>$L212*AW212</f>
        <v>0</v>
      </c>
      <c r="CE212" s="23">
        <f>$L212*AX212</f>
        <v>0</v>
      </c>
      <c r="CF212" s="23">
        <f>$L212*AY212</f>
        <v>0</v>
      </c>
      <c r="CG212" s="23">
        <f>$L212*AZ212</f>
        <v>0</v>
      </c>
      <c r="CH212" s="23">
        <f>$L212*BA212</f>
        <v>0</v>
      </c>
      <c r="CI212" s="23">
        <f>$L212*BB212</f>
        <v>0</v>
      </c>
      <c r="CJ212" s="23">
        <f>$L212*BC212</f>
        <v>0</v>
      </c>
      <c r="CK212" s="23">
        <f>$L212*BD212</f>
        <v>0</v>
      </c>
      <c r="CL212" s="23">
        <f>$L212*BE212</f>
        <v>0</v>
      </c>
      <c r="CM212" s="23">
        <f>$L212*BF212</f>
        <v>0</v>
      </c>
      <c r="CN212" s="23">
        <f>$L212*BG212</f>
        <v>1</v>
      </c>
      <c r="CO212" s="23">
        <f>$L212*BH212</f>
        <v>1</v>
      </c>
      <c r="CP212" s="23">
        <f>$L212*BI212</f>
        <v>1</v>
      </c>
      <c r="CQ212" s="23">
        <f>$L212*BJ212</f>
        <v>1</v>
      </c>
      <c r="CR212" s="23">
        <f>$L212*BK212</f>
        <v>1</v>
      </c>
      <c r="CS212" s="23">
        <f>$L212*BL212</f>
        <v>1</v>
      </c>
      <c r="CT212" s="23">
        <f>$L212*BM212</f>
        <v>1</v>
      </c>
      <c r="CU212" s="23">
        <f>$L212*BN212</f>
        <v>1</v>
      </c>
      <c r="CV212" s="23">
        <f>$L212*BO212</f>
        <v>1</v>
      </c>
    </row>
    <row r="213" spans="1:100" ht="13.5" x14ac:dyDescent="0.15">
      <c r="A213" s="15">
        <v>102</v>
      </c>
      <c r="B213" s="28" t="s">
        <v>596</v>
      </c>
      <c r="C213" t="s">
        <v>414</v>
      </c>
      <c r="E213" t="s">
        <v>140</v>
      </c>
      <c r="F213" t="s">
        <v>415</v>
      </c>
      <c r="G213" t="s">
        <v>140</v>
      </c>
      <c r="H213" t="s">
        <v>141</v>
      </c>
      <c r="I213" s="6" t="s">
        <v>136</v>
      </c>
      <c r="J213" s="6">
        <v>0</v>
      </c>
      <c r="L213" s="15">
        <v>1</v>
      </c>
      <c r="M213" s="7">
        <v>46104</v>
      </c>
      <c r="N213" s="7">
        <v>46134</v>
      </c>
      <c r="O213" s="7">
        <v>46129</v>
      </c>
      <c r="P213" s="7">
        <v>46132</v>
      </c>
      <c r="S213" s="6" t="s">
        <v>140</v>
      </c>
      <c r="U213" s="6" t="s">
        <v>413</v>
      </c>
      <c r="V213" s="6" t="str">
        <f>TEXT(N213,"YY/MM")</f>
        <v>26/04</v>
      </c>
      <c r="W213">
        <v>1585</v>
      </c>
      <c r="AA213">
        <v>939</v>
      </c>
      <c r="AC213">
        <v>992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1</v>
      </c>
      <c r="BP213" s="23">
        <f>$L213*AI213</f>
        <v>0</v>
      </c>
      <c r="BQ213" s="23">
        <f>$L213*AJ213</f>
        <v>0</v>
      </c>
      <c r="BR213" s="23">
        <f>$L213*AK213</f>
        <v>0</v>
      </c>
      <c r="BS213" s="23">
        <f>$L213*AL213</f>
        <v>0</v>
      </c>
      <c r="BT213" s="23">
        <f>$L213*AM213</f>
        <v>0</v>
      </c>
      <c r="BU213" s="23">
        <f>$L213*AN213</f>
        <v>0</v>
      </c>
      <c r="BV213" s="23">
        <f>$L213*AO213</f>
        <v>0</v>
      </c>
      <c r="BW213" s="23">
        <f>$L213*AP213</f>
        <v>0</v>
      </c>
      <c r="BX213" s="23">
        <f>$L213*AQ213</f>
        <v>0</v>
      </c>
      <c r="BY213" s="23">
        <f>$L213*AR213</f>
        <v>0</v>
      </c>
      <c r="BZ213" s="23">
        <f>$L213*AS213</f>
        <v>0</v>
      </c>
      <c r="CA213" s="23">
        <f>$L213*AT213</f>
        <v>0</v>
      </c>
      <c r="CB213" s="23">
        <f>$L213*AU213</f>
        <v>0</v>
      </c>
      <c r="CC213" s="23">
        <f>$L213*AV213</f>
        <v>0</v>
      </c>
      <c r="CD213" s="23">
        <f>$L213*AW213</f>
        <v>0</v>
      </c>
      <c r="CE213" s="23">
        <f>$L213*AX213</f>
        <v>0</v>
      </c>
      <c r="CF213" s="23">
        <f>$L213*AY213</f>
        <v>0</v>
      </c>
      <c r="CG213" s="23">
        <f>$L213*AZ213</f>
        <v>0</v>
      </c>
      <c r="CH213" s="23">
        <f>$L213*BA213</f>
        <v>0</v>
      </c>
      <c r="CI213" s="23">
        <f>$L213*BB213</f>
        <v>0</v>
      </c>
      <c r="CJ213" s="23">
        <f>$L213*BC213</f>
        <v>0</v>
      </c>
      <c r="CK213" s="23">
        <f>$L213*BD213</f>
        <v>0</v>
      </c>
      <c r="CL213" s="23">
        <f>$L213*BE213</f>
        <v>0</v>
      </c>
      <c r="CM213" s="23">
        <f>$L213*BF213</f>
        <v>0</v>
      </c>
      <c r="CN213" s="23">
        <f>$L213*BG213</f>
        <v>1</v>
      </c>
      <c r="CO213" s="23">
        <f>$L213*BH213</f>
        <v>1</v>
      </c>
      <c r="CP213" s="23">
        <f>$L213*BI213</f>
        <v>1</v>
      </c>
      <c r="CQ213" s="23">
        <f>$L213*BJ213</f>
        <v>1</v>
      </c>
      <c r="CR213" s="23">
        <f>$L213*BK213</f>
        <v>1</v>
      </c>
      <c r="CS213" s="23">
        <f>$L213*BL213</f>
        <v>1</v>
      </c>
      <c r="CT213" s="23">
        <f>$L213*BM213</f>
        <v>1</v>
      </c>
      <c r="CU213" s="23">
        <f>$L213*BN213</f>
        <v>1</v>
      </c>
      <c r="CV213" s="23">
        <f>$L213*BO213</f>
        <v>1</v>
      </c>
    </row>
    <row r="214" spans="1:100" ht="13.5" x14ac:dyDescent="0.15">
      <c r="A214" s="15">
        <v>102</v>
      </c>
      <c r="B214" s="28" t="s">
        <v>597</v>
      </c>
      <c r="C214" t="s">
        <v>414</v>
      </c>
      <c r="E214" t="s">
        <v>140</v>
      </c>
      <c r="F214" t="s">
        <v>415</v>
      </c>
      <c r="G214" t="s">
        <v>140</v>
      </c>
      <c r="H214" t="s">
        <v>141</v>
      </c>
      <c r="I214" s="6" t="s">
        <v>136</v>
      </c>
      <c r="J214" s="6">
        <v>0</v>
      </c>
      <c r="L214" s="15">
        <v>1</v>
      </c>
      <c r="M214" s="7">
        <v>46104</v>
      </c>
      <c r="N214" s="7">
        <v>46134</v>
      </c>
      <c r="O214" s="7">
        <v>46129</v>
      </c>
      <c r="P214" s="7">
        <v>46132</v>
      </c>
      <c r="S214" s="6" t="s">
        <v>140</v>
      </c>
      <c r="U214" s="6" t="s">
        <v>413</v>
      </c>
      <c r="V214" s="6" t="str">
        <f>TEXT(N214,"YY/MM")</f>
        <v>26/04</v>
      </c>
      <c r="W214">
        <v>1586</v>
      </c>
      <c r="AA214">
        <v>940</v>
      </c>
      <c r="AC214">
        <v>993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1</v>
      </c>
      <c r="BP214" s="23">
        <f>$L214*AI214</f>
        <v>0</v>
      </c>
      <c r="BQ214" s="23">
        <f>$L214*AJ214</f>
        <v>0</v>
      </c>
      <c r="BR214" s="23">
        <f>$L214*AK214</f>
        <v>0</v>
      </c>
      <c r="BS214" s="23">
        <f>$L214*AL214</f>
        <v>0</v>
      </c>
      <c r="BT214" s="23">
        <f>$L214*AM214</f>
        <v>0</v>
      </c>
      <c r="BU214" s="23">
        <f>$L214*AN214</f>
        <v>0</v>
      </c>
      <c r="BV214" s="23">
        <f>$L214*AO214</f>
        <v>0</v>
      </c>
      <c r="BW214" s="23">
        <f>$L214*AP214</f>
        <v>0</v>
      </c>
      <c r="BX214" s="23">
        <f>$L214*AQ214</f>
        <v>0</v>
      </c>
      <c r="BY214" s="23">
        <f>$L214*AR214</f>
        <v>0</v>
      </c>
      <c r="BZ214" s="23">
        <f>$L214*AS214</f>
        <v>0</v>
      </c>
      <c r="CA214" s="23">
        <f>$L214*AT214</f>
        <v>0</v>
      </c>
      <c r="CB214" s="23">
        <f>$L214*AU214</f>
        <v>0</v>
      </c>
      <c r="CC214" s="23">
        <f>$L214*AV214</f>
        <v>0</v>
      </c>
      <c r="CD214" s="23">
        <f>$L214*AW214</f>
        <v>0</v>
      </c>
      <c r="CE214" s="23">
        <f>$L214*AX214</f>
        <v>0</v>
      </c>
      <c r="CF214" s="23">
        <f>$L214*AY214</f>
        <v>0</v>
      </c>
      <c r="CG214" s="23">
        <f>$L214*AZ214</f>
        <v>0</v>
      </c>
      <c r="CH214" s="23">
        <f>$L214*BA214</f>
        <v>0</v>
      </c>
      <c r="CI214" s="23">
        <f>$L214*BB214</f>
        <v>0</v>
      </c>
      <c r="CJ214" s="23">
        <f>$L214*BC214</f>
        <v>0</v>
      </c>
      <c r="CK214" s="23">
        <f>$L214*BD214</f>
        <v>0</v>
      </c>
      <c r="CL214" s="23">
        <f>$L214*BE214</f>
        <v>0</v>
      </c>
      <c r="CM214" s="23">
        <f>$L214*BF214</f>
        <v>0</v>
      </c>
      <c r="CN214" s="23">
        <f>$L214*BG214</f>
        <v>1</v>
      </c>
      <c r="CO214" s="23">
        <f>$L214*BH214</f>
        <v>1</v>
      </c>
      <c r="CP214" s="23">
        <f>$L214*BI214</f>
        <v>1</v>
      </c>
      <c r="CQ214" s="23">
        <f>$L214*BJ214</f>
        <v>1</v>
      </c>
      <c r="CR214" s="23">
        <f>$L214*BK214</f>
        <v>1</v>
      </c>
      <c r="CS214" s="23">
        <f>$L214*BL214</f>
        <v>1</v>
      </c>
      <c r="CT214" s="23">
        <f>$L214*BM214</f>
        <v>1</v>
      </c>
      <c r="CU214" s="23">
        <f>$L214*BN214</f>
        <v>1</v>
      </c>
      <c r="CV214" s="23">
        <f>$L214*BO214</f>
        <v>1</v>
      </c>
    </row>
    <row r="215" spans="1:100" ht="13.5" x14ac:dyDescent="0.15">
      <c r="A215" s="15">
        <v>102</v>
      </c>
      <c r="B215" s="28" t="s">
        <v>598</v>
      </c>
      <c r="C215" t="s">
        <v>414</v>
      </c>
      <c r="E215" t="s">
        <v>140</v>
      </c>
      <c r="F215" t="s">
        <v>415</v>
      </c>
      <c r="G215" t="s">
        <v>140</v>
      </c>
      <c r="H215" t="s">
        <v>141</v>
      </c>
      <c r="I215" s="6" t="s">
        <v>136</v>
      </c>
      <c r="J215" s="6">
        <v>0</v>
      </c>
      <c r="L215" s="15">
        <v>1</v>
      </c>
      <c r="M215" s="7">
        <v>46104</v>
      </c>
      <c r="N215" s="7">
        <v>46134</v>
      </c>
      <c r="O215" s="7">
        <v>46129</v>
      </c>
      <c r="P215" s="7">
        <v>46132</v>
      </c>
      <c r="S215" s="6" t="s">
        <v>140</v>
      </c>
      <c r="U215" s="6" t="s">
        <v>413</v>
      </c>
      <c r="V215" s="6" t="str">
        <f>TEXT(N215,"YY/MM")</f>
        <v>26/04</v>
      </c>
      <c r="W215">
        <v>1587</v>
      </c>
      <c r="AA215">
        <v>941</v>
      </c>
      <c r="AC215">
        <v>994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1</v>
      </c>
      <c r="BP215" s="23">
        <f>$L215*AI215</f>
        <v>0</v>
      </c>
      <c r="BQ215" s="23">
        <f>$L215*AJ215</f>
        <v>0</v>
      </c>
      <c r="BR215" s="23">
        <f>$L215*AK215</f>
        <v>0</v>
      </c>
      <c r="BS215" s="23">
        <f>$L215*AL215</f>
        <v>0</v>
      </c>
      <c r="BT215" s="23">
        <f>$L215*AM215</f>
        <v>0</v>
      </c>
      <c r="BU215" s="23">
        <f>$L215*AN215</f>
        <v>0</v>
      </c>
      <c r="BV215" s="23">
        <f>$L215*AO215</f>
        <v>0</v>
      </c>
      <c r="BW215" s="23">
        <f>$L215*AP215</f>
        <v>0</v>
      </c>
      <c r="BX215" s="23">
        <f>$L215*AQ215</f>
        <v>0</v>
      </c>
      <c r="BY215" s="23">
        <f>$L215*AR215</f>
        <v>0</v>
      </c>
      <c r="BZ215" s="23">
        <f>$L215*AS215</f>
        <v>0</v>
      </c>
      <c r="CA215" s="23">
        <f>$L215*AT215</f>
        <v>0</v>
      </c>
      <c r="CB215" s="23">
        <f>$L215*AU215</f>
        <v>0</v>
      </c>
      <c r="CC215" s="23">
        <f>$L215*AV215</f>
        <v>0</v>
      </c>
      <c r="CD215" s="23">
        <f>$L215*AW215</f>
        <v>0</v>
      </c>
      <c r="CE215" s="23">
        <f>$L215*AX215</f>
        <v>0</v>
      </c>
      <c r="CF215" s="23">
        <f>$L215*AY215</f>
        <v>0</v>
      </c>
      <c r="CG215" s="23">
        <f>$L215*AZ215</f>
        <v>0</v>
      </c>
      <c r="CH215" s="23">
        <f>$L215*BA215</f>
        <v>0</v>
      </c>
      <c r="CI215" s="23">
        <f>$L215*BB215</f>
        <v>0</v>
      </c>
      <c r="CJ215" s="23">
        <f>$L215*BC215</f>
        <v>0</v>
      </c>
      <c r="CK215" s="23">
        <f>$L215*BD215</f>
        <v>0</v>
      </c>
      <c r="CL215" s="23">
        <f>$L215*BE215</f>
        <v>0</v>
      </c>
      <c r="CM215" s="23">
        <f>$L215*BF215</f>
        <v>0</v>
      </c>
      <c r="CN215" s="23">
        <f>$L215*BG215</f>
        <v>1</v>
      </c>
      <c r="CO215" s="23">
        <f>$L215*BH215</f>
        <v>1</v>
      </c>
      <c r="CP215" s="23">
        <f>$L215*BI215</f>
        <v>1</v>
      </c>
      <c r="CQ215" s="23">
        <f>$L215*BJ215</f>
        <v>1</v>
      </c>
      <c r="CR215" s="23">
        <f>$L215*BK215</f>
        <v>1</v>
      </c>
      <c r="CS215" s="23">
        <f>$L215*BL215</f>
        <v>1</v>
      </c>
      <c r="CT215" s="23">
        <f>$L215*BM215</f>
        <v>1</v>
      </c>
      <c r="CU215" s="23">
        <f>$L215*BN215</f>
        <v>1</v>
      </c>
      <c r="CV215" s="23">
        <f>$L215*BO215</f>
        <v>1</v>
      </c>
    </row>
    <row r="216" spans="1:100" ht="13.5" x14ac:dyDescent="0.15">
      <c r="A216" s="15">
        <v>102</v>
      </c>
      <c r="B216" s="28" t="s">
        <v>599</v>
      </c>
      <c r="C216" t="s">
        <v>414</v>
      </c>
      <c r="E216" t="s">
        <v>140</v>
      </c>
      <c r="F216" t="s">
        <v>415</v>
      </c>
      <c r="G216" t="s">
        <v>140</v>
      </c>
      <c r="H216" t="s">
        <v>141</v>
      </c>
      <c r="I216" s="6" t="s">
        <v>136</v>
      </c>
      <c r="J216" s="6">
        <v>0</v>
      </c>
      <c r="L216" s="15">
        <v>1</v>
      </c>
      <c r="M216" s="7">
        <v>46104</v>
      </c>
      <c r="N216" s="7">
        <v>46135</v>
      </c>
      <c r="O216" s="7">
        <v>46129</v>
      </c>
      <c r="P216" s="7">
        <v>46132</v>
      </c>
      <c r="S216" s="6" t="s">
        <v>140</v>
      </c>
      <c r="U216" s="6" t="s">
        <v>413</v>
      </c>
      <c r="V216" s="6" t="str">
        <f>TEXT(N216,"YY/MM")</f>
        <v>26/04</v>
      </c>
      <c r="W216">
        <v>1588</v>
      </c>
      <c r="AA216">
        <v>942</v>
      </c>
      <c r="AC216">
        <v>995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1</v>
      </c>
      <c r="BP216" s="23">
        <f>$L216*AI216</f>
        <v>0</v>
      </c>
      <c r="BQ216" s="23">
        <f>$L216*AJ216</f>
        <v>0</v>
      </c>
      <c r="BR216" s="23">
        <f>$L216*AK216</f>
        <v>0</v>
      </c>
      <c r="BS216" s="23">
        <f>$L216*AL216</f>
        <v>0</v>
      </c>
      <c r="BT216" s="23">
        <f>$L216*AM216</f>
        <v>0</v>
      </c>
      <c r="BU216" s="23">
        <f>$L216*AN216</f>
        <v>0</v>
      </c>
      <c r="BV216" s="23">
        <f>$L216*AO216</f>
        <v>0</v>
      </c>
      <c r="BW216" s="23">
        <f>$L216*AP216</f>
        <v>0</v>
      </c>
      <c r="BX216" s="23">
        <f>$L216*AQ216</f>
        <v>0</v>
      </c>
      <c r="BY216" s="23">
        <f>$L216*AR216</f>
        <v>0</v>
      </c>
      <c r="BZ216" s="23">
        <f>$L216*AS216</f>
        <v>0</v>
      </c>
      <c r="CA216" s="23">
        <f>$L216*AT216</f>
        <v>0</v>
      </c>
      <c r="CB216" s="23">
        <f>$L216*AU216</f>
        <v>0</v>
      </c>
      <c r="CC216" s="23">
        <f>$L216*AV216</f>
        <v>0</v>
      </c>
      <c r="CD216" s="23">
        <f>$L216*AW216</f>
        <v>0</v>
      </c>
      <c r="CE216" s="23">
        <f>$L216*AX216</f>
        <v>0</v>
      </c>
      <c r="CF216" s="23">
        <f>$L216*AY216</f>
        <v>0</v>
      </c>
      <c r="CG216" s="23">
        <f>$L216*AZ216</f>
        <v>0</v>
      </c>
      <c r="CH216" s="23">
        <f>$L216*BA216</f>
        <v>0</v>
      </c>
      <c r="CI216" s="23">
        <f>$L216*BB216</f>
        <v>0</v>
      </c>
      <c r="CJ216" s="23">
        <f>$L216*BC216</f>
        <v>0</v>
      </c>
      <c r="CK216" s="23">
        <f>$L216*BD216</f>
        <v>0</v>
      </c>
      <c r="CL216" s="23">
        <f>$L216*BE216</f>
        <v>0</v>
      </c>
      <c r="CM216" s="23">
        <f>$L216*BF216</f>
        <v>0</v>
      </c>
      <c r="CN216" s="23">
        <f>$L216*BG216</f>
        <v>1</v>
      </c>
      <c r="CO216" s="23">
        <f>$L216*BH216</f>
        <v>1</v>
      </c>
      <c r="CP216" s="23">
        <f>$L216*BI216</f>
        <v>1</v>
      </c>
      <c r="CQ216" s="23">
        <f>$L216*BJ216</f>
        <v>1</v>
      </c>
      <c r="CR216" s="23">
        <f>$L216*BK216</f>
        <v>1</v>
      </c>
      <c r="CS216" s="23">
        <f>$L216*BL216</f>
        <v>1</v>
      </c>
      <c r="CT216" s="23">
        <f>$L216*BM216</f>
        <v>1</v>
      </c>
      <c r="CU216" s="23">
        <f>$L216*BN216</f>
        <v>1</v>
      </c>
      <c r="CV216" s="23">
        <f>$L216*BO216</f>
        <v>1</v>
      </c>
    </row>
    <row r="217" spans="1:100" ht="13.5" x14ac:dyDescent="0.15">
      <c r="A217" s="15">
        <v>102</v>
      </c>
      <c r="B217" s="28" t="s">
        <v>600</v>
      </c>
      <c r="C217" t="s">
        <v>414</v>
      </c>
      <c r="E217" t="s">
        <v>140</v>
      </c>
      <c r="F217" t="s">
        <v>415</v>
      </c>
      <c r="G217" t="s">
        <v>140</v>
      </c>
      <c r="H217" t="s">
        <v>141</v>
      </c>
      <c r="I217" s="6" t="s">
        <v>136</v>
      </c>
      <c r="J217" s="6">
        <v>0</v>
      </c>
      <c r="L217" s="15">
        <v>1</v>
      </c>
      <c r="M217" s="7">
        <v>46104</v>
      </c>
      <c r="N217" s="7">
        <v>46135</v>
      </c>
      <c r="O217" s="7">
        <v>46129</v>
      </c>
      <c r="P217" s="7">
        <v>46132</v>
      </c>
      <c r="S217" s="6" t="s">
        <v>140</v>
      </c>
      <c r="U217" s="6" t="s">
        <v>413</v>
      </c>
      <c r="V217" s="6" t="str">
        <f>TEXT(N217,"YY/MM")</f>
        <v>26/04</v>
      </c>
      <c r="W217">
        <v>1589</v>
      </c>
      <c r="AA217">
        <v>943</v>
      </c>
      <c r="AC217">
        <v>996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1</v>
      </c>
      <c r="BP217" s="23">
        <f>$L217*AI217</f>
        <v>0</v>
      </c>
      <c r="BQ217" s="23">
        <f>$L217*AJ217</f>
        <v>0</v>
      </c>
      <c r="BR217" s="23">
        <f>$L217*AK217</f>
        <v>0</v>
      </c>
      <c r="BS217" s="23">
        <f>$L217*AL217</f>
        <v>0</v>
      </c>
      <c r="BT217" s="23">
        <f>$L217*AM217</f>
        <v>0</v>
      </c>
      <c r="BU217" s="23">
        <f>$L217*AN217</f>
        <v>0</v>
      </c>
      <c r="BV217" s="23">
        <f>$L217*AO217</f>
        <v>0</v>
      </c>
      <c r="BW217" s="23">
        <f>$L217*AP217</f>
        <v>0</v>
      </c>
      <c r="BX217" s="23">
        <f>$L217*AQ217</f>
        <v>0</v>
      </c>
      <c r="BY217" s="23">
        <f>$L217*AR217</f>
        <v>0</v>
      </c>
      <c r="BZ217" s="23">
        <f>$L217*AS217</f>
        <v>0</v>
      </c>
      <c r="CA217" s="23">
        <f>$L217*AT217</f>
        <v>0</v>
      </c>
      <c r="CB217" s="23">
        <f>$L217*AU217</f>
        <v>0</v>
      </c>
      <c r="CC217" s="23">
        <f>$L217*AV217</f>
        <v>0</v>
      </c>
      <c r="CD217" s="23">
        <f>$L217*AW217</f>
        <v>0</v>
      </c>
      <c r="CE217" s="23">
        <f>$L217*AX217</f>
        <v>0</v>
      </c>
      <c r="CF217" s="23">
        <f>$L217*AY217</f>
        <v>0</v>
      </c>
      <c r="CG217" s="23">
        <f>$L217*AZ217</f>
        <v>0</v>
      </c>
      <c r="CH217" s="23">
        <f>$L217*BA217</f>
        <v>0</v>
      </c>
      <c r="CI217" s="23">
        <f>$L217*BB217</f>
        <v>0</v>
      </c>
      <c r="CJ217" s="23">
        <f>$L217*BC217</f>
        <v>0</v>
      </c>
      <c r="CK217" s="23">
        <f>$L217*BD217</f>
        <v>0</v>
      </c>
      <c r="CL217" s="23">
        <f>$L217*BE217</f>
        <v>0</v>
      </c>
      <c r="CM217" s="23">
        <f>$L217*BF217</f>
        <v>0</v>
      </c>
      <c r="CN217" s="23">
        <f>$L217*BG217</f>
        <v>1</v>
      </c>
      <c r="CO217" s="23">
        <f>$L217*BH217</f>
        <v>1</v>
      </c>
      <c r="CP217" s="23">
        <f>$L217*BI217</f>
        <v>1</v>
      </c>
      <c r="CQ217" s="23">
        <f>$L217*BJ217</f>
        <v>1</v>
      </c>
      <c r="CR217" s="23">
        <f>$L217*BK217</f>
        <v>1</v>
      </c>
      <c r="CS217" s="23">
        <f>$L217*BL217</f>
        <v>1</v>
      </c>
      <c r="CT217" s="23">
        <f>$L217*BM217</f>
        <v>1</v>
      </c>
      <c r="CU217" s="23">
        <f>$L217*BN217</f>
        <v>1</v>
      </c>
      <c r="CV217" s="23">
        <f>$L217*BO217</f>
        <v>1</v>
      </c>
    </row>
    <row r="218" spans="1:100" ht="13.5" x14ac:dyDescent="0.15">
      <c r="A218" s="15">
        <v>102</v>
      </c>
      <c r="B218" s="28" t="s">
        <v>601</v>
      </c>
      <c r="C218" t="s">
        <v>414</v>
      </c>
      <c r="E218" t="s">
        <v>140</v>
      </c>
      <c r="F218" t="s">
        <v>415</v>
      </c>
      <c r="G218" t="s">
        <v>140</v>
      </c>
      <c r="H218" t="s">
        <v>141</v>
      </c>
      <c r="I218" s="6" t="s">
        <v>136</v>
      </c>
      <c r="J218" s="6">
        <v>0</v>
      </c>
      <c r="L218" s="15">
        <v>1</v>
      </c>
      <c r="M218" s="7">
        <v>46104</v>
      </c>
      <c r="N218" s="7">
        <v>46135</v>
      </c>
      <c r="O218" s="7">
        <v>46129</v>
      </c>
      <c r="P218" s="7">
        <v>46132</v>
      </c>
      <c r="S218" s="6" t="s">
        <v>140</v>
      </c>
      <c r="U218" s="6" t="s">
        <v>413</v>
      </c>
      <c r="V218" s="6" t="str">
        <f>TEXT(N218,"YY/MM")</f>
        <v>26/04</v>
      </c>
      <c r="W218">
        <v>1590</v>
      </c>
      <c r="AA218">
        <v>944</v>
      </c>
      <c r="AC218">
        <v>997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1</v>
      </c>
      <c r="BP218" s="23">
        <f>$L218*AI218</f>
        <v>0</v>
      </c>
      <c r="BQ218" s="23">
        <f>$L218*AJ218</f>
        <v>0</v>
      </c>
      <c r="BR218" s="23">
        <f>$L218*AK218</f>
        <v>0</v>
      </c>
      <c r="BS218" s="23">
        <f>$L218*AL218</f>
        <v>0</v>
      </c>
      <c r="BT218" s="23">
        <f>$L218*AM218</f>
        <v>0</v>
      </c>
      <c r="BU218" s="23">
        <f>$L218*AN218</f>
        <v>0</v>
      </c>
      <c r="BV218" s="23">
        <f>$L218*AO218</f>
        <v>0</v>
      </c>
      <c r="BW218" s="23">
        <f>$L218*AP218</f>
        <v>0</v>
      </c>
      <c r="BX218" s="23">
        <f>$L218*AQ218</f>
        <v>0</v>
      </c>
      <c r="BY218" s="23">
        <f>$L218*AR218</f>
        <v>0</v>
      </c>
      <c r="BZ218" s="23">
        <f>$L218*AS218</f>
        <v>0</v>
      </c>
      <c r="CA218" s="23">
        <f>$L218*AT218</f>
        <v>0</v>
      </c>
      <c r="CB218" s="23">
        <f>$L218*AU218</f>
        <v>0</v>
      </c>
      <c r="CC218" s="23">
        <f>$L218*AV218</f>
        <v>0</v>
      </c>
      <c r="CD218" s="23">
        <f>$L218*AW218</f>
        <v>0</v>
      </c>
      <c r="CE218" s="23">
        <f>$L218*AX218</f>
        <v>0</v>
      </c>
      <c r="CF218" s="23">
        <f>$L218*AY218</f>
        <v>0</v>
      </c>
      <c r="CG218" s="23">
        <f>$L218*AZ218</f>
        <v>0</v>
      </c>
      <c r="CH218" s="23">
        <f>$L218*BA218</f>
        <v>0</v>
      </c>
      <c r="CI218" s="23">
        <f>$L218*BB218</f>
        <v>0</v>
      </c>
      <c r="CJ218" s="23">
        <f>$L218*BC218</f>
        <v>0</v>
      </c>
      <c r="CK218" s="23">
        <f>$L218*BD218</f>
        <v>0</v>
      </c>
      <c r="CL218" s="23">
        <f>$L218*BE218</f>
        <v>0</v>
      </c>
      <c r="CM218" s="23">
        <f>$L218*BF218</f>
        <v>0</v>
      </c>
      <c r="CN218" s="23">
        <f>$L218*BG218</f>
        <v>1</v>
      </c>
      <c r="CO218" s="23">
        <f>$L218*BH218</f>
        <v>1</v>
      </c>
      <c r="CP218" s="23">
        <f>$L218*BI218</f>
        <v>1</v>
      </c>
      <c r="CQ218" s="23">
        <f>$L218*BJ218</f>
        <v>1</v>
      </c>
      <c r="CR218" s="23">
        <f>$L218*BK218</f>
        <v>1</v>
      </c>
      <c r="CS218" s="23">
        <f>$L218*BL218</f>
        <v>1</v>
      </c>
      <c r="CT218" s="23">
        <f>$L218*BM218</f>
        <v>1</v>
      </c>
      <c r="CU218" s="23">
        <f>$L218*BN218</f>
        <v>1</v>
      </c>
      <c r="CV218" s="23">
        <f>$L218*BO218</f>
        <v>1</v>
      </c>
    </row>
    <row r="219" spans="1:100" ht="13.5" x14ac:dyDescent="0.15">
      <c r="A219" s="15">
        <v>102</v>
      </c>
      <c r="B219" s="28" t="s">
        <v>602</v>
      </c>
      <c r="C219" t="s">
        <v>414</v>
      </c>
      <c r="E219" t="s">
        <v>140</v>
      </c>
      <c r="F219" t="s">
        <v>415</v>
      </c>
      <c r="G219" t="s">
        <v>140</v>
      </c>
      <c r="H219" t="s">
        <v>141</v>
      </c>
      <c r="I219" s="6" t="s">
        <v>136</v>
      </c>
      <c r="J219" s="6">
        <v>0</v>
      </c>
      <c r="L219" s="15">
        <v>1</v>
      </c>
      <c r="M219" s="7">
        <v>46104</v>
      </c>
      <c r="N219" s="7">
        <v>46135</v>
      </c>
      <c r="O219" s="7">
        <v>46129</v>
      </c>
      <c r="P219" s="7">
        <v>46132</v>
      </c>
      <c r="S219" s="6" t="s">
        <v>140</v>
      </c>
      <c r="U219" s="6" t="s">
        <v>413</v>
      </c>
      <c r="V219" s="6" t="str">
        <f>TEXT(N219,"YY/MM")</f>
        <v>26/04</v>
      </c>
      <c r="W219">
        <v>1591</v>
      </c>
      <c r="AA219">
        <v>945</v>
      </c>
      <c r="AC219">
        <v>998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1</v>
      </c>
      <c r="BP219" s="23">
        <f>$L219*AI219</f>
        <v>0</v>
      </c>
      <c r="BQ219" s="23">
        <f>$L219*AJ219</f>
        <v>0</v>
      </c>
      <c r="BR219" s="23">
        <f>$L219*AK219</f>
        <v>0</v>
      </c>
      <c r="BS219" s="23">
        <f>$L219*AL219</f>
        <v>0</v>
      </c>
      <c r="BT219" s="23">
        <f>$L219*AM219</f>
        <v>0</v>
      </c>
      <c r="BU219" s="23">
        <f>$L219*AN219</f>
        <v>0</v>
      </c>
      <c r="BV219" s="23">
        <f>$L219*AO219</f>
        <v>0</v>
      </c>
      <c r="BW219" s="23">
        <f>$L219*AP219</f>
        <v>0</v>
      </c>
      <c r="BX219" s="23">
        <f>$L219*AQ219</f>
        <v>0</v>
      </c>
      <c r="BY219" s="23">
        <f>$L219*AR219</f>
        <v>0</v>
      </c>
      <c r="BZ219" s="23">
        <f>$L219*AS219</f>
        <v>0</v>
      </c>
      <c r="CA219" s="23">
        <f>$L219*AT219</f>
        <v>0</v>
      </c>
      <c r="CB219" s="23">
        <f>$L219*AU219</f>
        <v>0</v>
      </c>
      <c r="CC219" s="23">
        <f>$L219*AV219</f>
        <v>0</v>
      </c>
      <c r="CD219" s="23">
        <f>$L219*AW219</f>
        <v>0</v>
      </c>
      <c r="CE219" s="23">
        <f>$L219*AX219</f>
        <v>0</v>
      </c>
      <c r="CF219" s="23">
        <f>$L219*AY219</f>
        <v>0</v>
      </c>
      <c r="CG219" s="23">
        <f>$L219*AZ219</f>
        <v>0</v>
      </c>
      <c r="CH219" s="23">
        <f>$L219*BA219</f>
        <v>0</v>
      </c>
      <c r="CI219" s="23">
        <f>$L219*BB219</f>
        <v>0</v>
      </c>
      <c r="CJ219" s="23">
        <f>$L219*BC219</f>
        <v>0</v>
      </c>
      <c r="CK219" s="23">
        <f>$L219*BD219</f>
        <v>0</v>
      </c>
      <c r="CL219" s="23">
        <f>$L219*BE219</f>
        <v>0</v>
      </c>
      <c r="CM219" s="23">
        <f>$L219*BF219</f>
        <v>0</v>
      </c>
      <c r="CN219" s="23">
        <f>$L219*BG219</f>
        <v>1</v>
      </c>
      <c r="CO219" s="23">
        <f>$L219*BH219</f>
        <v>1</v>
      </c>
      <c r="CP219" s="23">
        <f>$L219*BI219</f>
        <v>1</v>
      </c>
      <c r="CQ219" s="23">
        <f>$L219*BJ219</f>
        <v>1</v>
      </c>
      <c r="CR219" s="23">
        <f>$L219*BK219</f>
        <v>1</v>
      </c>
      <c r="CS219" s="23">
        <f>$L219*BL219</f>
        <v>1</v>
      </c>
      <c r="CT219" s="23">
        <f>$L219*BM219</f>
        <v>1</v>
      </c>
      <c r="CU219" s="23">
        <f>$L219*BN219</f>
        <v>1</v>
      </c>
      <c r="CV219" s="23">
        <f>$L219*BO219</f>
        <v>1</v>
      </c>
    </row>
    <row r="220" spans="1:100" ht="13.5" x14ac:dyDescent="0.15">
      <c r="A220" s="15">
        <v>102</v>
      </c>
      <c r="B220" s="28" t="s">
        <v>603</v>
      </c>
      <c r="C220" t="s">
        <v>414</v>
      </c>
      <c r="E220" t="s">
        <v>140</v>
      </c>
      <c r="F220" t="s">
        <v>415</v>
      </c>
      <c r="G220" t="s">
        <v>140</v>
      </c>
      <c r="H220" t="s">
        <v>141</v>
      </c>
      <c r="I220" s="6" t="s">
        <v>136</v>
      </c>
      <c r="J220" s="6">
        <v>0</v>
      </c>
      <c r="L220" s="15">
        <v>1</v>
      </c>
      <c r="M220" s="7">
        <v>46104</v>
      </c>
      <c r="N220" s="7">
        <v>46135</v>
      </c>
      <c r="O220" s="7">
        <v>46129</v>
      </c>
      <c r="P220" s="7">
        <v>46132</v>
      </c>
      <c r="S220" s="6" t="s">
        <v>140</v>
      </c>
      <c r="U220" s="6" t="s">
        <v>413</v>
      </c>
      <c r="V220" s="6" t="str">
        <f>TEXT(N220,"YY/MM")</f>
        <v>26/04</v>
      </c>
      <c r="W220">
        <v>1592</v>
      </c>
      <c r="AA220">
        <v>946</v>
      </c>
      <c r="AC220">
        <v>999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>$L220*AI220</f>
        <v>0</v>
      </c>
      <c r="BQ220" s="23">
        <f>$L220*AJ220</f>
        <v>0</v>
      </c>
      <c r="BR220" s="23">
        <f>$L220*AK220</f>
        <v>0</v>
      </c>
      <c r="BS220" s="23">
        <f>$L220*AL220</f>
        <v>0</v>
      </c>
      <c r="BT220" s="23">
        <f>$L220*AM220</f>
        <v>0</v>
      </c>
      <c r="BU220" s="23">
        <f>$L220*AN220</f>
        <v>0</v>
      </c>
      <c r="BV220" s="23">
        <f>$L220*AO220</f>
        <v>0</v>
      </c>
      <c r="BW220" s="23">
        <f>$L220*AP220</f>
        <v>0</v>
      </c>
      <c r="BX220" s="23">
        <f>$L220*AQ220</f>
        <v>0</v>
      </c>
      <c r="BY220" s="23">
        <f>$L220*AR220</f>
        <v>0</v>
      </c>
      <c r="BZ220" s="23">
        <f>$L220*AS220</f>
        <v>0</v>
      </c>
      <c r="CA220" s="23">
        <f>$L220*AT220</f>
        <v>0</v>
      </c>
      <c r="CB220" s="23">
        <f>$L220*AU220</f>
        <v>0</v>
      </c>
      <c r="CC220" s="23">
        <f>$L220*AV220</f>
        <v>0</v>
      </c>
      <c r="CD220" s="23">
        <f>$L220*AW220</f>
        <v>0</v>
      </c>
      <c r="CE220" s="23">
        <f>$L220*AX220</f>
        <v>0</v>
      </c>
      <c r="CF220" s="23">
        <f>$L220*AY220</f>
        <v>0</v>
      </c>
      <c r="CG220" s="23">
        <f>$L220*AZ220</f>
        <v>0</v>
      </c>
      <c r="CH220" s="23">
        <f>$L220*BA220</f>
        <v>0</v>
      </c>
      <c r="CI220" s="23">
        <f>$L220*BB220</f>
        <v>0</v>
      </c>
      <c r="CJ220" s="23">
        <f>$L220*BC220</f>
        <v>0</v>
      </c>
      <c r="CK220" s="23">
        <f>$L220*BD220</f>
        <v>0</v>
      </c>
      <c r="CL220" s="23">
        <f>$L220*BE220</f>
        <v>0</v>
      </c>
      <c r="CM220" s="23">
        <f>$L220*BF220</f>
        <v>0</v>
      </c>
      <c r="CN220" s="23">
        <f>$L220*BG220</f>
        <v>1</v>
      </c>
      <c r="CO220" s="23">
        <f>$L220*BH220</f>
        <v>1</v>
      </c>
      <c r="CP220" s="23">
        <f>$L220*BI220</f>
        <v>1</v>
      </c>
      <c r="CQ220" s="23">
        <f>$L220*BJ220</f>
        <v>1</v>
      </c>
      <c r="CR220" s="23">
        <f>$L220*BK220</f>
        <v>1</v>
      </c>
      <c r="CS220" s="23">
        <f>$L220*BL220</f>
        <v>1</v>
      </c>
      <c r="CT220" s="23">
        <f>$L220*BM220</f>
        <v>1</v>
      </c>
      <c r="CU220" s="23">
        <f>$L220*BN220</f>
        <v>1</v>
      </c>
      <c r="CV220" s="23">
        <f>$L220*BO220</f>
        <v>1</v>
      </c>
    </row>
    <row r="221" spans="1:100" ht="13.5" x14ac:dyDescent="0.15">
      <c r="A221" s="15">
        <v>102</v>
      </c>
      <c r="B221" s="28" t="s">
        <v>604</v>
      </c>
      <c r="C221" t="s">
        <v>414</v>
      </c>
      <c r="E221" t="s">
        <v>140</v>
      </c>
      <c r="F221" t="s">
        <v>415</v>
      </c>
      <c r="G221" t="s">
        <v>140</v>
      </c>
      <c r="H221" t="s">
        <v>141</v>
      </c>
      <c r="I221" s="6" t="s">
        <v>136</v>
      </c>
      <c r="J221" s="6">
        <v>0</v>
      </c>
      <c r="L221" s="15">
        <v>1</v>
      </c>
      <c r="M221" s="7">
        <v>46104</v>
      </c>
      <c r="N221" s="7">
        <v>46135</v>
      </c>
      <c r="O221" s="7">
        <v>46129</v>
      </c>
      <c r="P221" s="7">
        <v>46132</v>
      </c>
      <c r="S221" s="6" t="s">
        <v>140</v>
      </c>
      <c r="U221" s="6" t="s">
        <v>413</v>
      </c>
      <c r="V221" s="6" t="str">
        <f>TEXT(N221,"YY/MM")</f>
        <v>26/04</v>
      </c>
      <c r="W221">
        <v>1593</v>
      </c>
      <c r="AA221">
        <v>947</v>
      </c>
      <c r="AC221">
        <v>1000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>$L221*AI221</f>
        <v>0</v>
      </c>
      <c r="BQ221" s="23">
        <f>$L221*AJ221</f>
        <v>0</v>
      </c>
      <c r="BR221" s="23">
        <f>$L221*AK221</f>
        <v>0</v>
      </c>
      <c r="BS221" s="23">
        <f>$L221*AL221</f>
        <v>0</v>
      </c>
      <c r="BT221" s="23">
        <f>$L221*AM221</f>
        <v>0</v>
      </c>
      <c r="BU221" s="23">
        <f>$L221*AN221</f>
        <v>0</v>
      </c>
      <c r="BV221" s="23">
        <f>$L221*AO221</f>
        <v>0</v>
      </c>
      <c r="BW221" s="23">
        <f>$L221*AP221</f>
        <v>0</v>
      </c>
      <c r="BX221" s="23">
        <f>$L221*AQ221</f>
        <v>0</v>
      </c>
      <c r="BY221" s="23">
        <f>$L221*AR221</f>
        <v>0</v>
      </c>
      <c r="BZ221" s="23">
        <f>$L221*AS221</f>
        <v>0</v>
      </c>
      <c r="CA221" s="23">
        <f>$L221*AT221</f>
        <v>0</v>
      </c>
      <c r="CB221" s="23">
        <f>$L221*AU221</f>
        <v>0</v>
      </c>
      <c r="CC221" s="23">
        <f>$L221*AV221</f>
        <v>0</v>
      </c>
      <c r="CD221" s="23">
        <f>$L221*AW221</f>
        <v>0</v>
      </c>
      <c r="CE221" s="23">
        <f>$L221*AX221</f>
        <v>0</v>
      </c>
      <c r="CF221" s="23">
        <f>$L221*AY221</f>
        <v>0</v>
      </c>
      <c r="CG221" s="23">
        <f>$L221*AZ221</f>
        <v>0</v>
      </c>
      <c r="CH221" s="23">
        <f>$L221*BA221</f>
        <v>0</v>
      </c>
      <c r="CI221" s="23">
        <f>$L221*BB221</f>
        <v>0</v>
      </c>
      <c r="CJ221" s="23">
        <f>$L221*BC221</f>
        <v>0</v>
      </c>
      <c r="CK221" s="23">
        <f>$L221*BD221</f>
        <v>0</v>
      </c>
      <c r="CL221" s="23">
        <f>$L221*BE221</f>
        <v>0</v>
      </c>
      <c r="CM221" s="23">
        <f>$L221*BF221</f>
        <v>0</v>
      </c>
      <c r="CN221" s="23">
        <f>$L221*BG221</f>
        <v>1</v>
      </c>
      <c r="CO221" s="23">
        <f>$L221*BH221</f>
        <v>1</v>
      </c>
      <c r="CP221" s="23">
        <f>$L221*BI221</f>
        <v>1</v>
      </c>
      <c r="CQ221" s="23">
        <f>$L221*BJ221</f>
        <v>1</v>
      </c>
      <c r="CR221" s="23">
        <f>$L221*BK221</f>
        <v>1</v>
      </c>
      <c r="CS221" s="23">
        <f>$L221*BL221</f>
        <v>1</v>
      </c>
      <c r="CT221" s="23">
        <f>$L221*BM221</f>
        <v>1</v>
      </c>
      <c r="CU221" s="23">
        <f>$L221*BN221</f>
        <v>1</v>
      </c>
      <c r="CV221" s="23">
        <f>$L221*BO221</f>
        <v>1</v>
      </c>
    </row>
    <row r="222" spans="1:100" ht="13.5" x14ac:dyDescent="0.15">
      <c r="A222" s="15">
        <v>102</v>
      </c>
      <c r="B222" s="28" t="s">
        <v>605</v>
      </c>
      <c r="C222" t="s">
        <v>414</v>
      </c>
      <c r="E222" t="s">
        <v>140</v>
      </c>
      <c r="F222" t="s">
        <v>415</v>
      </c>
      <c r="G222" t="s">
        <v>140</v>
      </c>
      <c r="H222" t="s">
        <v>141</v>
      </c>
      <c r="I222" s="6" t="s">
        <v>136</v>
      </c>
      <c r="J222" s="6">
        <v>0</v>
      </c>
      <c r="L222" s="15">
        <v>1</v>
      </c>
      <c r="M222" s="7">
        <v>46104</v>
      </c>
      <c r="N222" s="7">
        <v>46136</v>
      </c>
      <c r="O222" s="7">
        <v>46129</v>
      </c>
      <c r="P222" s="7">
        <v>46132</v>
      </c>
      <c r="S222" s="6" t="s">
        <v>140</v>
      </c>
      <c r="U222" s="6" t="s">
        <v>413</v>
      </c>
      <c r="V222" s="6" t="str">
        <f>TEXT(N222,"YY/MM")</f>
        <v>26/04</v>
      </c>
      <c r="W222">
        <v>1594</v>
      </c>
      <c r="AA222">
        <v>948</v>
      </c>
      <c r="AC222">
        <v>1001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>$L222*AI222</f>
        <v>0</v>
      </c>
      <c r="BQ222" s="23">
        <f>$L222*AJ222</f>
        <v>0</v>
      </c>
      <c r="BR222" s="23">
        <f>$L222*AK222</f>
        <v>0</v>
      </c>
      <c r="BS222" s="23">
        <f>$L222*AL222</f>
        <v>0</v>
      </c>
      <c r="BT222" s="23">
        <f>$L222*AM222</f>
        <v>0</v>
      </c>
      <c r="BU222" s="23">
        <f>$L222*AN222</f>
        <v>0</v>
      </c>
      <c r="BV222" s="23">
        <f>$L222*AO222</f>
        <v>0</v>
      </c>
      <c r="BW222" s="23">
        <f>$L222*AP222</f>
        <v>0</v>
      </c>
      <c r="BX222" s="23">
        <f>$L222*AQ222</f>
        <v>0</v>
      </c>
      <c r="BY222" s="23">
        <f>$L222*AR222</f>
        <v>0</v>
      </c>
      <c r="BZ222" s="23">
        <f>$L222*AS222</f>
        <v>0</v>
      </c>
      <c r="CA222" s="23">
        <f>$L222*AT222</f>
        <v>0</v>
      </c>
      <c r="CB222" s="23">
        <f>$L222*AU222</f>
        <v>0</v>
      </c>
      <c r="CC222" s="23">
        <f>$L222*AV222</f>
        <v>0</v>
      </c>
      <c r="CD222" s="23">
        <f>$L222*AW222</f>
        <v>0</v>
      </c>
      <c r="CE222" s="23">
        <f>$L222*AX222</f>
        <v>0</v>
      </c>
      <c r="CF222" s="23">
        <f>$L222*AY222</f>
        <v>0</v>
      </c>
      <c r="CG222" s="23">
        <f>$L222*AZ222</f>
        <v>0</v>
      </c>
      <c r="CH222" s="23">
        <f>$L222*BA222</f>
        <v>0</v>
      </c>
      <c r="CI222" s="23">
        <f>$L222*BB222</f>
        <v>0</v>
      </c>
      <c r="CJ222" s="23">
        <f>$L222*BC222</f>
        <v>0</v>
      </c>
      <c r="CK222" s="23">
        <f>$L222*BD222</f>
        <v>0</v>
      </c>
      <c r="CL222" s="23">
        <f>$L222*BE222</f>
        <v>0</v>
      </c>
      <c r="CM222" s="23">
        <f>$L222*BF222</f>
        <v>0</v>
      </c>
      <c r="CN222" s="23">
        <f>$L222*BG222</f>
        <v>1</v>
      </c>
      <c r="CO222" s="23">
        <f>$L222*BH222</f>
        <v>1</v>
      </c>
      <c r="CP222" s="23">
        <f>$L222*BI222</f>
        <v>1</v>
      </c>
      <c r="CQ222" s="23">
        <f>$L222*BJ222</f>
        <v>1</v>
      </c>
      <c r="CR222" s="23">
        <f>$L222*BK222</f>
        <v>1</v>
      </c>
      <c r="CS222" s="23">
        <f>$L222*BL222</f>
        <v>1</v>
      </c>
      <c r="CT222" s="23">
        <f>$L222*BM222</f>
        <v>1</v>
      </c>
      <c r="CU222" s="23">
        <f>$L222*BN222</f>
        <v>1</v>
      </c>
      <c r="CV222" s="23">
        <f>$L222*BO222</f>
        <v>1</v>
      </c>
    </row>
    <row r="223" spans="1:100" ht="13.5" x14ac:dyDescent="0.15">
      <c r="A223" s="15">
        <v>102</v>
      </c>
      <c r="B223" s="28" t="s">
        <v>606</v>
      </c>
      <c r="C223" t="s">
        <v>414</v>
      </c>
      <c r="E223" t="s">
        <v>140</v>
      </c>
      <c r="F223" t="s">
        <v>415</v>
      </c>
      <c r="G223" t="s">
        <v>140</v>
      </c>
      <c r="H223" t="s">
        <v>141</v>
      </c>
      <c r="I223" s="6" t="s">
        <v>136</v>
      </c>
      <c r="J223" s="6">
        <v>0</v>
      </c>
      <c r="L223" s="15">
        <v>1</v>
      </c>
      <c r="M223" s="7">
        <v>46104</v>
      </c>
      <c r="N223" s="7">
        <v>46136</v>
      </c>
      <c r="O223" s="7">
        <v>46129</v>
      </c>
      <c r="P223" s="7">
        <v>46132</v>
      </c>
      <c r="S223" s="6" t="s">
        <v>140</v>
      </c>
      <c r="U223" s="6" t="s">
        <v>413</v>
      </c>
      <c r="V223" s="6" t="str">
        <f>TEXT(N223,"YY/MM")</f>
        <v>26/04</v>
      </c>
      <c r="W223">
        <v>1595</v>
      </c>
      <c r="AA223">
        <v>949</v>
      </c>
      <c r="AC223">
        <v>1002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>$L223*AI223</f>
        <v>0</v>
      </c>
      <c r="BQ223" s="23">
        <f>$L223*AJ223</f>
        <v>0</v>
      </c>
      <c r="BR223" s="23">
        <f>$L223*AK223</f>
        <v>0</v>
      </c>
      <c r="BS223" s="23">
        <f>$L223*AL223</f>
        <v>0</v>
      </c>
      <c r="BT223" s="23">
        <f>$L223*AM223</f>
        <v>0</v>
      </c>
      <c r="BU223" s="23">
        <f>$L223*AN223</f>
        <v>0</v>
      </c>
      <c r="BV223" s="23">
        <f>$L223*AO223</f>
        <v>0</v>
      </c>
      <c r="BW223" s="23">
        <f>$L223*AP223</f>
        <v>0</v>
      </c>
      <c r="BX223" s="23">
        <f>$L223*AQ223</f>
        <v>0</v>
      </c>
      <c r="BY223" s="23">
        <f>$L223*AR223</f>
        <v>0</v>
      </c>
      <c r="BZ223" s="23">
        <f>$L223*AS223</f>
        <v>0</v>
      </c>
      <c r="CA223" s="23">
        <f>$L223*AT223</f>
        <v>0</v>
      </c>
      <c r="CB223" s="23">
        <f>$L223*AU223</f>
        <v>0</v>
      </c>
      <c r="CC223" s="23">
        <f>$L223*AV223</f>
        <v>0</v>
      </c>
      <c r="CD223" s="23">
        <f>$L223*AW223</f>
        <v>0</v>
      </c>
      <c r="CE223" s="23">
        <f>$L223*AX223</f>
        <v>0</v>
      </c>
      <c r="CF223" s="23">
        <f>$L223*AY223</f>
        <v>0</v>
      </c>
      <c r="CG223" s="23">
        <f>$L223*AZ223</f>
        <v>0</v>
      </c>
      <c r="CH223" s="23">
        <f>$L223*BA223</f>
        <v>0</v>
      </c>
      <c r="CI223" s="23">
        <f>$L223*BB223</f>
        <v>0</v>
      </c>
      <c r="CJ223" s="23">
        <f>$L223*BC223</f>
        <v>0</v>
      </c>
      <c r="CK223" s="23">
        <f>$L223*BD223</f>
        <v>0</v>
      </c>
      <c r="CL223" s="23">
        <f>$L223*BE223</f>
        <v>0</v>
      </c>
      <c r="CM223" s="23">
        <f>$L223*BF223</f>
        <v>0</v>
      </c>
      <c r="CN223" s="23">
        <f>$L223*BG223</f>
        <v>1</v>
      </c>
      <c r="CO223" s="23">
        <f>$L223*BH223</f>
        <v>1</v>
      </c>
      <c r="CP223" s="23">
        <f>$L223*BI223</f>
        <v>1</v>
      </c>
      <c r="CQ223" s="23">
        <f>$L223*BJ223</f>
        <v>1</v>
      </c>
      <c r="CR223" s="23">
        <f>$L223*BK223</f>
        <v>1</v>
      </c>
      <c r="CS223" s="23">
        <f>$L223*BL223</f>
        <v>1</v>
      </c>
      <c r="CT223" s="23">
        <f>$L223*BM223</f>
        <v>1</v>
      </c>
      <c r="CU223" s="23">
        <f>$L223*BN223</f>
        <v>1</v>
      </c>
      <c r="CV223" s="23">
        <f>$L223*BO223</f>
        <v>1</v>
      </c>
    </row>
    <row r="224" spans="1:100" ht="13.5" x14ac:dyDescent="0.15">
      <c r="A224" s="15">
        <v>102</v>
      </c>
      <c r="B224" s="28" t="s">
        <v>607</v>
      </c>
      <c r="C224" t="s">
        <v>414</v>
      </c>
      <c r="E224" t="s">
        <v>140</v>
      </c>
      <c r="F224" t="s">
        <v>415</v>
      </c>
      <c r="G224" t="s">
        <v>140</v>
      </c>
      <c r="H224" t="s">
        <v>141</v>
      </c>
      <c r="I224" s="6" t="s">
        <v>136</v>
      </c>
      <c r="J224" s="6">
        <v>0</v>
      </c>
      <c r="L224" s="15">
        <v>1</v>
      </c>
      <c r="M224" s="7">
        <v>46104</v>
      </c>
      <c r="N224" s="7">
        <v>46136</v>
      </c>
      <c r="O224" s="7">
        <v>46129</v>
      </c>
      <c r="P224" s="7">
        <v>46132</v>
      </c>
      <c r="S224" s="6" t="s">
        <v>140</v>
      </c>
      <c r="U224" s="6" t="s">
        <v>413</v>
      </c>
      <c r="V224" s="6" t="str">
        <f>TEXT(N224,"YY/MM")</f>
        <v>26/04</v>
      </c>
      <c r="W224">
        <v>1596</v>
      </c>
      <c r="AA224">
        <v>950</v>
      </c>
      <c r="AC224">
        <v>1003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>$L224*AI224</f>
        <v>0</v>
      </c>
      <c r="BQ224" s="23">
        <f>$L224*AJ224</f>
        <v>0</v>
      </c>
      <c r="BR224" s="23">
        <f>$L224*AK224</f>
        <v>0</v>
      </c>
      <c r="BS224" s="23">
        <f>$L224*AL224</f>
        <v>0</v>
      </c>
      <c r="BT224" s="23">
        <f>$L224*AM224</f>
        <v>0</v>
      </c>
      <c r="BU224" s="23">
        <f>$L224*AN224</f>
        <v>0</v>
      </c>
      <c r="BV224" s="23">
        <f>$L224*AO224</f>
        <v>0</v>
      </c>
      <c r="BW224" s="23">
        <f>$L224*AP224</f>
        <v>0</v>
      </c>
      <c r="BX224" s="23">
        <f>$L224*AQ224</f>
        <v>0</v>
      </c>
      <c r="BY224" s="23">
        <f>$L224*AR224</f>
        <v>0</v>
      </c>
      <c r="BZ224" s="23">
        <f>$L224*AS224</f>
        <v>0</v>
      </c>
      <c r="CA224" s="23">
        <f>$L224*AT224</f>
        <v>0</v>
      </c>
      <c r="CB224" s="23">
        <f>$L224*AU224</f>
        <v>0</v>
      </c>
      <c r="CC224" s="23">
        <f>$L224*AV224</f>
        <v>0</v>
      </c>
      <c r="CD224" s="23">
        <f>$L224*AW224</f>
        <v>0</v>
      </c>
      <c r="CE224" s="23">
        <f>$L224*AX224</f>
        <v>0</v>
      </c>
      <c r="CF224" s="23">
        <f>$L224*AY224</f>
        <v>0</v>
      </c>
      <c r="CG224" s="23">
        <f>$L224*AZ224</f>
        <v>0</v>
      </c>
      <c r="CH224" s="23">
        <f>$L224*BA224</f>
        <v>0</v>
      </c>
      <c r="CI224" s="23">
        <f>$L224*BB224</f>
        <v>0</v>
      </c>
      <c r="CJ224" s="23">
        <f>$L224*BC224</f>
        <v>0</v>
      </c>
      <c r="CK224" s="23">
        <f>$L224*BD224</f>
        <v>0</v>
      </c>
      <c r="CL224" s="23">
        <f>$L224*BE224</f>
        <v>0</v>
      </c>
      <c r="CM224" s="23">
        <f>$L224*BF224</f>
        <v>0</v>
      </c>
      <c r="CN224" s="23">
        <f>$L224*BG224</f>
        <v>1</v>
      </c>
      <c r="CO224" s="23">
        <f>$L224*BH224</f>
        <v>1</v>
      </c>
      <c r="CP224" s="23">
        <f>$L224*BI224</f>
        <v>1</v>
      </c>
      <c r="CQ224" s="23">
        <f>$L224*BJ224</f>
        <v>1</v>
      </c>
      <c r="CR224" s="23">
        <f>$L224*BK224</f>
        <v>1</v>
      </c>
      <c r="CS224" s="23">
        <f>$L224*BL224</f>
        <v>1</v>
      </c>
      <c r="CT224" s="23">
        <f>$L224*BM224</f>
        <v>1</v>
      </c>
      <c r="CU224" s="23">
        <f>$L224*BN224</f>
        <v>1</v>
      </c>
      <c r="CV224" s="23">
        <f>$L224*BO224</f>
        <v>1</v>
      </c>
    </row>
    <row r="225" spans="1:100" ht="13.5" x14ac:dyDescent="0.15">
      <c r="A225" s="15">
        <v>102</v>
      </c>
      <c r="B225" s="28" t="s">
        <v>608</v>
      </c>
      <c r="C225" t="s">
        <v>414</v>
      </c>
      <c r="E225" t="s">
        <v>140</v>
      </c>
      <c r="F225" t="s">
        <v>415</v>
      </c>
      <c r="G225" t="s">
        <v>140</v>
      </c>
      <c r="H225" t="s">
        <v>141</v>
      </c>
      <c r="I225" s="6" t="s">
        <v>136</v>
      </c>
      <c r="J225" s="6">
        <v>0</v>
      </c>
      <c r="L225" s="15">
        <v>1</v>
      </c>
      <c r="M225" s="7">
        <v>46104</v>
      </c>
      <c r="N225" s="7">
        <v>46136</v>
      </c>
      <c r="O225" s="7">
        <v>46129</v>
      </c>
      <c r="P225" s="7">
        <v>46132</v>
      </c>
      <c r="S225" s="6" t="s">
        <v>140</v>
      </c>
      <c r="U225" s="6" t="s">
        <v>413</v>
      </c>
      <c r="V225" s="6" t="str">
        <f>TEXT(N225,"YY/MM")</f>
        <v>26/04</v>
      </c>
      <c r="W225">
        <v>1597</v>
      </c>
      <c r="AA225">
        <v>951</v>
      </c>
      <c r="AC225">
        <v>1004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>$L225*AI225</f>
        <v>0</v>
      </c>
      <c r="BQ225" s="23">
        <f>$L225*AJ225</f>
        <v>0</v>
      </c>
      <c r="BR225" s="23">
        <f>$L225*AK225</f>
        <v>0</v>
      </c>
      <c r="BS225" s="23">
        <f>$L225*AL225</f>
        <v>0</v>
      </c>
      <c r="BT225" s="23">
        <f>$L225*AM225</f>
        <v>0</v>
      </c>
      <c r="BU225" s="23">
        <f>$L225*AN225</f>
        <v>0</v>
      </c>
      <c r="BV225" s="23">
        <f>$L225*AO225</f>
        <v>0</v>
      </c>
      <c r="BW225" s="23">
        <f>$L225*AP225</f>
        <v>0</v>
      </c>
      <c r="BX225" s="23">
        <f>$L225*AQ225</f>
        <v>0</v>
      </c>
      <c r="BY225" s="23">
        <f>$L225*AR225</f>
        <v>0</v>
      </c>
      <c r="BZ225" s="23">
        <f>$L225*AS225</f>
        <v>0</v>
      </c>
      <c r="CA225" s="23">
        <f>$L225*AT225</f>
        <v>0</v>
      </c>
      <c r="CB225" s="23">
        <f>$L225*AU225</f>
        <v>0</v>
      </c>
      <c r="CC225" s="23">
        <f>$L225*AV225</f>
        <v>0</v>
      </c>
      <c r="CD225" s="23">
        <f>$L225*AW225</f>
        <v>0</v>
      </c>
      <c r="CE225" s="23">
        <f>$L225*AX225</f>
        <v>0</v>
      </c>
      <c r="CF225" s="23">
        <f>$L225*AY225</f>
        <v>0</v>
      </c>
      <c r="CG225" s="23">
        <f>$L225*AZ225</f>
        <v>0</v>
      </c>
      <c r="CH225" s="23">
        <f>$L225*BA225</f>
        <v>0</v>
      </c>
      <c r="CI225" s="23">
        <f>$L225*BB225</f>
        <v>0</v>
      </c>
      <c r="CJ225" s="23">
        <f>$L225*BC225</f>
        <v>0</v>
      </c>
      <c r="CK225" s="23">
        <f>$L225*BD225</f>
        <v>0</v>
      </c>
      <c r="CL225" s="23">
        <f>$L225*BE225</f>
        <v>0</v>
      </c>
      <c r="CM225" s="23">
        <f>$L225*BF225</f>
        <v>0</v>
      </c>
      <c r="CN225" s="23">
        <f>$L225*BG225</f>
        <v>1</v>
      </c>
      <c r="CO225" s="23">
        <f>$L225*BH225</f>
        <v>1</v>
      </c>
      <c r="CP225" s="23">
        <f>$L225*BI225</f>
        <v>1</v>
      </c>
      <c r="CQ225" s="23">
        <f>$L225*BJ225</f>
        <v>1</v>
      </c>
      <c r="CR225" s="23">
        <f>$L225*BK225</f>
        <v>1</v>
      </c>
      <c r="CS225" s="23">
        <f>$L225*BL225</f>
        <v>1</v>
      </c>
      <c r="CT225" s="23">
        <f>$L225*BM225</f>
        <v>1</v>
      </c>
      <c r="CU225" s="23">
        <f>$L225*BN225</f>
        <v>1</v>
      </c>
      <c r="CV225" s="23">
        <f>$L225*BO225</f>
        <v>1</v>
      </c>
    </row>
    <row r="226" spans="1:100" ht="13.5" x14ac:dyDescent="0.15">
      <c r="A226" s="15">
        <v>102</v>
      </c>
      <c r="B226" s="28" t="s">
        <v>609</v>
      </c>
      <c r="C226" t="s">
        <v>414</v>
      </c>
      <c r="E226" t="s">
        <v>140</v>
      </c>
      <c r="F226" t="s">
        <v>415</v>
      </c>
      <c r="G226" t="s">
        <v>140</v>
      </c>
      <c r="H226" t="s">
        <v>141</v>
      </c>
      <c r="I226" s="6" t="s">
        <v>136</v>
      </c>
      <c r="J226" s="6">
        <v>0</v>
      </c>
      <c r="L226" s="15">
        <v>1</v>
      </c>
      <c r="M226" s="7">
        <v>46104</v>
      </c>
      <c r="N226" s="7">
        <v>46136</v>
      </c>
      <c r="O226" s="7">
        <v>46129</v>
      </c>
      <c r="P226" s="7">
        <v>46132</v>
      </c>
      <c r="S226" s="6" t="s">
        <v>140</v>
      </c>
      <c r="U226" s="6" t="s">
        <v>413</v>
      </c>
      <c r="V226" s="6" t="str">
        <f>TEXT(N226,"YY/MM")</f>
        <v>26/04</v>
      </c>
      <c r="W226">
        <v>1598</v>
      </c>
      <c r="AA226">
        <v>952</v>
      </c>
      <c r="AC226">
        <v>1005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>$L226*AI226</f>
        <v>0</v>
      </c>
      <c r="BQ226" s="23">
        <f>$L226*AJ226</f>
        <v>0</v>
      </c>
      <c r="BR226" s="23">
        <f>$L226*AK226</f>
        <v>0</v>
      </c>
      <c r="BS226" s="23">
        <f>$L226*AL226</f>
        <v>0</v>
      </c>
      <c r="BT226" s="23">
        <f>$L226*AM226</f>
        <v>0</v>
      </c>
      <c r="BU226" s="23">
        <f>$L226*AN226</f>
        <v>0</v>
      </c>
      <c r="BV226" s="23">
        <f>$L226*AO226</f>
        <v>0</v>
      </c>
      <c r="BW226" s="23">
        <f>$L226*AP226</f>
        <v>0</v>
      </c>
      <c r="BX226" s="23">
        <f>$L226*AQ226</f>
        <v>0</v>
      </c>
      <c r="BY226" s="23">
        <f>$L226*AR226</f>
        <v>0</v>
      </c>
      <c r="BZ226" s="23">
        <f>$L226*AS226</f>
        <v>0</v>
      </c>
      <c r="CA226" s="23">
        <f>$L226*AT226</f>
        <v>0</v>
      </c>
      <c r="CB226" s="23">
        <f>$L226*AU226</f>
        <v>0</v>
      </c>
      <c r="CC226" s="23">
        <f>$L226*AV226</f>
        <v>0</v>
      </c>
      <c r="CD226" s="23">
        <f>$L226*AW226</f>
        <v>0</v>
      </c>
      <c r="CE226" s="23">
        <f>$L226*AX226</f>
        <v>0</v>
      </c>
      <c r="CF226" s="23">
        <f>$L226*AY226</f>
        <v>0</v>
      </c>
      <c r="CG226" s="23">
        <f>$L226*AZ226</f>
        <v>0</v>
      </c>
      <c r="CH226" s="23">
        <f>$L226*BA226</f>
        <v>0</v>
      </c>
      <c r="CI226" s="23">
        <f>$L226*BB226</f>
        <v>0</v>
      </c>
      <c r="CJ226" s="23">
        <f>$L226*BC226</f>
        <v>0</v>
      </c>
      <c r="CK226" s="23">
        <f>$L226*BD226</f>
        <v>0</v>
      </c>
      <c r="CL226" s="23">
        <f>$L226*BE226</f>
        <v>0</v>
      </c>
      <c r="CM226" s="23">
        <f>$L226*BF226</f>
        <v>0</v>
      </c>
      <c r="CN226" s="23">
        <f>$L226*BG226</f>
        <v>1</v>
      </c>
      <c r="CO226" s="23">
        <f>$L226*BH226</f>
        <v>1</v>
      </c>
      <c r="CP226" s="23">
        <f>$L226*BI226</f>
        <v>1</v>
      </c>
      <c r="CQ226" s="23">
        <f>$L226*BJ226</f>
        <v>1</v>
      </c>
      <c r="CR226" s="23">
        <f>$L226*BK226</f>
        <v>1</v>
      </c>
      <c r="CS226" s="23">
        <f>$L226*BL226</f>
        <v>1</v>
      </c>
      <c r="CT226" s="23">
        <f>$L226*BM226</f>
        <v>1</v>
      </c>
      <c r="CU226" s="23">
        <f>$L226*BN226</f>
        <v>1</v>
      </c>
      <c r="CV226" s="23">
        <f>$L226*BO226</f>
        <v>1</v>
      </c>
    </row>
    <row r="227" spans="1:100" ht="13.5" x14ac:dyDescent="0.15">
      <c r="A227" s="15">
        <v>102</v>
      </c>
      <c r="B227" s="28" t="s">
        <v>610</v>
      </c>
      <c r="C227" t="s">
        <v>414</v>
      </c>
      <c r="E227" t="s">
        <v>140</v>
      </c>
      <c r="F227" t="s">
        <v>415</v>
      </c>
      <c r="G227" t="s">
        <v>140</v>
      </c>
      <c r="H227" t="s">
        <v>141</v>
      </c>
      <c r="I227" s="6" t="s">
        <v>136</v>
      </c>
      <c r="J227" s="6">
        <v>0</v>
      </c>
      <c r="L227" s="15">
        <v>1</v>
      </c>
      <c r="M227" s="7">
        <v>46104</v>
      </c>
      <c r="N227" s="7">
        <v>46139</v>
      </c>
      <c r="O227" s="7">
        <v>46129</v>
      </c>
      <c r="P227" s="7">
        <v>46132</v>
      </c>
      <c r="S227" s="6" t="s">
        <v>140</v>
      </c>
      <c r="U227" s="6" t="s">
        <v>413</v>
      </c>
      <c r="V227" s="6" t="str">
        <f>TEXT(N227,"YY/MM")</f>
        <v>26/04</v>
      </c>
      <c r="W227">
        <v>1599</v>
      </c>
      <c r="AA227">
        <v>953</v>
      </c>
      <c r="AC227">
        <v>1006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>$L227*AI227</f>
        <v>0</v>
      </c>
      <c r="BQ227" s="23">
        <f>$L227*AJ227</f>
        <v>0</v>
      </c>
      <c r="BR227" s="23">
        <f>$L227*AK227</f>
        <v>0</v>
      </c>
      <c r="BS227" s="23">
        <f>$L227*AL227</f>
        <v>0</v>
      </c>
      <c r="BT227" s="23">
        <f>$L227*AM227</f>
        <v>0</v>
      </c>
      <c r="BU227" s="23">
        <f>$L227*AN227</f>
        <v>0</v>
      </c>
      <c r="BV227" s="23">
        <f>$L227*AO227</f>
        <v>0</v>
      </c>
      <c r="BW227" s="23">
        <f>$L227*AP227</f>
        <v>0</v>
      </c>
      <c r="BX227" s="23">
        <f>$L227*AQ227</f>
        <v>0</v>
      </c>
      <c r="BY227" s="23">
        <f>$L227*AR227</f>
        <v>0</v>
      </c>
      <c r="BZ227" s="23">
        <f>$L227*AS227</f>
        <v>0</v>
      </c>
      <c r="CA227" s="23">
        <f>$L227*AT227</f>
        <v>0</v>
      </c>
      <c r="CB227" s="23">
        <f>$L227*AU227</f>
        <v>0</v>
      </c>
      <c r="CC227" s="23">
        <f>$L227*AV227</f>
        <v>0</v>
      </c>
      <c r="CD227" s="23">
        <f>$L227*AW227</f>
        <v>0</v>
      </c>
      <c r="CE227" s="23">
        <f>$L227*AX227</f>
        <v>0</v>
      </c>
      <c r="CF227" s="23">
        <f>$L227*AY227</f>
        <v>0</v>
      </c>
      <c r="CG227" s="23">
        <f>$L227*AZ227</f>
        <v>0</v>
      </c>
      <c r="CH227" s="23">
        <f>$L227*BA227</f>
        <v>0</v>
      </c>
      <c r="CI227" s="23">
        <f>$L227*BB227</f>
        <v>0</v>
      </c>
      <c r="CJ227" s="23">
        <f>$L227*BC227</f>
        <v>0</v>
      </c>
      <c r="CK227" s="23">
        <f>$L227*BD227</f>
        <v>0</v>
      </c>
      <c r="CL227" s="23">
        <f>$L227*BE227</f>
        <v>0</v>
      </c>
      <c r="CM227" s="23">
        <f>$L227*BF227</f>
        <v>0</v>
      </c>
      <c r="CN227" s="23">
        <f>$L227*BG227</f>
        <v>1</v>
      </c>
      <c r="CO227" s="23">
        <f>$L227*BH227</f>
        <v>1</v>
      </c>
      <c r="CP227" s="23">
        <f>$L227*BI227</f>
        <v>1</v>
      </c>
      <c r="CQ227" s="23">
        <f>$L227*BJ227</f>
        <v>1</v>
      </c>
      <c r="CR227" s="23">
        <f>$L227*BK227</f>
        <v>1</v>
      </c>
      <c r="CS227" s="23">
        <f>$L227*BL227</f>
        <v>1</v>
      </c>
      <c r="CT227" s="23">
        <f>$L227*BM227</f>
        <v>1</v>
      </c>
      <c r="CU227" s="23">
        <f>$L227*BN227</f>
        <v>1</v>
      </c>
      <c r="CV227" s="23">
        <f>$L227*BO227</f>
        <v>1</v>
      </c>
    </row>
    <row r="228" spans="1:100" ht="13.5" x14ac:dyDescent="0.15">
      <c r="A228" s="15">
        <v>102</v>
      </c>
      <c r="B228" s="28" t="s">
        <v>611</v>
      </c>
      <c r="C228" t="s">
        <v>414</v>
      </c>
      <c r="E228" t="s">
        <v>140</v>
      </c>
      <c r="F228" t="s">
        <v>415</v>
      </c>
      <c r="G228" t="s">
        <v>140</v>
      </c>
      <c r="H228" t="s">
        <v>141</v>
      </c>
      <c r="I228" s="6" t="s">
        <v>136</v>
      </c>
      <c r="J228" s="6">
        <v>0</v>
      </c>
      <c r="L228" s="15">
        <v>1</v>
      </c>
      <c r="M228" s="7">
        <v>46104</v>
      </c>
      <c r="N228" s="7">
        <v>46139</v>
      </c>
      <c r="O228" s="7">
        <v>46129</v>
      </c>
      <c r="P228" s="7">
        <v>46132</v>
      </c>
      <c r="S228" s="6" t="s">
        <v>140</v>
      </c>
      <c r="U228" s="6" t="s">
        <v>413</v>
      </c>
      <c r="V228" s="6" t="str">
        <f>TEXT(N228,"YY/MM")</f>
        <v>26/04</v>
      </c>
      <c r="W228">
        <v>1600</v>
      </c>
      <c r="AA228">
        <v>954</v>
      </c>
      <c r="AC228">
        <v>1007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>$L228*AI228</f>
        <v>0</v>
      </c>
      <c r="BQ228" s="23">
        <f>$L228*AJ228</f>
        <v>0</v>
      </c>
      <c r="BR228" s="23">
        <f>$L228*AK228</f>
        <v>0</v>
      </c>
      <c r="BS228" s="23">
        <f>$L228*AL228</f>
        <v>0</v>
      </c>
      <c r="BT228" s="23">
        <f>$L228*AM228</f>
        <v>0</v>
      </c>
      <c r="BU228" s="23">
        <f>$L228*AN228</f>
        <v>0</v>
      </c>
      <c r="BV228" s="23">
        <f>$L228*AO228</f>
        <v>0</v>
      </c>
      <c r="BW228" s="23">
        <f>$L228*AP228</f>
        <v>0</v>
      </c>
      <c r="BX228" s="23">
        <f>$L228*AQ228</f>
        <v>0</v>
      </c>
      <c r="BY228" s="23">
        <f>$L228*AR228</f>
        <v>0</v>
      </c>
      <c r="BZ228" s="23">
        <f>$L228*AS228</f>
        <v>0</v>
      </c>
      <c r="CA228" s="23">
        <f>$L228*AT228</f>
        <v>0</v>
      </c>
      <c r="CB228" s="23">
        <f>$L228*AU228</f>
        <v>0</v>
      </c>
      <c r="CC228" s="23">
        <f>$L228*AV228</f>
        <v>0</v>
      </c>
      <c r="CD228" s="23">
        <f>$L228*AW228</f>
        <v>0</v>
      </c>
      <c r="CE228" s="23">
        <f>$L228*AX228</f>
        <v>0</v>
      </c>
      <c r="CF228" s="23">
        <f>$L228*AY228</f>
        <v>0</v>
      </c>
      <c r="CG228" s="23">
        <f>$L228*AZ228</f>
        <v>0</v>
      </c>
      <c r="CH228" s="23">
        <f>$L228*BA228</f>
        <v>0</v>
      </c>
      <c r="CI228" s="23">
        <f>$L228*BB228</f>
        <v>0</v>
      </c>
      <c r="CJ228" s="23">
        <f>$L228*BC228</f>
        <v>0</v>
      </c>
      <c r="CK228" s="23">
        <f>$L228*BD228</f>
        <v>0</v>
      </c>
      <c r="CL228" s="23">
        <f>$L228*BE228</f>
        <v>0</v>
      </c>
      <c r="CM228" s="23">
        <f>$L228*BF228</f>
        <v>0</v>
      </c>
      <c r="CN228" s="23">
        <f>$L228*BG228</f>
        <v>1</v>
      </c>
      <c r="CO228" s="23">
        <f>$L228*BH228</f>
        <v>1</v>
      </c>
      <c r="CP228" s="23">
        <f>$L228*BI228</f>
        <v>1</v>
      </c>
      <c r="CQ228" s="23">
        <f>$L228*BJ228</f>
        <v>1</v>
      </c>
      <c r="CR228" s="23">
        <f>$L228*BK228</f>
        <v>1</v>
      </c>
      <c r="CS228" s="23">
        <f>$L228*BL228</f>
        <v>1</v>
      </c>
      <c r="CT228" s="23">
        <f>$L228*BM228</f>
        <v>1</v>
      </c>
      <c r="CU228" s="23">
        <f>$L228*BN228</f>
        <v>1</v>
      </c>
      <c r="CV228" s="23">
        <f>$L228*BO228</f>
        <v>1</v>
      </c>
    </row>
    <row r="229" spans="1:100" ht="13.5" x14ac:dyDescent="0.15">
      <c r="A229" s="15">
        <v>102</v>
      </c>
      <c r="B229" s="28" t="s">
        <v>612</v>
      </c>
      <c r="C229" t="s">
        <v>414</v>
      </c>
      <c r="E229" t="s">
        <v>140</v>
      </c>
      <c r="F229" t="s">
        <v>415</v>
      </c>
      <c r="G229" t="s">
        <v>140</v>
      </c>
      <c r="H229" t="s">
        <v>141</v>
      </c>
      <c r="I229" s="6" t="s">
        <v>136</v>
      </c>
      <c r="J229" s="6">
        <v>0</v>
      </c>
      <c r="L229" s="15">
        <v>1</v>
      </c>
      <c r="M229" s="7">
        <v>46104</v>
      </c>
      <c r="N229" s="7">
        <v>46139</v>
      </c>
      <c r="O229" s="7">
        <v>46129</v>
      </c>
      <c r="P229" s="7">
        <v>46132</v>
      </c>
      <c r="S229" s="6" t="s">
        <v>140</v>
      </c>
      <c r="U229" s="6" t="s">
        <v>413</v>
      </c>
      <c r="V229" s="6" t="str">
        <f>TEXT(N229,"YY/MM")</f>
        <v>26/04</v>
      </c>
      <c r="W229">
        <v>1601</v>
      </c>
      <c r="AA229">
        <v>955</v>
      </c>
      <c r="AC229">
        <v>1008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>$L229*AI229</f>
        <v>0</v>
      </c>
      <c r="BQ229" s="23">
        <f>$L229*AJ229</f>
        <v>0</v>
      </c>
      <c r="BR229" s="23">
        <f>$L229*AK229</f>
        <v>0</v>
      </c>
      <c r="BS229" s="23">
        <f>$L229*AL229</f>
        <v>0</v>
      </c>
      <c r="BT229" s="23">
        <f>$L229*AM229</f>
        <v>0</v>
      </c>
      <c r="BU229" s="23">
        <f>$L229*AN229</f>
        <v>0</v>
      </c>
      <c r="BV229" s="23">
        <f>$L229*AO229</f>
        <v>0</v>
      </c>
      <c r="BW229" s="23">
        <f>$L229*AP229</f>
        <v>0</v>
      </c>
      <c r="BX229" s="23">
        <f>$L229*AQ229</f>
        <v>0</v>
      </c>
      <c r="BY229" s="23">
        <f>$L229*AR229</f>
        <v>0</v>
      </c>
      <c r="BZ229" s="23">
        <f>$L229*AS229</f>
        <v>0</v>
      </c>
      <c r="CA229" s="23">
        <f>$L229*AT229</f>
        <v>0</v>
      </c>
      <c r="CB229" s="23">
        <f>$L229*AU229</f>
        <v>0</v>
      </c>
      <c r="CC229" s="23">
        <f>$L229*AV229</f>
        <v>0</v>
      </c>
      <c r="CD229" s="23">
        <f>$L229*AW229</f>
        <v>0</v>
      </c>
      <c r="CE229" s="23">
        <f>$L229*AX229</f>
        <v>0</v>
      </c>
      <c r="CF229" s="23">
        <f>$L229*AY229</f>
        <v>0</v>
      </c>
      <c r="CG229" s="23">
        <f>$L229*AZ229</f>
        <v>0</v>
      </c>
      <c r="CH229" s="23">
        <f>$L229*BA229</f>
        <v>0</v>
      </c>
      <c r="CI229" s="23">
        <f>$L229*BB229</f>
        <v>0</v>
      </c>
      <c r="CJ229" s="23">
        <f>$L229*BC229</f>
        <v>0</v>
      </c>
      <c r="CK229" s="23">
        <f>$L229*BD229</f>
        <v>0</v>
      </c>
      <c r="CL229" s="23">
        <f>$L229*BE229</f>
        <v>0</v>
      </c>
      <c r="CM229" s="23">
        <f>$L229*BF229</f>
        <v>0</v>
      </c>
      <c r="CN229" s="23">
        <f>$L229*BG229</f>
        <v>1</v>
      </c>
      <c r="CO229" s="23">
        <f>$L229*BH229</f>
        <v>1</v>
      </c>
      <c r="CP229" s="23">
        <f>$L229*BI229</f>
        <v>1</v>
      </c>
      <c r="CQ229" s="23">
        <f>$L229*BJ229</f>
        <v>1</v>
      </c>
      <c r="CR229" s="23">
        <f>$L229*BK229</f>
        <v>1</v>
      </c>
      <c r="CS229" s="23">
        <f>$L229*BL229</f>
        <v>1</v>
      </c>
      <c r="CT229" s="23">
        <f>$L229*BM229</f>
        <v>1</v>
      </c>
      <c r="CU229" s="23">
        <f>$L229*BN229</f>
        <v>1</v>
      </c>
      <c r="CV229" s="23">
        <f>$L229*BO229</f>
        <v>1</v>
      </c>
    </row>
    <row r="230" spans="1:100" ht="13.5" x14ac:dyDescent="0.15">
      <c r="A230" s="15">
        <v>102</v>
      </c>
      <c r="B230" s="28" t="s">
        <v>613</v>
      </c>
      <c r="C230" t="s">
        <v>414</v>
      </c>
      <c r="E230" t="s">
        <v>140</v>
      </c>
      <c r="F230" t="s">
        <v>415</v>
      </c>
      <c r="G230" t="s">
        <v>140</v>
      </c>
      <c r="H230" t="s">
        <v>141</v>
      </c>
      <c r="I230" s="6" t="s">
        <v>136</v>
      </c>
      <c r="J230" s="6">
        <v>0</v>
      </c>
      <c r="L230" s="15">
        <v>1</v>
      </c>
      <c r="M230" s="7">
        <v>46104</v>
      </c>
      <c r="N230" s="7">
        <v>46139</v>
      </c>
      <c r="O230" s="7">
        <v>46129</v>
      </c>
      <c r="P230" s="7">
        <v>46132</v>
      </c>
      <c r="S230" s="6" t="s">
        <v>140</v>
      </c>
      <c r="U230" s="6" t="s">
        <v>413</v>
      </c>
      <c r="V230" s="6" t="str">
        <f>TEXT(N230,"YY/MM")</f>
        <v>26/04</v>
      </c>
      <c r="W230">
        <v>1602</v>
      </c>
      <c r="AA230">
        <v>956</v>
      </c>
      <c r="AC230">
        <v>1009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>$L230*AI230</f>
        <v>0</v>
      </c>
      <c r="BQ230" s="23">
        <f>$L230*AJ230</f>
        <v>0</v>
      </c>
      <c r="BR230" s="23">
        <f>$L230*AK230</f>
        <v>0</v>
      </c>
      <c r="BS230" s="23">
        <f>$L230*AL230</f>
        <v>0</v>
      </c>
      <c r="BT230" s="23">
        <f>$L230*AM230</f>
        <v>0</v>
      </c>
      <c r="BU230" s="23">
        <f>$L230*AN230</f>
        <v>0</v>
      </c>
      <c r="BV230" s="23">
        <f>$L230*AO230</f>
        <v>0</v>
      </c>
      <c r="BW230" s="23">
        <f>$L230*AP230</f>
        <v>0</v>
      </c>
      <c r="BX230" s="23">
        <f>$L230*AQ230</f>
        <v>0</v>
      </c>
      <c r="BY230" s="23">
        <f>$L230*AR230</f>
        <v>0</v>
      </c>
      <c r="BZ230" s="23">
        <f>$L230*AS230</f>
        <v>0</v>
      </c>
      <c r="CA230" s="23">
        <f>$L230*AT230</f>
        <v>0</v>
      </c>
      <c r="CB230" s="23">
        <f>$L230*AU230</f>
        <v>0</v>
      </c>
      <c r="CC230" s="23">
        <f>$L230*AV230</f>
        <v>0</v>
      </c>
      <c r="CD230" s="23">
        <f>$L230*AW230</f>
        <v>0</v>
      </c>
      <c r="CE230" s="23">
        <f>$L230*AX230</f>
        <v>0</v>
      </c>
      <c r="CF230" s="23">
        <f>$L230*AY230</f>
        <v>0</v>
      </c>
      <c r="CG230" s="23">
        <f>$L230*AZ230</f>
        <v>0</v>
      </c>
      <c r="CH230" s="23">
        <f>$L230*BA230</f>
        <v>0</v>
      </c>
      <c r="CI230" s="23">
        <f>$L230*BB230</f>
        <v>0</v>
      </c>
      <c r="CJ230" s="23">
        <f>$L230*BC230</f>
        <v>0</v>
      </c>
      <c r="CK230" s="23">
        <f>$L230*BD230</f>
        <v>0</v>
      </c>
      <c r="CL230" s="23">
        <f>$L230*BE230</f>
        <v>0</v>
      </c>
      <c r="CM230" s="23">
        <f>$L230*BF230</f>
        <v>0</v>
      </c>
      <c r="CN230" s="23">
        <f>$L230*BG230</f>
        <v>1</v>
      </c>
      <c r="CO230" s="23">
        <f>$L230*BH230</f>
        <v>1</v>
      </c>
      <c r="CP230" s="23">
        <f>$L230*BI230</f>
        <v>1</v>
      </c>
      <c r="CQ230" s="23">
        <f>$L230*BJ230</f>
        <v>1</v>
      </c>
      <c r="CR230" s="23">
        <f>$L230*BK230</f>
        <v>1</v>
      </c>
      <c r="CS230" s="23">
        <f>$L230*BL230</f>
        <v>1</v>
      </c>
      <c r="CT230" s="23">
        <f>$L230*BM230</f>
        <v>1</v>
      </c>
      <c r="CU230" s="23">
        <f>$L230*BN230</f>
        <v>1</v>
      </c>
      <c r="CV230" s="23">
        <f>$L230*BO230</f>
        <v>1</v>
      </c>
    </row>
    <row r="231" spans="1:100" ht="13.5" x14ac:dyDescent="0.15">
      <c r="A231" s="15">
        <v>102</v>
      </c>
      <c r="B231" s="28" t="s">
        <v>614</v>
      </c>
      <c r="C231" t="s">
        <v>414</v>
      </c>
      <c r="E231" t="s">
        <v>140</v>
      </c>
      <c r="F231" t="s">
        <v>415</v>
      </c>
      <c r="G231" t="s">
        <v>140</v>
      </c>
      <c r="H231" t="s">
        <v>141</v>
      </c>
      <c r="I231" s="6" t="s">
        <v>136</v>
      </c>
      <c r="J231" s="6">
        <v>0</v>
      </c>
      <c r="L231" s="15">
        <v>1</v>
      </c>
      <c r="M231" s="7">
        <v>46104</v>
      </c>
      <c r="N231" s="7">
        <v>46139</v>
      </c>
      <c r="O231" s="7">
        <v>46129</v>
      </c>
      <c r="P231" s="7">
        <v>46132</v>
      </c>
      <c r="S231" s="6" t="s">
        <v>140</v>
      </c>
      <c r="U231" s="6" t="s">
        <v>413</v>
      </c>
      <c r="V231" s="6" t="str">
        <f>TEXT(N231,"YY/MM")</f>
        <v>26/04</v>
      </c>
      <c r="W231">
        <v>1603</v>
      </c>
      <c r="AA231">
        <v>957</v>
      </c>
      <c r="AC231">
        <v>1010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>$L231*AI231</f>
        <v>0</v>
      </c>
      <c r="BQ231" s="23">
        <f>$L231*AJ231</f>
        <v>0</v>
      </c>
      <c r="BR231" s="23">
        <f>$L231*AK231</f>
        <v>0</v>
      </c>
      <c r="BS231" s="23">
        <f>$L231*AL231</f>
        <v>0</v>
      </c>
      <c r="BT231" s="23">
        <f>$L231*AM231</f>
        <v>0</v>
      </c>
      <c r="BU231" s="23">
        <f>$L231*AN231</f>
        <v>0</v>
      </c>
      <c r="BV231" s="23">
        <f>$L231*AO231</f>
        <v>0</v>
      </c>
      <c r="BW231" s="23">
        <f>$L231*AP231</f>
        <v>0</v>
      </c>
      <c r="BX231" s="23">
        <f>$L231*AQ231</f>
        <v>0</v>
      </c>
      <c r="BY231" s="23">
        <f>$L231*AR231</f>
        <v>0</v>
      </c>
      <c r="BZ231" s="23">
        <f>$L231*AS231</f>
        <v>0</v>
      </c>
      <c r="CA231" s="23">
        <f>$L231*AT231</f>
        <v>0</v>
      </c>
      <c r="CB231" s="23">
        <f>$L231*AU231</f>
        <v>0</v>
      </c>
      <c r="CC231" s="23">
        <f>$L231*AV231</f>
        <v>0</v>
      </c>
      <c r="CD231" s="23">
        <f>$L231*AW231</f>
        <v>0</v>
      </c>
      <c r="CE231" s="23">
        <f>$L231*AX231</f>
        <v>0</v>
      </c>
      <c r="CF231" s="23">
        <f>$L231*AY231</f>
        <v>0</v>
      </c>
      <c r="CG231" s="23">
        <f>$L231*AZ231</f>
        <v>0</v>
      </c>
      <c r="CH231" s="23">
        <f>$L231*BA231</f>
        <v>0</v>
      </c>
      <c r="CI231" s="23">
        <f>$L231*BB231</f>
        <v>0</v>
      </c>
      <c r="CJ231" s="23">
        <f>$L231*BC231</f>
        <v>0</v>
      </c>
      <c r="CK231" s="23">
        <f>$L231*BD231</f>
        <v>0</v>
      </c>
      <c r="CL231" s="23">
        <f>$L231*BE231</f>
        <v>0</v>
      </c>
      <c r="CM231" s="23">
        <f>$L231*BF231</f>
        <v>0</v>
      </c>
      <c r="CN231" s="23">
        <f>$L231*BG231</f>
        <v>1</v>
      </c>
      <c r="CO231" s="23">
        <f>$L231*BH231</f>
        <v>1</v>
      </c>
      <c r="CP231" s="23">
        <f>$L231*BI231</f>
        <v>1</v>
      </c>
      <c r="CQ231" s="23">
        <f>$L231*BJ231</f>
        <v>1</v>
      </c>
      <c r="CR231" s="23">
        <f>$L231*BK231</f>
        <v>1</v>
      </c>
      <c r="CS231" s="23">
        <f>$L231*BL231</f>
        <v>1</v>
      </c>
      <c r="CT231" s="23">
        <f>$L231*BM231</f>
        <v>1</v>
      </c>
      <c r="CU231" s="23">
        <f>$L231*BN231</f>
        <v>1</v>
      </c>
      <c r="CV231" s="23">
        <f>$L231*BO231</f>
        <v>1</v>
      </c>
    </row>
    <row r="232" spans="1:100" ht="13.5" x14ac:dyDescent="0.15">
      <c r="A232" s="15">
        <v>115</v>
      </c>
      <c r="B232" s="28" t="s">
        <v>615</v>
      </c>
      <c r="C232" t="s">
        <v>414</v>
      </c>
      <c r="E232" t="s">
        <v>140</v>
      </c>
      <c r="F232" t="s">
        <v>415</v>
      </c>
      <c r="G232" t="s">
        <v>140</v>
      </c>
      <c r="H232" t="s">
        <v>141</v>
      </c>
      <c r="I232" s="6" t="s">
        <v>136</v>
      </c>
      <c r="J232" s="6">
        <v>0</v>
      </c>
      <c r="L232" s="15">
        <v>1</v>
      </c>
      <c r="M232" s="7">
        <v>46104</v>
      </c>
      <c r="N232" s="7">
        <v>46140</v>
      </c>
      <c r="O232" s="7">
        <v>46136</v>
      </c>
      <c r="P232" s="7">
        <v>46139</v>
      </c>
      <c r="S232" s="6" t="s">
        <v>140</v>
      </c>
      <c r="U232" s="6" t="s">
        <v>413</v>
      </c>
      <c r="V232" s="6" t="str">
        <f>TEXT(N232,"YY/MM")</f>
        <v>26/04</v>
      </c>
      <c r="W232">
        <v>1604</v>
      </c>
      <c r="AA232">
        <v>958</v>
      </c>
      <c r="AC232">
        <v>1011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>$L232*AI232</f>
        <v>0</v>
      </c>
      <c r="BQ232" s="23">
        <f>$L232*AJ232</f>
        <v>0</v>
      </c>
      <c r="BR232" s="23">
        <f>$L232*AK232</f>
        <v>0</v>
      </c>
      <c r="BS232" s="23">
        <f>$L232*AL232</f>
        <v>0</v>
      </c>
      <c r="BT232" s="23">
        <f>$L232*AM232</f>
        <v>0</v>
      </c>
      <c r="BU232" s="23">
        <f>$L232*AN232</f>
        <v>0</v>
      </c>
      <c r="BV232" s="23">
        <f>$L232*AO232</f>
        <v>0</v>
      </c>
      <c r="BW232" s="23">
        <f>$L232*AP232</f>
        <v>0</v>
      </c>
      <c r="BX232" s="23">
        <f>$L232*AQ232</f>
        <v>0</v>
      </c>
      <c r="BY232" s="23">
        <f>$L232*AR232</f>
        <v>0</v>
      </c>
      <c r="BZ232" s="23">
        <f>$L232*AS232</f>
        <v>0</v>
      </c>
      <c r="CA232" s="23">
        <f>$L232*AT232</f>
        <v>0</v>
      </c>
      <c r="CB232" s="23">
        <f>$L232*AU232</f>
        <v>0</v>
      </c>
      <c r="CC232" s="23">
        <f>$L232*AV232</f>
        <v>0</v>
      </c>
      <c r="CD232" s="23">
        <f>$L232*AW232</f>
        <v>0</v>
      </c>
      <c r="CE232" s="23">
        <f>$L232*AX232</f>
        <v>0</v>
      </c>
      <c r="CF232" s="23">
        <f>$L232*AY232</f>
        <v>0</v>
      </c>
      <c r="CG232" s="23">
        <f>$L232*AZ232</f>
        <v>0</v>
      </c>
      <c r="CH232" s="23">
        <f>$L232*BA232</f>
        <v>0</v>
      </c>
      <c r="CI232" s="23">
        <f>$L232*BB232</f>
        <v>0</v>
      </c>
      <c r="CJ232" s="23">
        <f>$L232*BC232</f>
        <v>0</v>
      </c>
      <c r="CK232" s="23">
        <f>$L232*BD232</f>
        <v>0</v>
      </c>
      <c r="CL232" s="23">
        <f>$L232*BE232</f>
        <v>0</v>
      </c>
      <c r="CM232" s="23">
        <f>$L232*BF232</f>
        <v>0</v>
      </c>
      <c r="CN232" s="23">
        <f>$L232*BG232</f>
        <v>1</v>
      </c>
      <c r="CO232" s="23">
        <f>$L232*BH232</f>
        <v>1</v>
      </c>
      <c r="CP232" s="23">
        <f>$L232*BI232</f>
        <v>1</v>
      </c>
      <c r="CQ232" s="23">
        <f>$L232*BJ232</f>
        <v>1</v>
      </c>
      <c r="CR232" s="23">
        <f>$L232*BK232</f>
        <v>1</v>
      </c>
      <c r="CS232" s="23">
        <f>$L232*BL232</f>
        <v>1</v>
      </c>
      <c r="CT232" s="23">
        <f>$L232*BM232</f>
        <v>1</v>
      </c>
      <c r="CU232" s="23">
        <f>$L232*BN232</f>
        <v>1</v>
      </c>
      <c r="CV232" s="23">
        <f>$L232*BO232</f>
        <v>1</v>
      </c>
    </row>
    <row r="233" spans="1:100" ht="13.5" x14ac:dyDescent="0.15">
      <c r="A233" s="15">
        <v>115</v>
      </c>
      <c r="B233" s="28" t="s">
        <v>616</v>
      </c>
      <c r="C233" t="s">
        <v>414</v>
      </c>
      <c r="E233" t="s">
        <v>140</v>
      </c>
      <c r="F233" t="s">
        <v>415</v>
      </c>
      <c r="G233" t="s">
        <v>140</v>
      </c>
      <c r="H233" t="s">
        <v>141</v>
      </c>
      <c r="I233" s="6" t="s">
        <v>136</v>
      </c>
      <c r="J233" s="6">
        <v>0</v>
      </c>
      <c r="L233" s="15">
        <v>1</v>
      </c>
      <c r="M233" s="7">
        <v>46104</v>
      </c>
      <c r="N233" s="7">
        <v>46140</v>
      </c>
      <c r="O233" s="7">
        <v>46136</v>
      </c>
      <c r="P233" s="7">
        <v>46139</v>
      </c>
      <c r="S233" s="6" t="s">
        <v>140</v>
      </c>
      <c r="U233" s="6" t="s">
        <v>413</v>
      </c>
      <c r="V233" s="6" t="str">
        <f>TEXT(N233,"YY/MM")</f>
        <v>26/04</v>
      </c>
      <c r="W233">
        <v>1605</v>
      </c>
      <c r="AA233">
        <v>959</v>
      </c>
      <c r="AC233">
        <v>1012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>$L233*AI233</f>
        <v>0</v>
      </c>
      <c r="BQ233" s="23">
        <f>$L233*AJ233</f>
        <v>0</v>
      </c>
      <c r="BR233" s="23">
        <f>$L233*AK233</f>
        <v>0</v>
      </c>
      <c r="BS233" s="23">
        <f>$L233*AL233</f>
        <v>0</v>
      </c>
      <c r="BT233" s="23">
        <f>$L233*AM233</f>
        <v>0</v>
      </c>
      <c r="BU233" s="23">
        <f>$L233*AN233</f>
        <v>0</v>
      </c>
      <c r="BV233" s="23">
        <f>$L233*AO233</f>
        <v>0</v>
      </c>
      <c r="BW233" s="23">
        <f>$L233*AP233</f>
        <v>0</v>
      </c>
      <c r="BX233" s="23">
        <f>$L233*AQ233</f>
        <v>0</v>
      </c>
      <c r="BY233" s="23">
        <f>$L233*AR233</f>
        <v>0</v>
      </c>
      <c r="BZ233" s="23">
        <f>$L233*AS233</f>
        <v>0</v>
      </c>
      <c r="CA233" s="23">
        <f>$L233*AT233</f>
        <v>0</v>
      </c>
      <c r="CB233" s="23">
        <f>$L233*AU233</f>
        <v>0</v>
      </c>
      <c r="CC233" s="23">
        <f>$L233*AV233</f>
        <v>0</v>
      </c>
      <c r="CD233" s="23">
        <f>$L233*AW233</f>
        <v>0</v>
      </c>
      <c r="CE233" s="23">
        <f>$L233*AX233</f>
        <v>0</v>
      </c>
      <c r="CF233" s="23">
        <f>$L233*AY233</f>
        <v>0</v>
      </c>
      <c r="CG233" s="23">
        <f>$L233*AZ233</f>
        <v>0</v>
      </c>
      <c r="CH233" s="23">
        <f>$L233*BA233</f>
        <v>0</v>
      </c>
      <c r="CI233" s="23">
        <f>$L233*BB233</f>
        <v>0</v>
      </c>
      <c r="CJ233" s="23">
        <f>$L233*BC233</f>
        <v>0</v>
      </c>
      <c r="CK233" s="23">
        <f>$L233*BD233</f>
        <v>0</v>
      </c>
      <c r="CL233" s="23">
        <f>$L233*BE233</f>
        <v>0</v>
      </c>
      <c r="CM233" s="23">
        <f>$L233*BF233</f>
        <v>0</v>
      </c>
      <c r="CN233" s="23">
        <f>$L233*BG233</f>
        <v>1</v>
      </c>
      <c r="CO233" s="23">
        <f>$L233*BH233</f>
        <v>1</v>
      </c>
      <c r="CP233" s="23">
        <f>$L233*BI233</f>
        <v>1</v>
      </c>
      <c r="CQ233" s="23">
        <f>$L233*BJ233</f>
        <v>1</v>
      </c>
      <c r="CR233" s="23">
        <f>$L233*BK233</f>
        <v>1</v>
      </c>
      <c r="CS233" s="23">
        <f>$L233*BL233</f>
        <v>1</v>
      </c>
      <c r="CT233" s="23">
        <f>$L233*BM233</f>
        <v>1</v>
      </c>
      <c r="CU233" s="23">
        <f>$L233*BN233</f>
        <v>1</v>
      </c>
      <c r="CV233" s="23">
        <f>$L233*BO233</f>
        <v>1</v>
      </c>
    </row>
    <row r="234" spans="1:100" ht="13.5" x14ac:dyDescent="0.15">
      <c r="A234" s="15">
        <v>115</v>
      </c>
      <c r="B234" s="28" t="s">
        <v>617</v>
      </c>
      <c r="C234" t="s">
        <v>414</v>
      </c>
      <c r="E234" t="s">
        <v>140</v>
      </c>
      <c r="F234" t="s">
        <v>415</v>
      </c>
      <c r="G234" t="s">
        <v>140</v>
      </c>
      <c r="H234" t="s">
        <v>141</v>
      </c>
      <c r="I234" s="6" t="s">
        <v>136</v>
      </c>
      <c r="J234" s="6">
        <v>0</v>
      </c>
      <c r="L234" s="15">
        <v>1</v>
      </c>
      <c r="M234" s="7">
        <v>46104</v>
      </c>
      <c r="N234" s="7">
        <v>46140</v>
      </c>
      <c r="O234" s="7">
        <v>46136</v>
      </c>
      <c r="P234" s="7">
        <v>46139</v>
      </c>
      <c r="S234" s="6" t="s">
        <v>140</v>
      </c>
      <c r="U234" s="6" t="s">
        <v>413</v>
      </c>
      <c r="V234" s="6" t="str">
        <f>TEXT(N234,"YY/MM")</f>
        <v>26/04</v>
      </c>
      <c r="W234">
        <v>1606</v>
      </c>
      <c r="AA234">
        <v>960</v>
      </c>
      <c r="AC234">
        <v>1013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>$L234*AI234</f>
        <v>0</v>
      </c>
      <c r="BQ234" s="23">
        <f>$L234*AJ234</f>
        <v>0</v>
      </c>
      <c r="BR234" s="23">
        <f>$L234*AK234</f>
        <v>0</v>
      </c>
      <c r="BS234" s="23">
        <f>$L234*AL234</f>
        <v>0</v>
      </c>
      <c r="BT234" s="23">
        <f>$L234*AM234</f>
        <v>0</v>
      </c>
      <c r="BU234" s="23">
        <f>$L234*AN234</f>
        <v>0</v>
      </c>
      <c r="BV234" s="23">
        <f>$L234*AO234</f>
        <v>0</v>
      </c>
      <c r="BW234" s="23">
        <f>$L234*AP234</f>
        <v>0</v>
      </c>
      <c r="BX234" s="23">
        <f>$L234*AQ234</f>
        <v>0</v>
      </c>
      <c r="BY234" s="23">
        <f>$L234*AR234</f>
        <v>0</v>
      </c>
      <c r="BZ234" s="23">
        <f>$L234*AS234</f>
        <v>0</v>
      </c>
      <c r="CA234" s="23">
        <f>$L234*AT234</f>
        <v>0</v>
      </c>
      <c r="CB234" s="23">
        <f>$L234*AU234</f>
        <v>0</v>
      </c>
      <c r="CC234" s="23">
        <f>$L234*AV234</f>
        <v>0</v>
      </c>
      <c r="CD234" s="23">
        <f>$L234*AW234</f>
        <v>0</v>
      </c>
      <c r="CE234" s="23">
        <f>$L234*AX234</f>
        <v>0</v>
      </c>
      <c r="CF234" s="23">
        <f>$L234*AY234</f>
        <v>0</v>
      </c>
      <c r="CG234" s="23">
        <f>$L234*AZ234</f>
        <v>0</v>
      </c>
      <c r="CH234" s="23">
        <f>$L234*BA234</f>
        <v>0</v>
      </c>
      <c r="CI234" s="23">
        <f>$L234*BB234</f>
        <v>0</v>
      </c>
      <c r="CJ234" s="23">
        <f>$L234*BC234</f>
        <v>0</v>
      </c>
      <c r="CK234" s="23">
        <f>$L234*BD234</f>
        <v>0</v>
      </c>
      <c r="CL234" s="23">
        <f>$L234*BE234</f>
        <v>0</v>
      </c>
      <c r="CM234" s="23">
        <f>$L234*BF234</f>
        <v>0</v>
      </c>
      <c r="CN234" s="23">
        <f>$L234*BG234</f>
        <v>1</v>
      </c>
      <c r="CO234" s="23">
        <f>$L234*BH234</f>
        <v>1</v>
      </c>
      <c r="CP234" s="23">
        <f>$L234*BI234</f>
        <v>1</v>
      </c>
      <c r="CQ234" s="23">
        <f>$L234*BJ234</f>
        <v>1</v>
      </c>
      <c r="CR234" s="23">
        <f>$L234*BK234</f>
        <v>1</v>
      </c>
      <c r="CS234" s="23">
        <f>$L234*BL234</f>
        <v>1</v>
      </c>
      <c r="CT234" s="23">
        <f>$L234*BM234</f>
        <v>1</v>
      </c>
      <c r="CU234" s="23">
        <f>$L234*BN234</f>
        <v>1</v>
      </c>
      <c r="CV234" s="23">
        <f>$L234*BO234</f>
        <v>1</v>
      </c>
    </row>
    <row r="235" spans="1:100" ht="13.5" x14ac:dyDescent="0.15">
      <c r="A235" s="15">
        <v>115</v>
      </c>
      <c r="B235" s="28" t="s">
        <v>618</v>
      </c>
      <c r="C235" t="s">
        <v>414</v>
      </c>
      <c r="E235" t="s">
        <v>140</v>
      </c>
      <c r="F235" t="s">
        <v>415</v>
      </c>
      <c r="G235" t="s">
        <v>140</v>
      </c>
      <c r="H235" t="s">
        <v>141</v>
      </c>
      <c r="I235" s="6" t="s">
        <v>136</v>
      </c>
      <c r="J235" s="6">
        <v>0</v>
      </c>
      <c r="L235" s="15">
        <v>1</v>
      </c>
      <c r="M235" s="7">
        <v>46104</v>
      </c>
      <c r="N235" s="7">
        <v>46140</v>
      </c>
      <c r="O235" s="7">
        <v>46136</v>
      </c>
      <c r="P235" s="7">
        <v>46139</v>
      </c>
      <c r="S235" s="6" t="s">
        <v>140</v>
      </c>
      <c r="U235" s="6" t="s">
        <v>413</v>
      </c>
      <c r="V235" s="6" t="str">
        <f>TEXT(N235,"YY/MM")</f>
        <v>26/04</v>
      </c>
      <c r="W235">
        <v>1607</v>
      </c>
      <c r="AA235">
        <v>961</v>
      </c>
      <c r="AC235">
        <v>1014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>$L235*AI235</f>
        <v>0</v>
      </c>
      <c r="BQ235" s="23">
        <f>$L235*AJ235</f>
        <v>0</v>
      </c>
      <c r="BR235" s="23">
        <f>$L235*AK235</f>
        <v>0</v>
      </c>
      <c r="BS235" s="23">
        <f>$L235*AL235</f>
        <v>0</v>
      </c>
      <c r="BT235" s="23">
        <f>$L235*AM235</f>
        <v>0</v>
      </c>
      <c r="BU235" s="23">
        <f>$L235*AN235</f>
        <v>0</v>
      </c>
      <c r="BV235" s="23">
        <f>$L235*AO235</f>
        <v>0</v>
      </c>
      <c r="BW235" s="23">
        <f>$L235*AP235</f>
        <v>0</v>
      </c>
      <c r="BX235" s="23">
        <f>$L235*AQ235</f>
        <v>0</v>
      </c>
      <c r="BY235" s="23">
        <f>$L235*AR235</f>
        <v>0</v>
      </c>
      <c r="BZ235" s="23">
        <f>$L235*AS235</f>
        <v>0</v>
      </c>
      <c r="CA235" s="23">
        <f>$L235*AT235</f>
        <v>0</v>
      </c>
      <c r="CB235" s="23">
        <f>$L235*AU235</f>
        <v>0</v>
      </c>
      <c r="CC235" s="23">
        <f>$L235*AV235</f>
        <v>0</v>
      </c>
      <c r="CD235" s="23">
        <f>$L235*AW235</f>
        <v>0</v>
      </c>
      <c r="CE235" s="23">
        <f>$L235*AX235</f>
        <v>0</v>
      </c>
      <c r="CF235" s="23">
        <f>$L235*AY235</f>
        <v>0</v>
      </c>
      <c r="CG235" s="23">
        <f>$L235*AZ235</f>
        <v>0</v>
      </c>
      <c r="CH235" s="23">
        <f>$L235*BA235</f>
        <v>0</v>
      </c>
      <c r="CI235" s="23">
        <f>$L235*BB235</f>
        <v>0</v>
      </c>
      <c r="CJ235" s="23">
        <f>$L235*BC235</f>
        <v>0</v>
      </c>
      <c r="CK235" s="23">
        <f>$L235*BD235</f>
        <v>0</v>
      </c>
      <c r="CL235" s="23">
        <f>$L235*BE235</f>
        <v>0</v>
      </c>
      <c r="CM235" s="23">
        <f>$L235*BF235</f>
        <v>0</v>
      </c>
      <c r="CN235" s="23">
        <f>$L235*BG235</f>
        <v>1</v>
      </c>
      <c r="CO235" s="23">
        <f>$L235*BH235</f>
        <v>1</v>
      </c>
      <c r="CP235" s="23">
        <f>$L235*BI235</f>
        <v>1</v>
      </c>
      <c r="CQ235" s="23">
        <f>$L235*BJ235</f>
        <v>1</v>
      </c>
      <c r="CR235" s="23">
        <f>$L235*BK235</f>
        <v>1</v>
      </c>
      <c r="CS235" s="23">
        <f>$L235*BL235</f>
        <v>1</v>
      </c>
      <c r="CT235" s="23">
        <f>$L235*BM235</f>
        <v>1</v>
      </c>
      <c r="CU235" s="23">
        <f>$L235*BN235</f>
        <v>1</v>
      </c>
      <c r="CV235" s="23">
        <f>$L235*BO235</f>
        <v>1</v>
      </c>
    </row>
    <row r="236" spans="1:100" ht="13.5" x14ac:dyDescent="0.15">
      <c r="A236" s="15">
        <v>115</v>
      </c>
      <c r="B236" s="28" t="s">
        <v>619</v>
      </c>
      <c r="C236" t="s">
        <v>414</v>
      </c>
      <c r="E236" t="s">
        <v>140</v>
      </c>
      <c r="F236" t="s">
        <v>415</v>
      </c>
      <c r="G236" t="s">
        <v>140</v>
      </c>
      <c r="H236" t="s">
        <v>141</v>
      </c>
      <c r="I236" s="6" t="s">
        <v>136</v>
      </c>
      <c r="J236" s="6">
        <v>0</v>
      </c>
      <c r="L236" s="15">
        <v>1</v>
      </c>
      <c r="M236" s="7">
        <v>46104</v>
      </c>
      <c r="N236" s="7">
        <v>46140</v>
      </c>
      <c r="O236" s="7">
        <v>46136</v>
      </c>
      <c r="P236" s="7">
        <v>46139</v>
      </c>
      <c r="S236" s="6" t="s">
        <v>140</v>
      </c>
      <c r="U236" s="6" t="s">
        <v>413</v>
      </c>
      <c r="V236" s="6" t="str">
        <f>TEXT(N236,"YY/MM")</f>
        <v>26/04</v>
      </c>
      <c r="W236">
        <v>1608</v>
      </c>
      <c r="AA236">
        <v>962</v>
      </c>
      <c r="AC236">
        <v>1015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>$L236*AI236</f>
        <v>0</v>
      </c>
      <c r="BQ236" s="23">
        <f>$L236*AJ236</f>
        <v>0</v>
      </c>
      <c r="BR236" s="23">
        <f>$L236*AK236</f>
        <v>0</v>
      </c>
      <c r="BS236" s="23">
        <f>$L236*AL236</f>
        <v>0</v>
      </c>
      <c r="BT236" s="23">
        <f>$L236*AM236</f>
        <v>0</v>
      </c>
      <c r="BU236" s="23">
        <f>$L236*AN236</f>
        <v>0</v>
      </c>
      <c r="BV236" s="23">
        <f>$L236*AO236</f>
        <v>0</v>
      </c>
      <c r="BW236" s="23">
        <f>$L236*AP236</f>
        <v>0</v>
      </c>
      <c r="BX236" s="23">
        <f>$L236*AQ236</f>
        <v>0</v>
      </c>
      <c r="BY236" s="23">
        <f>$L236*AR236</f>
        <v>0</v>
      </c>
      <c r="BZ236" s="23">
        <f>$L236*AS236</f>
        <v>0</v>
      </c>
      <c r="CA236" s="23">
        <f>$L236*AT236</f>
        <v>0</v>
      </c>
      <c r="CB236" s="23">
        <f>$L236*AU236</f>
        <v>0</v>
      </c>
      <c r="CC236" s="23">
        <f>$L236*AV236</f>
        <v>0</v>
      </c>
      <c r="CD236" s="23">
        <f>$L236*AW236</f>
        <v>0</v>
      </c>
      <c r="CE236" s="23">
        <f>$L236*AX236</f>
        <v>0</v>
      </c>
      <c r="CF236" s="23">
        <f>$L236*AY236</f>
        <v>0</v>
      </c>
      <c r="CG236" s="23">
        <f>$L236*AZ236</f>
        <v>0</v>
      </c>
      <c r="CH236" s="23">
        <f>$L236*BA236</f>
        <v>0</v>
      </c>
      <c r="CI236" s="23">
        <f>$L236*BB236</f>
        <v>0</v>
      </c>
      <c r="CJ236" s="23">
        <f>$L236*BC236</f>
        <v>0</v>
      </c>
      <c r="CK236" s="23">
        <f>$L236*BD236</f>
        <v>0</v>
      </c>
      <c r="CL236" s="23">
        <f>$L236*BE236</f>
        <v>0</v>
      </c>
      <c r="CM236" s="23">
        <f>$L236*BF236</f>
        <v>0</v>
      </c>
      <c r="CN236" s="23">
        <f>$L236*BG236</f>
        <v>1</v>
      </c>
      <c r="CO236" s="23">
        <f>$L236*BH236</f>
        <v>1</v>
      </c>
      <c r="CP236" s="23">
        <f>$L236*BI236</f>
        <v>1</v>
      </c>
      <c r="CQ236" s="23">
        <f>$L236*BJ236</f>
        <v>1</v>
      </c>
      <c r="CR236" s="23">
        <f>$L236*BK236</f>
        <v>1</v>
      </c>
      <c r="CS236" s="23">
        <f>$L236*BL236</f>
        <v>1</v>
      </c>
      <c r="CT236" s="23">
        <f>$L236*BM236</f>
        <v>1</v>
      </c>
      <c r="CU236" s="23">
        <f>$L236*BN236</f>
        <v>1</v>
      </c>
      <c r="CV236" s="23">
        <f>$L236*BO236</f>
        <v>1</v>
      </c>
    </row>
    <row r="237" spans="1:100" ht="13.5" x14ac:dyDescent="0.15">
      <c r="A237" s="15">
        <v>115</v>
      </c>
      <c r="B237" s="28" t="s">
        <v>620</v>
      </c>
      <c r="C237" t="s">
        <v>414</v>
      </c>
      <c r="E237" t="s">
        <v>140</v>
      </c>
      <c r="F237" t="s">
        <v>415</v>
      </c>
      <c r="G237" t="s">
        <v>140</v>
      </c>
      <c r="H237" t="s">
        <v>141</v>
      </c>
      <c r="I237" s="6" t="s">
        <v>136</v>
      </c>
      <c r="J237" s="6">
        <v>0</v>
      </c>
      <c r="L237" s="15">
        <v>1</v>
      </c>
      <c r="M237" s="7">
        <v>46104</v>
      </c>
      <c r="N237" s="7">
        <v>46140</v>
      </c>
      <c r="O237" s="7">
        <v>46136</v>
      </c>
      <c r="P237" s="7">
        <v>46139</v>
      </c>
      <c r="S237" s="6" t="s">
        <v>140</v>
      </c>
      <c r="U237" s="6" t="s">
        <v>413</v>
      </c>
      <c r="V237" s="6" t="str">
        <f>TEXT(N237,"YY/MM")</f>
        <v>26/04</v>
      </c>
      <c r="W237">
        <v>1609</v>
      </c>
      <c r="AA237">
        <v>963</v>
      </c>
      <c r="AC237">
        <v>1016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>$L237*AI237</f>
        <v>0</v>
      </c>
      <c r="BQ237" s="23">
        <f>$L237*AJ237</f>
        <v>0</v>
      </c>
      <c r="BR237" s="23">
        <f>$L237*AK237</f>
        <v>0</v>
      </c>
      <c r="BS237" s="23">
        <f>$L237*AL237</f>
        <v>0</v>
      </c>
      <c r="BT237" s="23">
        <f>$L237*AM237</f>
        <v>0</v>
      </c>
      <c r="BU237" s="23">
        <f>$L237*AN237</f>
        <v>0</v>
      </c>
      <c r="BV237" s="23">
        <f>$L237*AO237</f>
        <v>0</v>
      </c>
      <c r="BW237" s="23">
        <f>$L237*AP237</f>
        <v>0</v>
      </c>
      <c r="BX237" s="23">
        <f>$L237*AQ237</f>
        <v>0</v>
      </c>
      <c r="BY237" s="23">
        <f>$L237*AR237</f>
        <v>0</v>
      </c>
      <c r="BZ237" s="23">
        <f>$L237*AS237</f>
        <v>0</v>
      </c>
      <c r="CA237" s="23">
        <f>$L237*AT237</f>
        <v>0</v>
      </c>
      <c r="CB237" s="23">
        <f>$L237*AU237</f>
        <v>0</v>
      </c>
      <c r="CC237" s="23">
        <f>$L237*AV237</f>
        <v>0</v>
      </c>
      <c r="CD237" s="23">
        <f>$L237*AW237</f>
        <v>0</v>
      </c>
      <c r="CE237" s="23">
        <f>$L237*AX237</f>
        <v>0</v>
      </c>
      <c r="CF237" s="23">
        <f>$L237*AY237</f>
        <v>0</v>
      </c>
      <c r="CG237" s="23">
        <f>$L237*AZ237</f>
        <v>0</v>
      </c>
      <c r="CH237" s="23">
        <f>$L237*BA237</f>
        <v>0</v>
      </c>
      <c r="CI237" s="23">
        <f>$L237*BB237</f>
        <v>0</v>
      </c>
      <c r="CJ237" s="23">
        <f>$L237*BC237</f>
        <v>0</v>
      </c>
      <c r="CK237" s="23">
        <f>$L237*BD237</f>
        <v>0</v>
      </c>
      <c r="CL237" s="23">
        <f>$L237*BE237</f>
        <v>0</v>
      </c>
      <c r="CM237" s="23">
        <f>$L237*BF237</f>
        <v>0</v>
      </c>
      <c r="CN237" s="23">
        <f>$L237*BG237</f>
        <v>1</v>
      </c>
      <c r="CO237" s="23">
        <f>$L237*BH237</f>
        <v>1</v>
      </c>
      <c r="CP237" s="23">
        <f>$L237*BI237</f>
        <v>1</v>
      </c>
      <c r="CQ237" s="23">
        <f>$L237*BJ237</f>
        <v>1</v>
      </c>
      <c r="CR237" s="23">
        <f>$L237*BK237</f>
        <v>1</v>
      </c>
      <c r="CS237" s="23">
        <f>$L237*BL237</f>
        <v>1</v>
      </c>
      <c r="CT237" s="23">
        <f>$L237*BM237</f>
        <v>1</v>
      </c>
      <c r="CU237" s="23">
        <f>$L237*BN237</f>
        <v>1</v>
      </c>
      <c r="CV237" s="23">
        <f>$L237*BO237</f>
        <v>1</v>
      </c>
    </row>
    <row r="238" spans="1:100" ht="13.5" x14ac:dyDescent="0.15">
      <c r="A238" s="15">
        <v>115</v>
      </c>
      <c r="B238" s="28" t="s">
        <v>621</v>
      </c>
      <c r="C238" t="s">
        <v>414</v>
      </c>
      <c r="E238" t="s">
        <v>140</v>
      </c>
      <c r="F238" t="s">
        <v>415</v>
      </c>
      <c r="G238" t="s">
        <v>140</v>
      </c>
      <c r="H238" t="s">
        <v>141</v>
      </c>
      <c r="I238" s="6" t="s">
        <v>136</v>
      </c>
      <c r="J238" s="6">
        <v>0</v>
      </c>
      <c r="L238" s="15">
        <v>1</v>
      </c>
      <c r="M238" s="7">
        <v>46104</v>
      </c>
      <c r="N238" s="7">
        <v>46149</v>
      </c>
      <c r="O238" s="7">
        <v>46136</v>
      </c>
      <c r="P238" s="7">
        <v>46139</v>
      </c>
      <c r="S238" s="6" t="s">
        <v>140</v>
      </c>
      <c r="U238" s="6" t="s">
        <v>413</v>
      </c>
      <c r="V238" s="6" t="str">
        <f>TEXT(N238,"YY/MM")</f>
        <v>26/05</v>
      </c>
      <c r="W238">
        <v>1610</v>
      </c>
      <c r="AA238">
        <v>964</v>
      </c>
      <c r="AC238">
        <v>1017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>$L238*AI238</f>
        <v>0</v>
      </c>
      <c r="BQ238" s="23">
        <f>$L238*AJ238</f>
        <v>0</v>
      </c>
      <c r="BR238" s="23">
        <f>$L238*AK238</f>
        <v>0</v>
      </c>
      <c r="BS238" s="23">
        <f>$L238*AL238</f>
        <v>0</v>
      </c>
      <c r="BT238" s="23">
        <f>$L238*AM238</f>
        <v>0</v>
      </c>
      <c r="BU238" s="23">
        <f>$L238*AN238</f>
        <v>0</v>
      </c>
      <c r="BV238" s="23">
        <f>$L238*AO238</f>
        <v>0</v>
      </c>
      <c r="BW238" s="23">
        <f>$L238*AP238</f>
        <v>0</v>
      </c>
      <c r="BX238" s="23">
        <f>$L238*AQ238</f>
        <v>0</v>
      </c>
      <c r="BY238" s="23">
        <f>$L238*AR238</f>
        <v>0</v>
      </c>
      <c r="BZ238" s="23">
        <f>$L238*AS238</f>
        <v>0</v>
      </c>
      <c r="CA238" s="23">
        <f>$L238*AT238</f>
        <v>0</v>
      </c>
      <c r="CB238" s="23">
        <f>$L238*AU238</f>
        <v>0</v>
      </c>
      <c r="CC238" s="23">
        <f>$L238*AV238</f>
        <v>0</v>
      </c>
      <c r="CD238" s="23">
        <f>$L238*AW238</f>
        <v>0</v>
      </c>
      <c r="CE238" s="23">
        <f>$L238*AX238</f>
        <v>0</v>
      </c>
      <c r="CF238" s="23">
        <f>$L238*AY238</f>
        <v>0</v>
      </c>
      <c r="CG238" s="23">
        <f>$L238*AZ238</f>
        <v>0</v>
      </c>
      <c r="CH238" s="23">
        <f>$L238*BA238</f>
        <v>0</v>
      </c>
      <c r="CI238" s="23">
        <f>$L238*BB238</f>
        <v>0</v>
      </c>
      <c r="CJ238" s="23">
        <f>$L238*BC238</f>
        <v>0</v>
      </c>
      <c r="CK238" s="23">
        <f>$L238*BD238</f>
        <v>0</v>
      </c>
      <c r="CL238" s="23">
        <f>$L238*BE238</f>
        <v>0</v>
      </c>
      <c r="CM238" s="23">
        <f>$L238*BF238</f>
        <v>0</v>
      </c>
      <c r="CN238" s="23">
        <f>$L238*BG238</f>
        <v>1</v>
      </c>
      <c r="CO238" s="23">
        <f>$L238*BH238</f>
        <v>1</v>
      </c>
      <c r="CP238" s="23">
        <f>$L238*BI238</f>
        <v>1</v>
      </c>
      <c r="CQ238" s="23">
        <f>$L238*BJ238</f>
        <v>1</v>
      </c>
      <c r="CR238" s="23">
        <f>$L238*BK238</f>
        <v>1</v>
      </c>
      <c r="CS238" s="23">
        <f>$L238*BL238</f>
        <v>1</v>
      </c>
      <c r="CT238" s="23">
        <f>$L238*BM238</f>
        <v>1</v>
      </c>
      <c r="CU238" s="23">
        <f>$L238*BN238</f>
        <v>1</v>
      </c>
      <c r="CV238" s="23">
        <f>$L238*BO238</f>
        <v>1</v>
      </c>
    </row>
    <row r="239" spans="1:100" ht="13.5" x14ac:dyDescent="0.15">
      <c r="A239" s="15">
        <v>115</v>
      </c>
      <c r="B239" s="28" t="s">
        <v>622</v>
      </c>
      <c r="C239" t="s">
        <v>414</v>
      </c>
      <c r="E239" t="s">
        <v>140</v>
      </c>
      <c r="F239" t="s">
        <v>415</v>
      </c>
      <c r="G239" t="s">
        <v>140</v>
      </c>
      <c r="H239" t="s">
        <v>141</v>
      </c>
      <c r="I239" s="6" t="s">
        <v>136</v>
      </c>
      <c r="J239" s="6">
        <v>0</v>
      </c>
      <c r="L239" s="15">
        <v>1</v>
      </c>
      <c r="M239" s="7">
        <v>46104</v>
      </c>
      <c r="N239" s="7">
        <v>46149</v>
      </c>
      <c r="O239" s="7">
        <v>46136</v>
      </c>
      <c r="P239" s="7">
        <v>46139</v>
      </c>
      <c r="S239" s="6" t="s">
        <v>140</v>
      </c>
      <c r="U239" s="6" t="s">
        <v>413</v>
      </c>
      <c r="V239" s="6" t="str">
        <f>TEXT(N239,"YY/MM")</f>
        <v>26/05</v>
      </c>
      <c r="W239">
        <v>1611</v>
      </c>
      <c r="AA239">
        <v>965</v>
      </c>
      <c r="AC239">
        <v>1018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>$L239*AI239</f>
        <v>0</v>
      </c>
      <c r="BQ239" s="23">
        <f>$L239*AJ239</f>
        <v>0</v>
      </c>
      <c r="BR239" s="23">
        <f>$L239*AK239</f>
        <v>0</v>
      </c>
      <c r="BS239" s="23">
        <f>$L239*AL239</f>
        <v>0</v>
      </c>
      <c r="BT239" s="23">
        <f>$L239*AM239</f>
        <v>0</v>
      </c>
      <c r="BU239" s="23">
        <f>$L239*AN239</f>
        <v>0</v>
      </c>
      <c r="BV239" s="23">
        <f>$L239*AO239</f>
        <v>0</v>
      </c>
      <c r="BW239" s="23">
        <f>$L239*AP239</f>
        <v>0</v>
      </c>
      <c r="BX239" s="23">
        <f>$L239*AQ239</f>
        <v>0</v>
      </c>
      <c r="BY239" s="23">
        <f>$L239*AR239</f>
        <v>0</v>
      </c>
      <c r="BZ239" s="23">
        <f>$L239*AS239</f>
        <v>0</v>
      </c>
      <c r="CA239" s="23">
        <f>$L239*AT239</f>
        <v>0</v>
      </c>
      <c r="CB239" s="23">
        <f>$L239*AU239</f>
        <v>0</v>
      </c>
      <c r="CC239" s="23">
        <f>$L239*AV239</f>
        <v>0</v>
      </c>
      <c r="CD239" s="23">
        <f>$L239*AW239</f>
        <v>0</v>
      </c>
      <c r="CE239" s="23">
        <f>$L239*AX239</f>
        <v>0</v>
      </c>
      <c r="CF239" s="23">
        <f>$L239*AY239</f>
        <v>0</v>
      </c>
      <c r="CG239" s="23">
        <f>$L239*AZ239</f>
        <v>0</v>
      </c>
      <c r="CH239" s="23">
        <f>$L239*BA239</f>
        <v>0</v>
      </c>
      <c r="CI239" s="23">
        <f>$L239*BB239</f>
        <v>0</v>
      </c>
      <c r="CJ239" s="23">
        <f>$L239*BC239</f>
        <v>0</v>
      </c>
      <c r="CK239" s="23">
        <f>$L239*BD239</f>
        <v>0</v>
      </c>
      <c r="CL239" s="23">
        <f>$L239*BE239</f>
        <v>0</v>
      </c>
      <c r="CM239" s="23">
        <f>$L239*BF239</f>
        <v>0</v>
      </c>
      <c r="CN239" s="23">
        <f>$L239*BG239</f>
        <v>1</v>
      </c>
      <c r="CO239" s="23">
        <f>$L239*BH239</f>
        <v>1</v>
      </c>
      <c r="CP239" s="23">
        <f>$L239*BI239</f>
        <v>1</v>
      </c>
      <c r="CQ239" s="23">
        <f>$L239*BJ239</f>
        <v>1</v>
      </c>
      <c r="CR239" s="23">
        <f>$L239*BK239</f>
        <v>1</v>
      </c>
      <c r="CS239" s="23">
        <f>$L239*BL239</f>
        <v>1</v>
      </c>
      <c r="CT239" s="23">
        <f>$L239*BM239</f>
        <v>1</v>
      </c>
      <c r="CU239" s="23">
        <f>$L239*BN239</f>
        <v>1</v>
      </c>
      <c r="CV239" s="23">
        <f>$L239*BO239</f>
        <v>1</v>
      </c>
    </row>
    <row r="240" spans="1:100" ht="13.5" x14ac:dyDescent="0.15">
      <c r="A240" s="15">
        <v>115</v>
      </c>
      <c r="B240" s="28" t="s">
        <v>623</v>
      </c>
      <c r="C240" t="s">
        <v>414</v>
      </c>
      <c r="E240" t="s">
        <v>140</v>
      </c>
      <c r="F240" t="s">
        <v>415</v>
      </c>
      <c r="G240" t="s">
        <v>140</v>
      </c>
      <c r="H240" t="s">
        <v>141</v>
      </c>
      <c r="I240" s="6" t="s">
        <v>136</v>
      </c>
      <c r="J240" s="6">
        <v>0</v>
      </c>
      <c r="L240" s="15">
        <v>1</v>
      </c>
      <c r="M240" s="7">
        <v>46104</v>
      </c>
      <c r="N240" s="7">
        <v>46149</v>
      </c>
      <c r="O240" s="7">
        <v>46136</v>
      </c>
      <c r="P240" s="7">
        <v>46139</v>
      </c>
      <c r="S240" s="6" t="s">
        <v>140</v>
      </c>
      <c r="U240" s="6" t="s">
        <v>413</v>
      </c>
      <c r="V240" s="6" t="str">
        <f>TEXT(N240,"YY/MM")</f>
        <v>26/05</v>
      </c>
      <c r="W240">
        <v>1612</v>
      </c>
      <c r="AA240">
        <v>966</v>
      </c>
      <c r="AC240">
        <v>1019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>$L240*AI240</f>
        <v>0</v>
      </c>
      <c r="BQ240" s="23">
        <f>$L240*AJ240</f>
        <v>0</v>
      </c>
      <c r="BR240" s="23">
        <f>$L240*AK240</f>
        <v>0</v>
      </c>
      <c r="BS240" s="23">
        <f>$L240*AL240</f>
        <v>0</v>
      </c>
      <c r="BT240" s="23">
        <f>$L240*AM240</f>
        <v>0</v>
      </c>
      <c r="BU240" s="23">
        <f>$L240*AN240</f>
        <v>0</v>
      </c>
      <c r="BV240" s="23">
        <f>$L240*AO240</f>
        <v>0</v>
      </c>
      <c r="BW240" s="23">
        <f>$L240*AP240</f>
        <v>0</v>
      </c>
      <c r="BX240" s="23">
        <f>$L240*AQ240</f>
        <v>0</v>
      </c>
      <c r="BY240" s="23">
        <f>$L240*AR240</f>
        <v>0</v>
      </c>
      <c r="BZ240" s="23">
        <f>$L240*AS240</f>
        <v>0</v>
      </c>
      <c r="CA240" s="23">
        <f>$L240*AT240</f>
        <v>0</v>
      </c>
      <c r="CB240" s="23">
        <f>$L240*AU240</f>
        <v>0</v>
      </c>
      <c r="CC240" s="23">
        <f>$L240*AV240</f>
        <v>0</v>
      </c>
      <c r="CD240" s="23">
        <f>$L240*AW240</f>
        <v>0</v>
      </c>
      <c r="CE240" s="23">
        <f>$L240*AX240</f>
        <v>0</v>
      </c>
      <c r="CF240" s="23">
        <f>$L240*AY240</f>
        <v>0</v>
      </c>
      <c r="CG240" s="23">
        <f>$L240*AZ240</f>
        <v>0</v>
      </c>
      <c r="CH240" s="23">
        <f>$L240*BA240</f>
        <v>0</v>
      </c>
      <c r="CI240" s="23">
        <f>$L240*BB240</f>
        <v>0</v>
      </c>
      <c r="CJ240" s="23">
        <f>$L240*BC240</f>
        <v>0</v>
      </c>
      <c r="CK240" s="23">
        <f>$L240*BD240</f>
        <v>0</v>
      </c>
      <c r="CL240" s="23">
        <f>$L240*BE240</f>
        <v>0</v>
      </c>
      <c r="CM240" s="23">
        <f>$L240*BF240</f>
        <v>0</v>
      </c>
      <c r="CN240" s="23">
        <f>$L240*BG240</f>
        <v>1</v>
      </c>
      <c r="CO240" s="23">
        <f>$L240*BH240</f>
        <v>1</v>
      </c>
      <c r="CP240" s="23">
        <f>$L240*BI240</f>
        <v>1</v>
      </c>
      <c r="CQ240" s="23">
        <f>$L240*BJ240</f>
        <v>1</v>
      </c>
      <c r="CR240" s="23">
        <f>$L240*BK240</f>
        <v>1</v>
      </c>
      <c r="CS240" s="23">
        <f>$L240*BL240</f>
        <v>1</v>
      </c>
      <c r="CT240" s="23">
        <f>$L240*BM240</f>
        <v>1</v>
      </c>
      <c r="CU240" s="23">
        <f>$L240*BN240</f>
        <v>1</v>
      </c>
      <c r="CV240" s="23">
        <f>$L240*BO240</f>
        <v>1</v>
      </c>
    </row>
    <row r="241" spans="1:100" ht="13.5" x14ac:dyDescent="0.15">
      <c r="A241" s="15">
        <v>115</v>
      </c>
      <c r="B241" s="28" t="s">
        <v>624</v>
      </c>
      <c r="C241" t="s">
        <v>414</v>
      </c>
      <c r="E241" t="s">
        <v>140</v>
      </c>
      <c r="F241" t="s">
        <v>415</v>
      </c>
      <c r="G241" t="s">
        <v>140</v>
      </c>
      <c r="H241" t="s">
        <v>141</v>
      </c>
      <c r="I241" s="6" t="s">
        <v>136</v>
      </c>
      <c r="J241" s="6">
        <v>0</v>
      </c>
      <c r="L241" s="15">
        <v>1</v>
      </c>
      <c r="M241" s="7">
        <v>46104</v>
      </c>
      <c r="N241" s="7">
        <v>46149</v>
      </c>
      <c r="O241" s="7">
        <v>46136</v>
      </c>
      <c r="P241" s="7">
        <v>46139</v>
      </c>
      <c r="S241" s="6" t="s">
        <v>140</v>
      </c>
      <c r="U241" s="6" t="s">
        <v>413</v>
      </c>
      <c r="V241" s="6" t="str">
        <f>TEXT(N241,"YY/MM")</f>
        <v>26/05</v>
      </c>
      <c r="W241">
        <v>1613</v>
      </c>
      <c r="AA241">
        <v>967</v>
      </c>
      <c r="AC241">
        <v>1020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>$L241*AI241</f>
        <v>0</v>
      </c>
      <c r="BQ241" s="23">
        <f>$L241*AJ241</f>
        <v>0</v>
      </c>
      <c r="BR241" s="23">
        <f>$L241*AK241</f>
        <v>0</v>
      </c>
      <c r="BS241" s="23">
        <f>$L241*AL241</f>
        <v>0</v>
      </c>
      <c r="BT241" s="23">
        <f>$L241*AM241</f>
        <v>0</v>
      </c>
      <c r="BU241" s="23">
        <f>$L241*AN241</f>
        <v>0</v>
      </c>
      <c r="BV241" s="23">
        <f>$L241*AO241</f>
        <v>0</v>
      </c>
      <c r="BW241" s="23">
        <f>$L241*AP241</f>
        <v>0</v>
      </c>
      <c r="BX241" s="23">
        <f>$L241*AQ241</f>
        <v>0</v>
      </c>
      <c r="BY241" s="23">
        <f>$L241*AR241</f>
        <v>0</v>
      </c>
      <c r="BZ241" s="23">
        <f>$L241*AS241</f>
        <v>0</v>
      </c>
      <c r="CA241" s="23">
        <f>$L241*AT241</f>
        <v>0</v>
      </c>
      <c r="CB241" s="23">
        <f>$L241*AU241</f>
        <v>0</v>
      </c>
      <c r="CC241" s="23">
        <f>$L241*AV241</f>
        <v>0</v>
      </c>
      <c r="CD241" s="23">
        <f>$L241*AW241</f>
        <v>0</v>
      </c>
      <c r="CE241" s="23">
        <f>$L241*AX241</f>
        <v>0</v>
      </c>
      <c r="CF241" s="23">
        <f>$L241*AY241</f>
        <v>0</v>
      </c>
      <c r="CG241" s="23">
        <f>$L241*AZ241</f>
        <v>0</v>
      </c>
      <c r="CH241" s="23">
        <f>$L241*BA241</f>
        <v>0</v>
      </c>
      <c r="CI241" s="23">
        <f>$L241*BB241</f>
        <v>0</v>
      </c>
      <c r="CJ241" s="23">
        <f>$L241*BC241</f>
        <v>0</v>
      </c>
      <c r="CK241" s="23">
        <f>$L241*BD241</f>
        <v>0</v>
      </c>
      <c r="CL241" s="23">
        <f>$L241*BE241</f>
        <v>0</v>
      </c>
      <c r="CM241" s="23">
        <f>$L241*BF241</f>
        <v>0</v>
      </c>
      <c r="CN241" s="23">
        <f>$L241*BG241</f>
        <v>1</v>
      </c>
      <c r="CO241" s="23">
        <f>$L241*BH241</f>
        <v>1</v>
      </c>
      <c r="CP241" s="23">
        <f>$L241*BI241</f>
        <v>1</v>
      </c>
      <c r="CQ241" s="23">
        <f>$L241*BJ241</f>
        <v>1</v>
      </c>
      <c r="CR241" s="23">
        <f>$L241*BK241</f>
        <v>1</v>
      </c>
      <c r="CS241" s="23">
        <f>$L241*BL241</f>
        <v>1</v>
      </c>
      <c r="CT241" s="23">
        <f>$L241*BM241</f>
        <v>1</v>
      </c>
      <c r="CU241" s="23">
        <f>$L241*BN241</f>
        <v>1</v>
      </c>
      <c r="CV241" s="23">
        <f>$L241*BO241</f>
        <v>1</v>
      </c>
    </row>
    <row r="242" spans="1:100" ht="13.5" x14ac:dyDescent="0.15">
      <c r="A242" s="15">
        <v>115</v>
      </c>
      <c r="B242" s="28" t="s">
        <v>625</v>
      </c>
      <c r="C242" t="s">
        <v>414</v>
      </c>
      <c r="E242" t="s">
        <v>140</v>
      </c>
      <c r="F242" t="s">
        <v>415</v>
      </c>
      <c r="G242" t="s">
        <v>140</v>
      </c>
      <c r="H242" t="s">
        <v>141</v>
      </c>
      <c r="I242" s="6" t="s">
        <v>136</v>
      </c>
      <c r="J242" s="6">
        <v>0</v>
      </c>
      <c r="L242" s="15">
        <v>1</v>
      </c>
      <c r="M242" s="7">
        <v>46104</v>
      </c>
      <c r="N242" s="7">
        <v>46149</v>
      </c>
      <c r="O242" s="7">
        <v>46136</v>
      </c>
      <c r="P242" s="7">
        <v>46139</v>
      </c>
      <c r="S242" s="6" t="s">
        <v>140</v>
      </c>
      <c r="U242" s="6" t="s">
        <v>413</v>
      </c>
      <c r="V242" s="6" t="str">
        <f>TEXT(N242,"YY/MM")</f>
        <v>26/05</v>
      </c>
      <c r="W242">
        <v>1614</v>
      </c>
      <c r="AA242">
        <v>968</v>
      </c>
      <c r="AC242">
        <v>1021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>$L242*AI242</f>
        <v>0</v>
      </c>
      <c r="BQ242" s="23">
        <f>$L242*AJ242</f>
        <v>0</v>
      </c>
      <c r="BR242" s="23">
        <f>$L242*AK242</f>
        <v>0</v>
      </c>
      <c r="BS242" s="23">
        <f>$L242*AL242</f>
        <v>0</v>
      </c>
      <c r="BT242" s="23">
        <f>$L242*AM242</f>
        <v>0</v>
      </c>
      <c r="BU242" s="23">
        <f>$L242*AN242</f>
        <v>0</v>
      </c>
      <c r="BV242" s="23">
        <f>$L242*AO242</f>
        <v>0</v>
      </c>
      <c r="BW242" s="23">
        <f>$L242*AP242</f>
        <v>0</v>
      </c>
      <c r="BX242" s="23">
        <f>$L242*AQ242</f>
        <v>0</v>
      </c>
      <c r="BY242" s="23">
        <f>$L242*AR242</f>
        <v>0</v>
      </c>
      <c r="BZ242" s="23">
        <f>$L242*AS242</f>
        <v>0</v>
      </c>
      <c r="CA242" s="23">
        <f>$L242*AT242</f>
        <v>0</v>
      </c>
      <c r="CB242" s="23">
        <f>$L242*AU242</f>
        <v>0</v>
      </c>
      <c r="CC242" s="23">
        <f>$L242*AV242</f>
        <v>0</v>
      </c>
      <c r="CD242" s="23">
        <f>$L242*AW242</f>
        <v>0</v>
      </c>
      <c r="CE242" s="23">
        <f>$L242*AX242</f>
        <v>0</v>
      </c>
      <c r="CF242" s="23">
        <f>$L242*AY242</f>
        <v>0</v>
      </c>
      <c r="CG242" s="23">
        <f>$L242*AZ242</f>
        <v>0</v>
      </c>
      <c r="CH242" s="23">
        <f>$L242*BA242</f>
        <v>0</v>
      </c>
      <c r="CI242" s="23">
        <f>$L242*BB242</f>
        <v>0</v>
      </c>
      <c r="CJ242" s="23">
        <f>$L242*BC242</f>
        <v>0</v>
      </c>
      <c r="CK242" s="23">
        <f>$L242*BD242</f>
        <v>0</v>
      </c>
      <c r="CL242" s="23">
        <f>$L242*BE242</f>
        <v>0</v>
      </c>
      <c r="CM242" s="23">
        <f>$L242*BF242</f>
        <v>0</v>
      </c>
      <c r="CN242" s="23">
        <f>$L242*BG242</f>
        <v>1</v>
      </c>
      <c r="CO242" s="23">
        <f>$L242*BH242</f>
        <v>1</v>
      </c>
      <c r="CP242" s="23">
        <f>$L242*BI242</f>
        <v>1</v>
      </c>
      <c r="CQ242" s="23">
        <f>$L242*BJ242</f>
        <v>1</v>
      </c>
      <c r="CR242" s="23">
        <f>$L242*BK242</f>
        <v>1</v>
      </c>
      <c r="CS242" s="23">
        <f>$L242*BL242</f>
        <v>1</v>
      </c>
      <c r="CT242" s="23">
        <f>$L242*BM242</f>
        <v>1</v>
      </c>
      <c r="CU242" s="23">
        <f>$L242*BN242</f>
        <v>1</v>
      </c>
      <c r="CV242" s="23">
        <f>$L242*BO242</f>
        <v>1</v>
      </c>
    </row>
    <row r="243" spans="1:100" ht="13.5" x14ac:dyDescent="0.15">
      <c r="A243" s="15">
        <v>115</v>
      </c>
      <c r="B243" s="28" t="s">
        <v>626</v>
      </c>
      <c r="C243" t="s">
        <v>414</v>
      </c>
      <c r="E243" t="s">
        <v>140</v>
      </c>
      <c r="F243" t="s">
        <v>415</v>
      </c>
      <c r="G243" t="s">
        <v>140</v>
      </c>
      <c r="H243" t="s">
        <v>141</v>
      </c>
      <c r="I243" s="6" t="s">
        <v>136</v>
      </c>
      <c r="J243" s="6">
        <v>0</v>
      </c>
      <c r="L243" s="15">
        <v>1</v>
      </c>
      <c r="M243" s="7">
        <v>46104</v>
      </c>
      <c r="N243" s="7">
        <v>46149</v>
      </c>
      <c r="O243" s="7">
        <v>46136</v>
      </c>
      <c r="P243" s="7">
        <v>46139</v>
      </c>
      <c r="S243" s="6" t="s">
        <v>140</v>
      </c>
      <c r="U243" s="6" t="s">
        <v>413</v>
      </c>
      <c r="V243" s="6" t="str">
        <f>TEXT(N243,"YY/MM")</f>
        <v>26/05</v>
      </c>
      <c r="W243">
        <v>1615</v>
      </c>
      <c r="AA243">
        <v>969</v>
      </c>
      <c r="AC243">
        <v>1022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>$L243*AI243</f>
        <v>0</v>
      </c>
      <c r="BQ243" s="23">
        <f>$L243*AJ243</f>
        <v>0</v>
      </c>
      <c r="BR243" s="23">
        <f>$L243*AK243</f>
        <v>0</v>
      </c>
      <c r="BS243" s="23">
        <f>$L243*AL243</f>
        <v>0</v>
      </c>
      <c r="BT243" s="23">
        <f>$L243*AM243</f>
        <v>0</v>
      </c>
      <c r="BU243" s="23">
        <f>$L243*AN243</f>
        <v>0</v>
      </c>
      <c r="BV243" s="23">
        <f>$L243*AO243</f>
        <v>0</v>
      </c>
      <c r="BW243" s="23">
        <f>$L243*AP243</f>
        <v>0</v>
      </c>
      <c r="BX243" s="23">
        <f>$L243*AQ243</f>
        <v>0</v>
      </c>
      <c r="BY243" s="23">
        <f>$L243*AR243</f>
        <v>0</v>
      </c>
      <c r="BZ243" s="23">
        <f>$L243*AS243</f>
        <v>0</v>
      </c>
      <c r="CA243" s="23">
        <f>$L243*AT243</f>
        <v>0</v>
      </c>
      <c r="CB243" s="23">
        <f>$L243*AU243</f>
        <v>0</v>
      </c>
      <c r="CC243" s="23">
        <f>$L243*AV243</f>
        <v>0</v>
      </c>
      <c r="CD243" s="23">
        <f>$L243*AW243</f>
        <v>0</v>
      </c>
      <c r="CE243" s="23">
        <f>$L243*AX243</f>
        <v>0</v>
      </c>
      <c r="CF243" s="23">
        <f>$L243*AY243</f>
        <v>0</v>
      </c>
      <c r="CG243" s="23">
        <f>$L243*AZ243</f>
        <v>0</v>
      </c>
      <c r="CH243" s="23">
        <f>$L243*BA243</f>
        <v>0</v>
      </c>
      <c r="CI243" s="23">
        <f>$L243*BB243</f>
        <v>0</v>
      </c>
      <c r="CJ243" s="23">
        <f>$L243*BC243</f>
        <v>0</v>
      </c>
      <c r="CK243" s="23">
        <f>$L243*BD243</f>
        <v>0</v>
      </c>
      <c r="CL243" s="23">
        <f>$L243*BE243</f>
        <v>0</v>
      </c>
      <c r="CM243" s="23">
        <f>$L243*BF243</f>
        <v>0</v>
      </c>
      <c r="CN243" s="23">
        <f>$L243*BG243</f>
        <v>1</v>
      </c>
      <c r="CO243" s="23">
        <f>$L243*BH243</f>
        <v>1</v>
      </c>
      <c r="CP243" s="23">
        <f>$L243*BI243</f>
        <v>1</v>
      </c>
      <c r="CQ243" s="23">
        <f>$L243*BJ243</f>
        <v>1</v>
      </c>
      <c r="CR243" s="23">
        <f>$L243*BK243</f>
        <v>1</v>
      </c>
      <c r="CS243" s="23">
        <f>$L243*BL243</f>
        <v>1</v>
      </c>
      <c r="CT243" s="23">
        <f>$L243*BM243</f>
        <v>1</v>
      </c>
      <c r="CU243" s="23">
        <f>$L243*BN243</f>
        <v>1</v>
      </c>
      <c r="CV243" s="23">
        <f>$L243*BO243</f>
        <v>1</v>
      </c>
    </row>
    <row r="244" spans="1:100" ht="13.5" x14ac:dyDescent="0.15">
      <c r="A244" s="15">
        <v>115</v>
      </c>
      <c r="B244" s="28" t="s">
        <v>627</v>
      </c>
      <c r="C244" t="s">
        <v>414</v>
      </c>
      <c r="E244" t="s">
        <v>140</v>
      </c>
      <c r="F244" t="s">
        <v>415</v>
      </c>
      <c r="G244" t="s">
        <v>140</v>
      </c>
      <c r="H244" t="s">
        <v>141</v>
      </c>
      <c r="I244" s="6" t="s">
        <v>136</v>
      </c>
      <c r="J244" s="6">
        <v>0</v>
      </c>
      <c r="L244" s="15">
        <v>1</v>
      </c>
      <c r="M244" s="7">
        <v>46104</v>
      </c>
      <c r="N244" s="7">
        <v>46150</v>
      </c>
      <c r="O244" s="7">
        <v>46136</v>
      </c>
      <c r="P244" s="7">
        <v>46139</v>
      </c>
      <c r="S244" s="6" t="s">
        <v>140</v>
      </c>
      <c r="U244" s="6" t="s">
        <v>413</v>
      </c>
      <c r="V244" s="6" t="str">
        <f>TEXT(N244,"YY/MM")</f>
        <v>26/05</v>
      </c>
      <c r="W244">
        <v>1616</v>
      </c>
      <c r="AA244">
        <v>970</v>
      </c>
      <c r="AC244">
        <v>1023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>$L244*AI244</f>
        <v>0</v>
      </c>
      <c r="BQ244" s="23">
        <f>$L244*AJ244</f>
        <v>0</v>
      </c>
      <c r="BR244" s="23">
        <f>$L244*AK244</f>
        <v>0</v>
      </c>
      <c r="BS244" s="23">
        <f>$L244*AL244</f>
        <v>0</v>
      </c>
      <c r="BT244" s="23">
        <f>$L244*AM244</f>
        <v>0</v>
      </c>
      <c r="BU244" s="23">
        <f>$L244*AN244</f>
        <v>0</v>
      </c>
      <c r="BV244" s="23">
        <f>$L244*AO244</f>
        <v>0</v>
      </c>
      <c r="BW244" s="23">
        <f>$L244*AP244</f>
        <v>0</v>
      </c>
      <c r="BX244" s="23">
        <f>$L244*AQ244</f>
        <v>0</v>
      </c>
      <c r="BY244" s="23">
        <f>$L244*AR244</f>
        <v>0</v>
      </c>
      <c r="BZ244" s="23">
        <f>$L244*AS244</f>
        <v>0</v>
      </c>
      <c r="CA244" s="23">
        <f>$L244*AT244</f>
        <v>0</v>
      </c>
      <c r="CB244" s="23">
        <f>$L244*AU244</f>
        <v>0</v>
      </c>
      <c r="CC244" s="23">
        <f>$L244*AV244</f>
        <v>0</v>
      </c>
      <c r="CD244" s="23">
        <f>$L244*AW244</f>
        <v>0</v>
      </c>
      <c r="CE244" s="23">
        <f>$L244*AX244</f>
        <v>0</v>
      </c>
      <c r="CF244" s="23">
        <f>$L244*AY244</f>
        <v>0</v>
      </c>
      <c r="CG244" s="23">
        <f>$L244*AZ244</f>
        <v>0</v>
      </c>
      <c r="CH244" s="23">
        <f>$L244*BA244</f>
        <v>0</v>
      </c>
      <c r="CI244" s="23">
        <f>$L244*BB244</f>
        <v>0</v>
      </c>
      <c r="CJ244" s="23">
        <f>$L244*BC244</f>
        <v>0</v>
      </c>
      <c r="CK244" s="23">
        <f>$L244*BD244</f>
        <v>0</v>
      </c>
      <c r="CL244" s="23">
        <f>$L244*BE244</f>
        <v>0</v>
      </c>
      <c r="CM244" s="23">
        <f>$L244*BF244</f>
        <v>0</v>
      </c>
      <c r="CN244" s="23">
        <f>$L244*BG244</f>
        <v>1</v>
      </c>
      <c r="CO244" s="23">
        <f>$L244*BH244</f>
        <v>1</v>
      </c>
      <c r="CP244" s="23">
        <f>$L244*BI244</f>
        <v>1</v>
      </c>
      <c r="CQ244" s="23">
        <f>$L244*BJ244</f>
        <v>1</v>
      </c>
      <c r="CR244" s="23">
        <f>$L244*BK244</f>
        <v>1</v>
      </c>
      <c r="CS244" s="23">
        <f>$L244*BL244</f>
        <v>1</v>
      </c>
      <c r="CT244" s="23">
        <f>$L244*BM244</f>
        <v>1</v>
      </c>
      <c r="CU244" s="23">
        <f>$L244*BN244</f>
        <v>1</v>
      </c>
      <c r="CV244" s="23">
        <f>$L244*BO244</f>
        <v>1</v>
      </c>
    </row>
    <row r="245" spans="1:100" ht="13.5" x14ac:dyDescent="0.15">
      <c r="A245" s="15">
        <v>115</v>
      </c>
      <c r="B245" s="28" t="s">
        <v>628</v>
      </c>
      <c r="C245" t="s">
        <v>414</v>
      </c>
      <c r="E245" t="s">
        <v>140</v>
      </c>
      <c r="F245" t="s">
        <v>415</v>
      </c>
      <c r="G245" t="s">
        <v>140</v>
      </c>
      <c r="H245" t="s">
        <v>141</v>
      </c>
      <c r="I245" s="6" t="s">
        <v>136</v>
      </c>
      <c r="J245" s="6">
        <v>0</v>
      </c>
      <c r="L245" s="15">
        <v>1</v>
      </c>
      <c r="M245" s="7">
        <v>46104</v>
      </c>
      <c r="N245" s="7">
        <v>46150</v>
      </c>
      <c r="O245" s="7">
        <v>46136</v>
      </c>
      <c r="P245" s="7">
        <v>46139</v>
      </c>
      <c r="S245" s="6" t="s">
        <v>140</v>
      </c>
      <c r="U245" s="6" t="s">
        <v>413</v>
      </c>
      <c r="V245" s="6" t="str">
        <f>TEXT(N245,"YY/MM")</f>
        <v>26/05</v>
      </c>
      <c r="W245">
        <v>1617</v>
      </c>
      <c r="AA245">
        <v>971</v>
      </c>
      <c r="AC245">
        <v>1024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>$L245*AI245</f>
        <v>0</v>
      </c>
      <c r="BQ245" s="23">
        <f>$L245*AJ245</f>
        <v>0</v>
      </c>
      <c r="BR245" s="23">
        <f>$L245*AK245</f>
        <v>0</v>
      </c>
      <c r="BS245" s="23">
        <f>$L245*AL245</f>
        <v>0</v>
      </c>
      <c r="BT245" s="23">
        <f>$L245*AM245</f>
        <v>0</v>
      </c>
      <c r="BU245" s="23">
        <f>$L245*AN245</f>
        <v>0</v>
      </c>
      <c r="BV245" s="23">
        <f>$L245*AO245</f>
        <v>0</v>
      </c>
      <c r="BW245" s="23">
        <f>$L245*AP245</f>
        <v>0</v>
      </c>
      <c r="BX245" s="23">
        <f>$L245*AQ245</f>
        <v>0</v>
      </c>
      <c r="BY245" s="23">
        <f>$L245*AR245</f>
        <v>0</v>
      </c>
      <c r="BZ245" s="23">
        <f>$L245*AS245</f>
        <v>0</v>
      </c>
      <c r="CA245" s="23">
        <f>$L245*AT245</f>
        <v>0</v>
      </c>
      <c r="CB245" s="23">
        <f>$L245*AU245</f>
        <v>0</v>
      </c>
      <c r="CC245" s="23">
        <f>$L245*AV245</f>
        <v>0</v>
      </c>
      <c r="CD245" s="23">
        <f>$L245*AW245</f>
        <v>0</v>
      </c>
      <c r="CE245" s="23">
        <f>$L245*AX245</f>
        <v>0</v>
      </c>
      <c r="CF245" s="23">
        <f>$L245*AY245</f>
        <v>0</v>
      </c>
      <c r="CG245" s="23">
        <f>$L245*AZ245</f>
        <v>0</v>
      </c>
      <c r="CH245" s="23">
        <f>$L245*BA245</f>
        <v>0</v>
      </c>
      <c r="CI245" s="23">
        <f>$L245*BB245</f>
        <v>0</v>
      </c>
      <c r="CJ245" s="23">
        <f>$L245*BC245</f>
        <v>0</v>
      </c>
      <c r="CK245" s="23">
        <f>$L245*BD245</f>
        <v>0</v>
      </c>
      <c r="CL245" s="23">
        <f>$L245*BE245</f>
        <v>0</v>
      </c>
      <c r="CM245" s="23">
        <f>$L245*BF245</f>
        <v>0</v>
      </c>
      <c r="CN245" s="23">
        <f>$L245*BG245</f>
        <v>1</v>
      </c>
      <c r="CO245" s="23">
        <f>$L245*BH245</f>
        <v>1</v>
      </c>
      <c r="CP245" s="23">
        <f>$L245*BI245</f>
        <v>1</v>
      </c>
      <c r="CQ245" s="23">
        <f>$L245*BJ245</f>
        <v>1</v>
      </c>
      <c r="CR245" s="23">
        <f>$L245*BK245</f>
        <v>1</v>
      </c>
      <c r="CS245" s="23">
        <f>$L245*BL245</f>
        <v>1</v>
      </c>
      <c r="CT245" s="23">
        <f>$L245*BM245</f>
        <v>1</v>
      </c>
      <c r="CU245" s="23">
        <f>$L245*BN245</f>
        <v>1</v>
      </c>
      <c r="CV245" s="23">
        <f>$L245*BO245</f>
        <v>1</v>
      </c>
    </row>
    <row r="246" spans="1:100" ht="13.5" x14ac:dyDescent="0.15">
      <c r="A246" s="15">
        <v>115</v>
      </c>
      <c r="B246" s="28" t="s">
        <v>629</v>
      </c>
      <c r="C246" t="s">
        <v>414</v>
      </c>
      <c r="E246" t="s">
        <v>140</v>
      </c>
      <c r="F246" t="s">
        <v>415</v>
      </c>
      <c r="G246" t="s">
        <v>140</v>
      </c>
      <c r="H246" t="s">
        <v>141</v>
      </c>
      <c r="I246" s="6" t="s">
        <v>136</v>
      </c>
      <c r="J246" s="6">
        <v>0</v>
      </c>
      <c r="L246" s="15">
        <v>1</v>
      </c>
      <c r="M246" s="7">
        <v>46104</v>
      </c>
      <c r="N246" s="7">
        <v>46150</v>
      </c>
      <c r="O246" s="7">
        <v>46136</v>
      </c>
      <c r="P246" s="7">
        <v>46139</v>
      </c>
      <c r="S246" s="6" t="s">
        <v>140</v>
      </c>
      <c r="U246" s="6" t="s">
        <v>413</v>
      </c>
      <c r="V246" s="6" t="str">
        <f>TEXT(N246,"YY/MM")</f>
        <v>26/05</v>
      </c>
      <c r="W246">
        <v>1618</v>
      </c>
      <c r="AA246">
        <v>972</v>
      </c>
      <c r="AC246">
        <v>1025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>$L246*AI246</f>
        <v>0</v>
      </c>
      <c r="BQ246" s="23">
        <f>$L246*AJ246</f>
        <v>0</v>
      </c>
      <c r="BR246" s="23">
        <f>$L246*AK246</f>
        <v>0</v>
      </c>
      <c r="BS246" s="23">
        <f>$L246*AL246</f>
        <v>0</v>
      </c>
      <c r="BT246" s="23">
        <f>$L246*AM246</f>
        <v>0</v>
      </c>
      <c r="BU246" s="23">
        <f>$L246*AN246</f>
        <v>0</v>
      </c>
      <c r="BV246" s="23">
        <f>$L246*AO246</f>
        <v>0</v>
      </c>
      <c r="BW246" s="23">
        <f>$L246*AP246</f>
        <v>0</v>
      </c>
      <c r="BX246" s="23">
        <f>$L246*AQ246</f>
        <v>0</v>
      </c>
      <c r="BY246" s="23">
        <f>$L246*AR246</f>
        <v>0</v>
      </c>
      <c r="BZ246" s="23">
        <f>$L246*AS246</f>
        <v>0</v>
      </c>
      <c r="CA246" s="23">
        <f>$L246*AT246</f>
        <v>0</v>
      </c>
      <c r="CB246" s="23">
        <f>$L246*AU246</f>
        <v>0</v>
      </c>
      <c r="CC246" s="23">
        <f>$L246*AV246</f>
        <v>0</v>
      </c>
      <c r="CD246" s="23">
        <f>$L246*AW246</f>
        <v>0</v>
      </c>
      <c r="CE246" s="23">
        <f>$L246*AX246</f>
        <v>0</v>
      </c>
      <c r="CF246" s="23">
        <f>$L246*AY246</f>
        <v>0</v>
      </c>
      <c r="CG246" s="23">
        <f>$L246*AZ246</f>
        <v>0</v>
      </c>
      <c r="CH246" s="23">
        <f>$L246*BA246</f>
        <v>0</v>
      </c>
      <c r="CI246" s="23">
        <f>$L246*BB246</f>
        <v>0</v>
      </c>
      <c r="CJ246" s="23">
        <f>$L246*BC246</f>
        <v>0</v>
      </c>
      <c r="CK246" s="23">
        <f>$L246*BD246</f>
        <v>0</v>
      </c>
      <c r="CL246" s="23">
        <f>$L246*BE246</f>
        <v>0</v>
      </c>
      <c r="CM246" s="23">
        <f>$L246*BF246</f>
        <v>0</v>
      </c>
      <c r="CN246" s="23">
        <f>$L246*BG246</f>
        <v>1</v>
      </c>
      <c r="CO246" s="23">
        <f>$L246*BH246</f>
        <v>1</v>
      </c>
      <c r="CP246" s="23">
        <f>$L246*BI246</f>
        <v>1</v>
      </c>
      <c r="CQ246" s="23">
        <f>$L246*BJ246</f>
        <v>1</v>
      </c>
      <c r="CR246" s="23">
        <f>$L246*BK246</f>
        <v>1</v>
      </c>
      <c r="CS246" s="23">
        <f>$L246*BL246</f>
        <v>1</v>
      </c>
      <c r="CT246" s="23">
        <f>$L246*BM246</f>
        <v>1</v>
      </c>
      <c r="CU246" s="23">
        <f>$L246*BN246</f>
        <v>1</v>
      </c>
      <c r="CV246" s="23">
        <f>$L246*BO246</f>
        <v>1</v>
      </c>
    </row>
    <row r="247" spans="1:100" ht="13.5" x14ac:dyDescent="0.15">
      <c r="A247" s="15">
        <v>115</v>
      </c>
      <c r="B247" s="28" t="s">
        <v>630</v>
      </c>
      <c r="C247" t="s">
        <v>414</v>
      </c>
      <c r="E247" t="s">
        <v>140</v>
      </c>
      <c r="F247" t="s">
        <v>415</v>
      </c>
      <c r="G247" t="s">
        <v>140</v>
      </c>
      <c r="H247" t="s">
        <v>141</v>
      </c>
      <c r="I247" s="6" t="s">
        <v>136</v>
      </c>
      <c r="J247" s="6">
        <v>0</v>
      </c>
      <c r="L247" s="15">
        <v>1</v>
      </c>
      <c r="M247" s="7">
        <v>46104</v>
      </c>
      <c r="N247" s="7">
        <v>46150</v>
      </c>
      <c r="O247" s="7">
        <v>46136</v>
      </c>
      <c r="P247" s="7">
        <v>46139</v>
      </c>
      <c r="S247" s="6" t="s">
        <v>140</v>
      </c>
      <c r="U247" s="6" t="s">
        <v>413</v>
      </c>
      <c r="V247" s="6" t="str">
        <f>TEXT(N247,"YY/MM")</f>
        <v>26/05</v>
      </c>
      <c r="W247">
        <v>1619</v>
      </c>
      <c r="AA247">
        <v>973</v>
      </c>
      <c r="AC247">
        <v>1026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>$L247*AI247</f>
        <v>0</v>
      </c>
      <c r="BQ247" s="23">
        <f>$L247*AJ247</f>
        <v>0</v>
      </c>
      <c r="BR247" s="23">
        <f>$L247*AK247</f>
        <v>0</v>
      </c>
      <c r="BS247" s="23">
        <f>$L247*AL247</f>
        <v>0</v>
      </c>
      <c r="BT247" s="23">
        <f>$L247*AM247</f>
        <v>0</v>
      </c>
      <c r="BU247" s="23">
        <f>$L247*AN247</f>
        <v>0</v>
      </c>
      <c r="BV247" s="23">
        <f>$L247*AO247</f>
        <v>0</v>
      </c>
      <c r="BW247" s="23">
        <f>$L247*AP247</f>
        <v>0</v>
      </c>
      <c r="BX247" s="23">
        <f>$L247*AQ247</f>
        <v>0</v>
      </c>
      <c r="BY247" s="23">
        <f>$L247*AR247</f>
        <v>0</v>
      </c>
      <c r="BZ247" s="23">
        <f>$L247*AS247</f>
        <v>0</v>
      </c>
      <c r="CA247" s="23">
        <f>$L247*AT247</f>
        <v>0</v>
      </c>
      <c r="CB247" s="23">
        <f>$L247*AU247</f>
        <v>0</v>
      </c>
      <c r="CC247" s="23">
        <f>$L247*AV247</f>
        <v>0</v>
      </c>
      <c r="CD247" s="23">
        <f>$L247*AW247</f>
        <v>0</v>
      </c>
      <c r="CE247" s="23">
        <f>$L247*AX247</f>
        <v>0</v>
      </c>
      <c r="CF247" s="23">
        <f>$L247*AY247</f>
        <v>0</v>
      </c>
      <c r="CG247" s="23">
        <f>$L247*AZ247</f>
        <v>0</v>
      </c>
      <c r="CH247" s="23">
        <f>$L247*BA247</f>
        <v>0</v>
      </c>
      <c r="CI247" s="23">
        <f>$L247*BB247</f>
        <v>0</v>
      </c>
      <c r="CJ247" s="23">
        <f>$L247*BC247</f>
        <v>0</v>
      </c>
      <c r="CK247" s="23">
        <f>$L247*BD247</f>
        <v>0</v>
      </c>
      <c r="CL247" s="23">
        <f>$L247*BE247</f>
        <v>0</v>
      </c>
      <c r="CM247" s="23">
        <f>$L247*BF247</f>
        <v>0</v>
      </c>
      <c r="CN247" s="23">
        <f>$L247*BG247</f>
        <v>1</v>
      </c>
      <c r="CO247" s="23">
        <f>$L247*BH247</f>
        <v>1</v>
      </c>
      <c r="CP247" s="23">
        <f>$L247*BI247</f>
        <v>1</v>
      </c>
      <c r="CQ247" s="23">
        <f>$L247*BJ247</f>
        <v>1</v>
      </c>
      <c r="CR247" s="23">
        <f>$L247*BK247</f>
        <v>1</v>
      </c>
      <c r="CS247" s="23">
        <f>$L247*BL247</f>
        <v>1</v>
      </c>
      <c r="CT247" s="23">
        <f>$L247*BM247</f>
        <v>1</v>
      </c>
      <c r="CU247" s="23">
        <f>$L247*BN247</f>
        <v>1</v>
      </c>
      <c r="CV247" s="23">
        <f>$L247*BO247</f>
        <v>1</v>
      </c>
    </row>
    <row r="248" spans="1:100" ht="13.5" x14ac:dyDescent="0.15">
      <c r="A248" s="15">
        <v>115</v>
      </c>
      <c r="B248" s="28" t="s">
        <v>631</v>
      </c>
      <c r="C248" t="s">
        <v>414</v>
      </c>
      <c r="E248" t="s">
        <v>140</v>
      </c>
      <c r="F248" t="s">
        <v>415</v>
      </c>
      <c r="G248" t="s">
        <v>140</v>
      </c>
      <c r="H248" t="s">
        <v>141</v>
      </c>
      <c r="I248" s="6" t="s">
        <v>136</v>
      </c>
      <c r="J248" s="6">
        <v>0</v>
      </c>
      <c r="L248" s="15">
        <v>1</v>
      </c>
      <c r="M248" s="7">
        <v>46104</v>
      </c>
      <c r="N248" s="7">
        <v>46150</v>
      </c>
      <c r="O248" s="7">
        <v>46136</v>
      </c>
      <c r="P248" s="7">
        <v>46139</v>
      </c>
      <c r="S248" s="6" t="s">
        <v>140</v>
      </c>
      <c r="U248" s="6" t="s">
        <v>413</v>
      </c>
      <c r="V248" s="6" t="str">
        <f>TEXT(N248,"YY/MM")</f>
        <v>26/05</v>
      </c>
      <c r="W248">
        <v>1620</v>
      </c>
      <c r="AA248">
        <v>974</v>
      </c>
      <c r="AC248">
        <v>1027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>$L248*AI248</f>
        <v>0</v>
      </c>
      <c r="BQ248" s="23">
        <f>$L248*AJ248</f>
        <v>0</v>
      </c>
      <c r="BR248" s="23">
        <f>$L248*AK248</f>
        <v>0</v>
      </c>
      <c r="BS248" s="23">
        <f>$L248*AL248</f>
        <v>0</v>
      </c>
      <c r="BT248" s="23">
        <f>$L248*AM248</f>
        <v>0</v>
      </c>
      <c r="BU248" s="23">
        <f>$L248*AN248</f>
        <v>0</v>
      </c>
      <c r="BV248" s="23">
        <f>$L248*AO248</f>
        <v>0</v>
      </c>
      <c r="BW248" s="23">
        <f>$L248*AP248</f>
        <v>0</v>
      </c>
      <c r="BX248" s="23">
        <f>$L248*AQ248</f>
        <v>0</v>
      </c>
      <c r="BY248" s="23">
        <f>$L248*AR248</f>
        <v>0</v>
      </c>
      <c r="BZ248" s="23">
        <f>$L248*AS248</f>
        <v>0</v>
      </c>
      <c r="CA248" s="23">
        <f>$L248*AT248</f>
        <v>0</v>
      </c>
      <c r="CB248" s="23">
        <f>$L248*AU248</f>
        <v>0</v>
      </c>
      <c r="CC248" s="23">
        <f>$L248*AV248</f>
        <v>0</v>
      </c>
      <c r="CD248" s="23">
        <f>$L248*AW248</f>
        <v>0</v>
      </c>
      <c r="CE248" s="23">
        <f>$L248*AX248</f>
        <v>0</v>
      </c>
      <c r="CF248" s="23">
        <f>$L248*AY248</f>
        <v>0</v>
      </c>
      <c r="CG248" s="23">
        <f>$L248*AZ248</f>
        <v>0</v>
      </c>
      <c r="CH248" s="23">
        <f>$L248*BA248</f>
        <v>0</v>
      </c>
      <c r="CI248" s="23">
        <f>$L248*BB248</f>
        <v>0</v>
      </c>
      <c r="CJ248" s="23">
        <f>$L248*BC248</f>
        <v>0</v>
      </c>
      <c r="CK248" s="23">
        <f>$L248*BD248</f>
        <v>0</v>
      </c>
      <c r="CL248" s="23">
        <f>$L248*BE248</f>
        <v>0</v>
      </c>
      <c r="CM248" s="23">
        <f>$L248*BF248</f>
        <v>0</v>
      </c>
      <c r="CN248" s="23">
        <f>$L248*BG248</f>
        <v>1</v>
      </c>
      <c r="CO248" s="23">
        <f>$L248*BH248</f>
        <v>1</v>
      </c>
      <c r="CP248" s="23">
        <f>$L248*BI248</f>
        <v>1</v>
      </c>
      <c r="CQ248" s="23">
        <f>$L248*BJ248</f>
        <v>1</v>
      </c>
      <c r="CR248" s="23">
        <f>$L248*BK248</f>
        <v>1</v>
      </c>
      <c r="CS248" s="23">
        <f>$L248*BL248</f>
        <v>1</v>
      </c>
      <c r="CT248" s="23">
        <f>$L248*BM248</f>
        <v>1</v>
      </c>
      <c r="CU248" s="23">
        <f>$L248*BN248</f>
        <v>1</v>
      </c>
      <c r="CV248" s="23">
        <f>$L248*BO248</f>
        <v>1</v>
      </c>
    </row>
    <row r="249" spans="1:100" ht="13.5" x14ac:dyDescent="0.15">
      <c r="A249" s="15">
        <v>115</v>
      </c>
      <c r="B249" s="28" t="s">
        <v>632</v>
      </c>
      <c r="C249" t="s">
        <v>414</v>
      </c>
      <c r="E249" t="s">
        <v>140</v>
      </c>
      <c r="F249" t="s">
        <v>415</v>
      </c>
      <c r="G249" t="s">
        <v>140</v>
      </c>
      <c r="H249" t="s">
        <v>141</v>
      </c>
      <c r="I249" s="6" t="s">
        <v>136</v>
      </c>
      <c r="J249" s="6">
        <v>0</v>
      </c>
      <c r="L249" s="15">
        <v>1</v>
      </c>
      <c r="M249" s="7">
        <v>46104</v>
      </c>
      <c r="N249" s="7">
        <v>46150</v>
      </c>
      <c r="O249" s="7">
        <v>46136</v>
      </c>
      <c r="P249" s="7">
        <v>46139</v>
      </c>
      <c r="S249" s="6" t="s">
        <v>140</v>
      </c>
      <c r="U249" s="6" t="s">
        <v>413</v>
      </c>
      <c r="V249" s="6" t="str">
        <f>TEXT(N249,"YY/MM")</f>
        <v>26/05</v>
      </c>
      <c r="W249">
        <v>1621</v>
      </c>
      <c r="AA249">
        <v>975</v>
      </c>
      <c r="AC249">
        <v>1028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>$L249*AI249</f>
        <v>0</v>
      </c>
      <c r="BQ249" s="23">
        <f>$L249*AJ249</f>
        <v>0</v>
      </c>
      <c r="BR249" s="23">
        <f>$L249*AK249</f>
        <v>0</v>
      </c>
      <c r="BS249" s="23">
        <f>$L249*AL249</f>
        <v>0</v>
      </c>
      <c r="BT249" s="23">
        <f>$L249*AM249</f>
        <v>0</v>
      </c>
      <c r="BU249" s="23">
        <f>$L249*AN249</f>
        <v>0</v>
      </c>
      <c r="BV249" s="23">
        <f>$L249*AO249</f>
        <v>0</v>
      </c>
      <c r="BW249" s="23">
        <f>$L249*AP249</f>
        <v>0</v>
      </c>
      <c r="BX249" s="23">
        <f>$L249*AQ249</f>
        <v>0</v>
      </c>
      <c r="BY249" s="23">
        <f>$L249*AR249</f>
        <v>0</v>
      </c>
      <c r="BZ249" s="23">
        <f>$L249*AS249</f>
        <v>0</v>
      </c>
      <c r="CA249" s="23">
        <f>$L249*AT249</f>
        <v>0</v>
      </c>
      <c r="CB249" s="23">
        <f>$L249*AU249</f>
        <v>0</v>
      </c>
      <c r="CC249" s="23">
        <f>$L249*AV249</f>
        <v>0</v>
      </c>
      <c r="CD249" s="23">
        <f>$L249*AW249</f>
        <v>0</v>
      </c>
      <c r="CE249" s="23">
        <f>$L249*AX249</f>
        <v>0</v>
      </c>
      <c r="CF249" s="23">
        <f>$L249*AY249</f>
        <v>0</v>
      </c>
      <c r="CG249" s="23">
        <f>$L249*AZ249</f>
        <v>0</v>
      </c>
      <c r="CH249" s="23">
        <f>$L249*BA249</f>
        <v>0</v>
      </c>
      <c r="CI249" s="23">
        <f>$L249*BB249</f>
        <v>0</v>
      </c>
      <c r="CJ249" s="23">
        <f>$L249*BC249</f>
        <v>0</v>
      </c>
      <c r="CK249" s="23">
        <f>$L249*BD249</f>
        <v>0</v>
      </c>
      <c r="CL249" s="23">
        <f>$L249*BE249</f>
        <v>0</v>
      </c>
      <c r="CM249" s="23">
        <f>$L249*BF249</f>
        <v>0</v>
      </c>
      <c r="CN249" s="23">
        <f>$L249*BG249</f>
        <v>1</v>
      </c>
      <c r="CO249" s="23">
        <f>$L249*BH249</f>
        <v>1</v>
      </c>
      <c r="CP249" s="23">
        <f>$L249*BI249</f>
        <v>1</v>
      </c>
      <c r="CQ249" s="23">
        <f>$L249*BJ249</f>
        <v>1</v>
      </c>
      <c r="CR249" s="23">
        <f>$L249*BK249</f>
        <v>1</v>
      </c>
      <c r="CS249" s="23">
        <f>$L249*BL249</f>
        <v>1</v>
      </c>
      <c r="CT249" s="23">
        <f>$L249*BM249</f>
        <v>1</v>
      </c>
      <c r="CU249" s="23">
        <f>$L249*BN249</f>
        <v>1</v>
      </c>
      <c r="CV249" s="23">
        <f>$L249*BO249</f>
        <v>1</v>
      </c>
    </row>
    <row r="250" spans="1:100" ht="13.5" x14ac:dyDescent="0.15">
      <c r="A250" s="15">
        <v>115</v>
      </c>
      <c r="B250" s="28" t="s">
        <v>633</v>
      </c>
      <c r="C250" t="s">
        <v>414</v>
      </c>
      <c r="E250" t="s">
        <v>140</v>
      </c>
      <c r="F250" t="s">
        <v>415</v>
      </c>
      <c r="G250" t="s">
        <v>140</v>
      </c>
      <c r="H250" t="s">
        <v>141</v>
      </c>
      <c r="I250" s="6" t="s">
        <v>136</v>
      </c>
      <c r="J250" s="6">
        <v>0</v>
      </c>
      <c r="L250" s="15">
        <v>1</v>
      </c>
      <c r="M250" s="7">
        <v>46104</v>
      </c>
      <c r="N250" s="7">
        <v>46153</v>
      </c>
      <c r="O250" s="7">
        <v>46136</v>
      </c>
      <c r="P250" s="7">
        <v>46139</v>
      </c>
      <c r="S250" s="6" t="s">
        <v>140</v>
      </c>
      <c r="U250" s="6" t="s">
        <v>413</v>
      </c>
      <c r="V250" s="6" t="str">
        <f>TEXT(N250,"YY/MM")</f>
        <v>26/05</v>
      </c>
      <c r="W250">
        <v>1622</v>
      </c>
      <c r="AA250">
        <v>976</v>
      </c>
      <c r="AC250">
        <v>1029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>$L250*AI250</f>
        <v>0</v>
      </c>
      <c r="BQ250" s="23">
        <f>$L250*AJ250</f>
        <v>0</v>
      </c>
      <c r="BR250" s="23">
        <f>$L250*AK250</f>
        <v>0</v>
      </c>
      <c r="BS250" s="23">
        <f>$L250*AL250</f>
        <v>0</v>
      </c>
      <c r="BT250" s="23">
        <f>$L250*AM250</f>
        <v>0</v>
      </c>
      <c r="BU250" s="23">
        <f>$L250*AN250</f>
        <v>0</v>
      </c>
      <c r="BV250" s="23">
        <f>$L250*AO250</f>
        <v>0</v>
      </c>
      <c r="BW250" s="23">
        <f>$L250*AP250</f>
        <v>0</v>
      </c>
      <c r="BX250" s="23">
        <f>$L250*AQ250</f>
        <v>0</v>
      </c>
      <c r="BY250" s="23">
        <f>$L250*AR250</f>
        <v>0</v>
      </c>
      <c r="BZ250" s="23">
        <f>$L250*AS250</f>
        <v>0</v>
      </c>
      <c r="CA250" s="23">
        <f>$L250*AT250</f>
        <v>0</v>
      </c>
      <c r="CB250" s="23">
        <f>$L250*AU250</f>
        <v>0</v>
      </c>
      <c r="CC250" s="23">
        <f>$L250*AV250</f>
        <v>0</v>
      </c>
      <c r="CD250" s="23">
        <f>$L250*AW250</f>
        <v>0</v>
      </c>
      <c r="CE250" s="23">
        <f>$L250*AX250</f>
        <v>0</v>
      </c>
      <c r="CF250" s="23">
        <f>$L250*AY250</f>
        <v>0</v>
      </c>
      <c r="CG250" s="23">
        <f>$L250*AZ250</f>
        <v>0</v>
      </c>
      <c r="CH250" s="23">
        <f>$L250*BA250</f>
        <v>0</v>
      </c>
      <c r="CI250" s="23">
        <f>$L250*BB250</f>
        <v>0</v>
      </c>
      <c r="CJ250" s="23">
        <f>$L250*BC250</f>
        <v>0</v>
      </c>
      <c r="CK250" s="23">
        <f>$L250*BD250</f>
        <v>0</v>
      </c>
      <c r="CL250" s="23">
        <f>$L250*BE250</f>
        <v>0</v>
      </c>
      <c r="CM250" s="23">
        <f>$L250*BF250</f>
        <v>0</v>
      </c>
      <c r="CN250" s="23">
        <f>$L250*BG250</f>
        <v>1</v>
      </c>
      <c r="CO250" s="23">
        <f>$L250*BH250</f>
        <v>1</v>
      </c>
      <c r="CP250" s="23">
        <f>$L250*BI250</f>
        <v>1</v>
      </c>
      <c r="CQ250" s="23">
        <f>$L250*BJ250</f>
        <v>1</v>
      </c>
      <c r="CR250" s="23">
        <f>$L250*BK250</f>
        <v>1</v>
      </c>
      <c r="CS250" s="23">
        <f>$L250*BL250</f>
        <v>1</v>
      </c>
      <c r="CT250" s="23">
        <f>$L250*BM250</f>
        <v>1</v>
      </c>
      <c r="CU250" s="23">
        <f>$L250*BN250</f>
        <v>1</v>
      </c>
      <c r="CV250" s="23">
        <f>$L250*BO250</f>
        <v>1</v>
      </c>
    </row>
    <row r="251" spans="1:100" ht="13.5" x14ac:dyDescent="0.15">
      <c r="A251" s="15">
        <v>115</v>
      </c>
      <c r="B251" s="28" t="s">
        <v>634</v>
      </c>
      <c r="C251" t="s">
        <v>414</v>
      </c>
      <c r="E251" t="s">
        <v>140</v>
      </c>
      <c r="F251" t="s">
        <v>415</v>
      </c>
      <c r="G251" t="s">
        <v>140</v>
      </c>
      <c r="H251" t="s">
        <v>141</v>
      </c>
      <c r="I251" s="6" t="s">
        <v>136</v>
      </c>
      <c r="J251" s="6">
        <v>0</v>
      </c>
      <c r="L251" s="15">
        <v>1</v>
      </c>
      <c r="M251" s="7">
        <v>46104</v>
      </c>
      <c r="N251" s="7">
        <v>46153</v>
      </c>
      <c r="O251" s="7">
        <v>46136</v>
      </c>
      <c r="P251" s="7">
        <v>46139</v>
      </c>
      <c r="S251" s="6" t="s">
        <v>140</v>
      </c>
      <c r="U251" s="6" t="s">
        <v>413</v>
      </c>
      <c r="V251" s="6" t="str">
        <f>TEXT(N251,"YY/MM")</f>
        <v>26/05</v>
      </c>
      <c r="W251">
        <v>1623</v>
      </c>
      <c r="AA251">
        <v>977</v>
      </c>
      <c r="AC251">
        <v>1030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>$L251*AI251</f>
        <v>0</v>
      </c>
      <c r="BQ251" s="23">
        <f>$L251*AJ251</f>
        <v>0</v>
      </c>
      <c r="BR251" s="23">
        <f>$L251*AK251</f>
        <v>0</v>
      </c>
      <c r="BS251" s="23">
        <f>$L251*AL251</f>
        <v>0</v>
      </c>
      <c r="BT251" s="23">
        <f>$L251*AM251</f>
        <v>0</v>
      </c>
      <c r="BU251" s="23">
        <f>$L251*AN251</f>
        <v>0</v>
      </c>
      <c r="BV251" s="23">
        <f>$L251*AO251</f>
        <v>0</v>
      </c>
      <c r="BW251" s="23">
        <f>$L251*AP251</f>
        <v>0</v>
      </c>
      <c r="BX251" s="23">
        <f>$L251*AQ251</f>
        <v>0</v>
      </c>
      <c r="BY251" s="23">
        <f>$L251*AR251</f>
        <v>0</v>
      </c>
      <c r="BZ251" s="23">
        <f>$L251*AS251</f>
        <v>0</v>
      </c>
      <c r="CA251" s="23">
        <f>$L251*AT251</f>
        <v>0</v>
      </c>
      <c r="CB251" s="23">
        <f>$L251*AU251</f>
        <v>0</v>
      </c>
      <c r="CC251" s="23">
        <f>$L251*AV251</f>
        <v>0</v>
      </c>
      <c r="CD251" s="23">
        <f>$L251*AW251</f>
        <v>0</v>
      </c>
      <c r="CE251" s="23">
        <f>$L251*AX251</f>
        <v>0</v>
      </c>
      <c r="CF251" s="23">
        <f>$L251*AY251</f>
        <v>0</v>
      </c>
      <c r="CG251" s="23">
        <f>$L251*AZ251</f>
        <v>0</v>
      </c>
      <c r="CH251" s="23">
        <f>$L251*BA251</f>
        <v>0</v>
      </c>
      <c r="CI251" s="23">
        <f>$L251*BB251</f>
        <v>0</v>
      </c>
      <c r="CJ251" s="23">
        <f>$L251*BC251</f>
        <v>0</v>
      </c>
      <c r="CK251" s="23">
        <f>$L251*BD251</f>
        <v>0</v>
      </c>
      <c r="CL251" s="23">
        <f>$L251*BE251</f>
        <v>0</v>
      </c>
      <c r="CM251" s="23">
        <f>$L251*BF251</f>
        <v>0</v>
      </c>
      <c r="CN251" s="23">
        <f>$L251*BG251</f>
        <v>1</v>
      </c>
      <c r="CO251" s="23">
        <f>$L251*BH251</f>
        <v>1</v>
      </c>
      <c r="CP251" s="23">
        <f>$L251*BI251</f>
        <v>1</v>
      </c>
      <c r="CQ251" s="23">
        <f>$L251*BJ251</f>
        <v>1</v>
      </c>
      <c r="CR251" s="23">
        <f>$L251*BK251</f>
        <v>1</v>
      </c>
      <c r="CS251" s="23">
        <f>$L251*BL251</f>
        <v>1</v>
      </c>
      <c r="CT251" s="23">
        <f>$L251*BM251</f>
        <v>1</v>
      </c>
      <c r="CU251" s="23">
        <f>$L251*BN251</f>
        <v>1</v>
      </c>
      <c r="CV251" s="23">
        <f>$L251*BO251</f>
        <v>1</v>
      </c>
    </row>
    <row r="252" spans="1:100" ht="13.5" x14ac:dyDescent="0.15">
      <c r="A252" s="15">
        <v>115</v>
      </c>
      <c r="B252" s="28" t="s">
        <v>635</v>
      </c>
      <c r="C252" t="s">
        <v>414</v>
      </c>
      <c r="E252" t="s">
        <v>140</v>
      </c>
      <c r="F252" t="s">
        <v>415</v>
      </c>
      <c r="G252" t="s">
        <v>140</v>
      </c>
      <c r="H252" t="s">
        <v>141</v>
      </c>
      <c r="I252" s="6" t="s">
        <v>136</v>
      </c>
      <c r="J252" s="6">
        <v>0</v>
      </c>
      <c r="L252" s="15">
        <v>1</v>
      </c>
      <c r="M252" s="7">
        <v>46104</v>
      </c>
      <c r="N252" s="7">
        <v>46153</v>
      </c>
      <c r="O252" s="7">
        <v>46136</v>
      </c>
      <c r="P252" s="7">
        <v>46139</v>
      </c>
      <c r="S252" s="6" t="s">
        <v>140</v>
      </c>
      <c r="U252" s="6" t="s">
        <v>413</v>
      </c>
      <c r="V252" s="6" t="str">
        <f>TEXT(N252,"YY/MM")</f>
        <v>26/05</v>
      </c>
      <c r="W252">
        <v>1624</v>
      </c>
      <c r="AA252">
        <v>978</v>
      </c>
      <c r="AC252">
        <v>1031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>$L252*AI252</f>
        <v>0</v>
      </c>
      <c r="BQ252" s="23">
        <f>$L252*AJ252</f>
        <v>0</v>
      </c>
      <c r="BR252" s="23">
        <f>$L252*AK252</f>
        <v>0</v>
      </c>
      <c r="BS252" s="23">
        <f>$L252*AL252</f>
        <v>0</v>
      </c>
      <c r="BT252" s="23">
        <f>$L252*AM252</f>
        <v>0</v>
      </c>
      <c r="BU252" s="23">
        <f>$L252*AN252</f>
        <v>0</v>
      </c>
      <c r="BV252" s="23">
        <f>$L252*AO252</f>
        <v>0</v>
      </c>
      <c r="BW252" s="23">
        <f>$L252*AP252</f>
        <v>0</v>
      </c>
      <c r="BX252" s="23">
        <f>$L252*AQ252</f>
        <v>0</v>
      </c>
      <c r="BY252" s="23">
        <f>$L252*AR252</f>
        <v>0</v>
      </c>
      <c r="BZ252" s="23">
        <f>$L252*AS252</f>
        <v>0</v>
      </c>
      <c r="CA252" s="23">
        <f>$L252*AT252</f>
        <v>0</v>
      </c>
      <c r="CB252" s="23">
        <f>$L252*AU252</f>
        <v>0</v>
      </c>
      <c r="CC252" s="23">
        <f>$L252*AV252</f>
        <v>0</v>
      </c>
      <c r="CD252" s="23">
        <f>$L252*AW252</f>
        <v>0</v>
      </c>
      <c r="CE252" s="23">
        <f>$L252*AX252</f>
        <v>0</v>
      </c>
      <c r="CF252" s="23">
        <f>$L252*AY252</f>
        <v>0</v>
      </c>
      <c r="CG252" s="23">
        <f>$L252*AZ252</f>
        <v>0</v>
      </c>
      <c r="CH252" s="23">
        <f>$L252*BA252</f>
        <v>0</v>
      </c>
      <c r="CI252" s="23">
        <f>$L252*BB252</f>
        <v>0</v>
      </c>
      <c r="CJ252" s="23">
        <f>$L252*BC252</f>
        <v>0</v>
      </c>
      <c r="CK252" s="23">
        <f>$L252*BD252</f>
        <v>0</v>
      </c>
      <c r="CL252" s="23">
        <f>$L252*BE252</f>
        <v>0</v>
      </c>
      <c r="CM252" s="23">
        <f>$L252*BF252</f>
        <v>0</v>
      </c>
      <c r="CN252" s="23">
        <f>$L252*BG252</f>
        <v>1</v>
      </c>
      <c r="CO252" s="23">
        <f>$L252*BH252</f>
        <v>1</v>
      </c>
      <c r="CP252" s="23">
        <f>$L252*BI252</f>
        <v>1</v>
      </c>
      <c r="CQ252" s="23">
        <f>$L252*BJ252</f>
        <v>1</v>
      </c>
      <c r="CR252" s="23">
        <f>$L252*BK252</f>
        <v>1</v>
      </c>
      <c r="CS252" s="23">
        <f>$L252*BL252</f>
        <v>1</v>
      </c>
      <c r="CT252" s="23">
        <f>$L252*BM252</f>
        <v>1</v>
      </c>
      <c r="CU252" s="23">
        <f>$L252*BN252</f>
        <v>1</v>
      </c>
      <c r="CV252" s="23">
        <f>$L252*BO252</f>
        <v>1</v>
      </c>
    </row>
    <row r="253" spans="1:100" ht="13.5" x14ac:dyDescent="0.15">
      <c r="A253" s="15">
        <v>115</v>
      </c>
      <c r="B253" s="28" t="s">
        <v>636</v>
      </c>
      <c r="C253" t="s">
        <v>414</v>
      </c>
      <c r="E253" t="s">
        <v>140</v>
      </c>
      <c r="F253" t="s">
        <v>415</v>
      </c>
      <c r="G253" t="s">
        <v>140</v>
      </c>
      <c r="H253" t="s">
        <v>141</v>
      </c>
      <c r="I253" s="6" t="s">
        <v>136</v>
      </c>
      <c r="J253" s="6">
        <v>0</v>
      </c>
      <c r="L253" s="15">
        <v>1</v>
      </c>
      <c r="M253" s="7">
        <v>46104</v>
      </c>
      <c r="N253" s="7">
        <v>46153</v>
      </c>
      <c r="O253" s="7">
        <v>46136</v>
      </c>
      <c r="P253" s="7">
        <v>46139</v>
      </c>
      <c r="S253" s="6" t="s">
        <v>140</v>
      </c>
      <c r="U253" s="6" t="s">
        <v>413</v>
      </c>
      <c r="V253" s="6" t="str">
        <f>TEXT(N253,"YY/MM")</f>
        <v>26/05</v>
      </c>
      <c r="W253">
        <v>1625</v>
      </c>
      <c r="AA253">
        <v>979</v>
      </c>
      <c r="AC253">
        <v>1032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>$L253*AI253</f>
        <v>0</v>
      </c>
      <c r="BQ253" s="23">
        <f>$L253*AJ253</f>
        <v>0</v>
      </c>
      <c r="BR253" s="23">
        <f>$L253*AK253</f>
        <v>0</v>
      </c>
      <c r="BS253" s="23">
        <f>$L253*AL253</f>
        <v>0</v>
      </c>
      <c r="BT253" s="23">
        <f>$L253*AM253</f>
        <v>0</v>
      </c>
      <c r="BU253" s="23">
        <f>$L253*AN253</f>
        <v>0</v>
      </c>
      <c r="BV253" s="23">
        <f>$L253*AO253</f>
        <v>0</v>
      </c>
      <c r="BW253" s="23">
        <f>$L253*AP253</f>
        <v>0</v>
      </c>
      <c r="BX253" s="23">
        <f>$L253*AQ253</f>
        <v>0</v>
      </c>
      <c r="BY253" s="23">
        <f>$L253*AR253</f>
        <v>0</v>
      </c>
      <c r="BZ253" s="23">
        <f>$L253*AS253</f>
        <v>0</v>
      </c>
      <c r="CA253" s="23">
        <f>$L253*AT253</f>
        <v>0</v>
      </c>
      <c r="CB253" s="23">
        <f>$L253*AU253</f>
        <v>0</v>
      </c>
      <c r="CC253" s="23">
        <f>$L253*AV253</f>
        <v>0</v>
      </c>
      <c r="CD253" s="23">
        <f>$L253*AW253</f>
        <v>0</v>
      </c>
      <c r="CE253" s="23">
        <f>$L253*AX253</f>
        <v>0</v>
      </c>
      <c r="CF253" s="23">
        <f>$L253*AY253</f>
        <v>0</v>
      </c>
      <c r="CG253" s="23">
        <f>$L253*AZ253</f>
        <v>0</v>
      </c>
      <c r="CH253" s="23">
        <f>$L253*BA253</f>
        <v>0</v>
      </c>
      <c r="CI253" s="23">
        <f>$L253*BB253</f>
        <v>0</v>
      </c>
      <c r="CJ253" s="23">
        <f>$L253*BC253</f>
        <v>0</v>
      </c>
      <c r="CK253" s="23">
        <f>$L253*BD253</f>
        <v>0</v>
      </c>
      <c r="CL253" s="23">
        <f>$L253*BE253</f>
        <v>0</v>
      </c>
      <c r="CM253" s="23">
        <f>$L253*BF253</f>
        <v>0</v>
      </c>
      <c r="CN253" s="23">
        <f>$L253*BG253</f>
        <v>1</v>
      </c>
      <c r="CO253" s="23">
        <f>$L253*BH253</f>
        <v>1</v>
      </c>
      <c r="CP253" s="23">
        <f>$L253*BI253</f>
        <v>1</v>
      </c>
      <c r="CQ253" s="23">
        <f>$L253*BJ253</f>
        <v>1</v>
      </c>
      <c r="CR253" s="23">
        <f>$L253*BK253</f>
        <v>1</v>
      </c>
      <c r="CS253" s="23">
        <f>$L253*BL253</f>
        <v>1</v>
      </c>
      <c r="CT253" s="23">
        <f>$L253*BM253</f>
        <v>1</v>
      </c>
      <c r="CU253" s="23">
        <f>$L253*BN253</f>
        <v>1</v>
      </c>
      <c r="CV253" s="23">
        <f>$L253*BO253</f>
        <v>1</v>
      </c>
    </row>
    <row r="254" spans="1:100" ht="13.5" x14ac:dyDescent="0.15">
      <c r="A254" s="15">
        <v>115</v>
      </c>
      <c r="B254" s="28" t="s">
        <v>637</v>
      </c>
      <c r="C254" t="s">
        <v>414</v>
      </c>
      <c r="E254" t="s">
        <v>140</v>
      </c>
      <c r="F254" t="s">
        <v>415</v>
      </c>
      <c r="G254" t="s">
        <v>140</v>
      </c>
      <c r="H254" t="s">
        <v>141</v>
      </c>
      <c r="I254" s="6" t="s">
        <v>136</v>
      </c>
      <c r="J254" s="6">
        <v>0</v>
      </c>
      <c r="L254" s="15">
        <v>1</v>
      </c>
      <c r="M254" s="7">
        <v>46104</v>
      </c>
      <c r="N254" s="7">
        <v>46153</v>
      </c>
      <c r="O254" s="7">
        <v>46136</v>
      </c>
      <c r="P254" s="7">
        <v>46139</v>
      </c>
      <c r="S254" s="6" t="s">
        <v>140</v>
      </c>
      <c r="U254" s="6" t="s">
        <v>413</v>
      </c>
      <c r="V254" s="6" t="str">
        <f>TEXT(N254,"YY/MM")</f>
        <v>26/05</v>
      </c>
      <c r="W254">
        <v>1626</v>
      </c>
      <c r="AA254">
        <v>980</v>
      </c>
      <c r="AC254">
        <v>1033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>$L254*AI254</f>
        <v>0</v>
      </c>
      <c r="BQ254" s="23">
        <f>$L254*AJ254</f>
        <v>0</v>
      </c>
      <c r="BR254" s="23">
        <f>$L254*AK254</f>
        <v>0</v>
      </c>
      <c r="BS254" s="23">
        <f>$L254*AL254</f>
        <v>0</v>
      </c>
      <c r="BT254" s="23">
        <f>$L254*AM254</f>
        <v>0</v>
      </c>
      <c r="BU254" s="23">
        <f>$L254*AN254</f>
        <v>0</v>
      </c>
      <c r="BV254" s="23">
        <f>$L254*AO254</f>
        <v>0</v>
      </c>
      <c r="BW254" s="23">
        <f>$L254*AP254</f>
        <v>0</v>
      </c>
      <c r="BX254" s="23">
        <f>$L254*AQ254</f>
        <v>0</v>
      </c>
      <c r="BY254" s="23">
        <f>$L254*AR254</f>
        <v>0</v>
      </c>
      <c r="BZ254" s="23">
        <f>$L254*AS254</f>
        <v>0</v>
      </c>
      <c r="CA254" s="23">
        <f>$L254*AT254</f>
        <v>0</v>
      </c>
      <c r="CB254" s="23">
        <f>$L254*AU254</f>
        <v>0</v>
      </c>
      <c r="CC254" s="23">
        <f>$L254*AV254</f>
        <v>0</v>
      </c>
      <c r="CD254" s="23">
        <f>$L254*AW254</f>
        <v>0</v>
      </c>
      <c r="CE254" s="23">
        <f>$L254*AX254</f>
        <v>0</v>
      </c>
      <c r="CF254" s="23">
        <f>$L254*AY254</f>
        <v>0</v>
      </c>
      <c r="CG254" s="23">
        <f>$L254*AZ254</f>
        <v>0</v>
      </c>
      <c r="CH254" s="23">
        <f>$L254*BA254</f>
        <v>0</v>
      </c>
      <c r="CI254" s="23">
        <f>$L254*BB254</f>
        <v>0</v>
      </c>
      <c r="CJ254" s="23">
        <f>$L254*BC254</f>
        <v>0</v>
      </c>
      <c r="CK254" s="23">
        <f>$L254*BD254</f>
        <v>0</v>
      </c>
      <c r="CL254" s="23">
        <f>$L254*BE254</f>
        <v>0</v>
      </c>
      <c r="CM254" s="23">
        <f>$L254*BF254</f>
        <v>0</v>
      </c>
      <c r="CN254" s="23">
        <f>$L254*BG254</f>
        <v>1</v>
      </c>
      <c r="CO254" s="23">
        <f>$L254*BH254</f>
        <v>1</v>
      </c>
      <c r="CP254" s="23">
        <f>$L254*BI254</f>
        <v>1</v>
      </c>
      <c r="CQ254" s="23">
        <f>$L254*BJ254</f>
        <v>1</v>
      </c>
      <c r="CR254" s="23">
        <f>$L254*BK254</f>
        <v>1</v>
      </c>
      <c r="CS254" s="23">
        <f>$L254*BL254</f>
        <v>1</v>
      </c>
      <c r="CT254" s="23">
        <f>$L254*BM254</f>
        <v>1</v>
      </c>
      <c r="CU254" s="23">
        <f>$L254*BN254</f>
        <v>1</v>
      </c>
      <c r="CV254" s="23">
        <f>$L254*BO254</f>
        <v>1</v>
      </c>
    </row>
    <row r="255" spans="1:100" ht="13.5" x14ac:dyDescent="0.15">
      <c r="A255" s="15">
        <v>115</v>
      </c>
      <c r="B255" s="28" t="s">
        <v>638</v>
      </c>
      <c r="C255" t="s">
        <v>414</v>
      </c>
      <c r="E255" t="s">
        <v>140</v>
      </c>
      <c r="F255" t="s">
        <v>415</v>
      </c>
      <c r="G255" t="s">
        <v>140</v>
      </c>
      <c r="H255" t="s">
        <v>141</v>
      </c>
      <c r="I255" s="6" t="s">
        <v>136</v>
      </c>
      <c r="J255" s="6">
        <v>0</v>
      </c>
      <c r="L255" s="15">
        <v>1</v>
      </c>
      <c r="M255" s="7">
        <v>46104</v>
      </c>
      <c r="N255" s="7">
        <v>46154</v>
      </c>
      <c r="O255" s="7">
        <v>46136</v>
      </c>
      <c r="P255" s="7">
        <v>46139</v>
      </c>
      <c r="S255" s="6" t="s">
        <v>140</v>
      </c>
      <c r="U255" s="6" t="s">
        <v>413</v>
      </c>
      <c r="V255" s="6" t="str">
        <f>TEXT(N255,"YY/MM")</f>
        <v>26/05</v>
      </c>
      <c r="W255">
        <v>1627</v>
      </c>
      <c r="AA255">
        <v>981</v>
      </c>
      <c r="AC255">
        <v>1034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>$L255*AI255</f>
        <v>0</v>
      </c>
      <c r="BQ255" s="23">
        <f>$L255*AJ255</f>
        <v>0</v>
      </c>
      <c r="BR255" s="23">
        <f>$L255*AK255</f>
        <v>0</v>
      </c>
      <c r="BS255" s="23">
        <f>$L255*AL255</f>
        <v>0</v>
      </c>
      <c r="BT255" s="23">
        <f>$L255*AM255</f>
        <v>0</v>
      </c>
      <c r="BU255" s="23">
        <f>$L255*AN255</f>
        <v>0</v>
      </c>
      <c r="BV255" s="23">
        <f>$L255*AO255</f>
        <v>0</v>
      </c>
      <c r="BW255" s="23">
        <f>$L255*AP255</f>
        <v>0</v>
      </c>
      <c r="BX255" s="23">
        <f>$L255*AQ255</f>
        <v>0</v>
      </c>
      <c r="BY255" s="23">
        <f>$L255*AR255</f>
        <v>0</v>
      </c>
      <c r="BZ255" s="23">
        <f>$L255*AS255</f>
        <v>0</v>
      </c>
      <c r="CA255" s="23">
        <f>$L255*AT255</f>
        <v>0</v>
      </c>
      <c r="CB255" s="23">
        <f>$L255*AU255</f>
        <v>0</v>
      </c>
      <c r="CC255" s="23">
        <f>$L255*AV255</f>
        <v>0</v>
      </c>
      <c r="CD255" s="23">
        <f>$L255*AW255</f>
        <v>0</v>
      </c>
      <c r="CE255" s="23">
        <f>$L255*AX255</f>
        <v>0</v>
      </c>
      <c r="CF255" s="23">
        <f>$L255*AY255</f>
        <v>0</v>
      </c>
      <c r="CG255" s="23">
        <f>$L255*AZ255</f>
        <v>0</v>
      </c>
      <c r="CH255" s="23">
        <f>$L255*BA255</f>
        <v>0</v>
      </c>
      <c r="CI255" s="23">
        <f>$L255*BB255</f>
        <v>0</v>
      </c>
      <c r="CJ255" s="23">
        <f>$L255*BC255</f>
        <v>0</v>
      </c>
      <c r="CK255" s="23">
        <f>$L255*BD255</f>
        <v>0</v>
      </c>
      <c r="CL255" s="23">
        <f>$L255*BE255</f>
        <v>0</v>
      </c>
      <c r="CM255" s="23">
        <f>$L255*BF255</f>
        <v>0</v>
      </c>
      <c r="CN255" s="23">
        <f>$L255*BG255</f>
        <v>1</v>
      </c>
      <c r="CO255" s="23">
        <f>$L255*BH255</f>
        <v>1</v>
      </c>
      <c r="CP255" s="23">
        <f>$L255*BI255</f>
        <v>1</v>
      </c>
      <c r="CQ255" s="23">
        <f>$L255*BJ255</f>
        <v>1</v>
      </c>
      <c r="CR255" s="23">
        <f>$L255*BK255</f>
        <v>1</v>
      </c>
      <c r="CS255" s="23">
        <f>$L255*BL255</f>
        <v>1</v>
      </c>
      <c r="CT255" s="23">
        <f>$L255*BM255</f>
        <v>1</v>
      </c>
      <c r="CU255" s="23">
        <f>$L255*BN255</f>
        <v>1</v>
      </c>
      <c r="CV255" s="23">
        <f>$L255*BO255</f>
        <v>1</v>
      </c>
    </row>
    <row r="256" spans="1:100" ht="13.5" x14ac:dyDescent="0.15">
      <c r="A256" s="15">
        <v>115</v>
      </c>
      <c r="B256" s="28" t="s">
        <v>639</v>
      </c>
      <c r="C256" t="s">
        <v>414</v>
      </c>
      <c r="E256" t="s">
        <v>140</v>
      </c>
      <c r="F256" t="s">
        <v>415</v>
      </c>
      <c r="G256" t="s">
        <v>140</v>
      </c>
      <c r="H256" t="s">
        <v>141</v>
      </c>
      <c r="I256" s="6" t="s">
        <v>136</v>
      </c>
      <c r="J256" s="6">
        <v>0</v>
      </c>
      <c r="L256" s="15">
        <v>1</v>
      </c>
      <c r="M256" s="7">
        <v>46104</v>
      </c>
      <c r="N256" s="7">
        <v>46154</v>
      </c>
      <c r="O256" s="7">
        <v>46136</v>
      </c>
      <c r="P256" s="7">
        <v>46139</v>
      </c>
      <c r="S256" s="6" t="s">
        <v>140</v>
      </c>
      <c r="U256" s="6" t="s">
        <v>413</v>
      </c>
      <c r="V256" s="6" t="str">
        <f>TEXT(N256,"YY/MM")</f>
        <v>26/05</v>
      </c>
      <c r="W256">
        <v>1628</v>
      </c>
      <c r="AA256">
        <v>982</v>
      </c>
      <c r="AC256">
        <v>1035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>$L256*AI256</f>
        <v>0</v>
      </c>
      <c r="BQ256" s="23">
        <f>$L256*AJ256</f>
        <v>0</v>
      </c>
      <c r="BR256" s="23">
        <f>$L256*AK256</f>
        <v>0</v>
      </c>
      <c r="BS256" s="23">
        <f>$L256*AL256</f>
        <v>0</v>
      </c>
      <c r="BT256" s="23">
        <f>$L256*AM256</f>
        <v>0</v>
      </c>
      <c r="BU256" s="23">
        <f>$L256*AN256</f>
        <v>0</v>
      </c>
      <c r="BV256" s="23">
        <f>$L256*AO256</f>
        <v>0</v>
      </c>
      <c r="BW256" s="23">
        <f>$L256*AP256</f>
        <v>0</v>
      </c>
      <c r="BX256" s="23">
        <f>$L256*AQ256</f>
        <v>0</v>
      </c>
      <c r="BY256" s="23">
        <f>$L256*AR256</f>
        <v>0</v>
      </c>
      <c r="BZ256" s="23">
        <f>$L256*AS256</f>
        <v>0</v>
      </c>
      <c r="CA256" s="23">
        <f>$L256*AT256</f>
        <v>0</v>
      </c>
      <c r="CB256" s="23">
        <f>$L256*AU256</f>
        <v>0</v>
      </c>
      <c r="CC256" s="23">
        <f>$L256*AV256</f>
        <v>0</v>
      </c>
      <c r="CD256" s="23">
        <f>$L256*AW256</f>
        <v>0</v>
      </c>
      <c r="CE256" s="23">
        <f>$L256*AX256</f>
        <v>0</v>
      </c>
      <c r="CF256" s="23">
        <f>$L256*AY256</f>
        <v>0</v>
      </c>
      <c r="CG256" s="23">
        <f>$L256*AZ256</f>
        <v>0</v>
      </c>
      <c r="CH256" s="23">
        <f>$L256*BA256</f>
        <v>0</v>
      </c>
      <c r="CI256" s="23">
        <f>$L256*BB256</f>
        <v>0</v>
      </c>
      <c r="CJ256" s="23">
        <f>$L256*BC256</f>
        <v>0</v>
      </c>
      <c r="CK256" s="23">
        <f>$L256*BD256</f>
        <v>0</v>
      </c>
      <c r="CL256" s="23">
        <f>$L256*BE256</f>
        <v>0</v>
      </c>
      <c r="CM256" s="23">
        <f>$L256*BF256</f>
        <v>0</v>
      </c>
      <c r="CN256" s="23">
        <f>$L256*BG256</f>
        <v>1</v>
      </c>
      <c r="CO256" s="23">
        <f>$L256*BH256</f>
        <v>1</v>
      </c>
      <c r="CP256" s="23">
        <f>$L256*BI256</f>
        <v>1</v>
      </c>
      <c r="CQ256" s="23">
        <f>$L256*BJ256</f>
        <v>1</v>
      </c>
      <c r="CR256" s="23">
        <f>$L256*BK256</f>
        <v>1</v>
      </c>
      <c r="CS256" s="23">
        <f>$L256*BL256</f>
        <v>1</v>
      </c>
      <c r="CT256" s="23">
        <f>$L256*BM256</f>
        <v>1</v>
      </c>
      <c r="CU256" s="23">
        <f>$L256*BN256</f>
        <v>1</v>
      </c>
      <c r="CV256" s="23">
        <f>$L256*BO256</f>
        <v>1</v>
      </c>
    </row>
    <row r="257" spans="1:100" ht="13.5" x14ac:dyDescent="0.15">
      <c r="A257" s="15">
        <v>115</v>
      </c>
      <c r="B257" s="28" t="s">
        <v>640</v>
      </c>
      <c r="C257" t="s">
        <v>414</v>
      </c>
      <c r="E257" t="s">
        <v>140</v>
      </c>
      <c r="F257" t="s">
        <v>415</v>
      </c>
      <c r="G257" t="s">
        <v>140</v>
      </c>
      <c r="H257" t="s">
        <v>141</v>
      </c>
      <c r="I257" s="6" t="s">
        <v>136</v>
      </c>
      <c r="J257" s="6">
        <v>0</v>
      </c>
      <c r="L257" s="15">
        <v>1</v>
      </c>
      <c r="M257" s="7">
        <v>46104</v>
      </c>
      <c r="N257" s="7">
        <v>46154</v>
      </c>
      <c r="O257" s="7">
        <v>46136</v>
      </c>
      <c r="P257" s="7">
        <v>46139</v>
      </c>
      <c r="S257" s="6" t="s">
        <v>140</v>
      </c>
      <c r="U257" s="6" t="s">
        <v>413</v>
      </c>
      <c r="V257" s="6" t="str">
        <f>TEXT(N257,"YY/MM")</f>
        <v>26/05</v>
      </c>
      <c r="W257">
        <v>1629</v>
      </c>
      <c r="AA257">
        <v>983</v>
      </c>
      <c r="AC257">
        <v>1036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>$L257*AI257</f>
        <v>0</v>
      </c>
      <c r="BQ257" s="23">
        <f>$L257*AJ257</f>
        <v>0</v>
      </c>
      <c r="BR257" s="23">
        <f>$L257*AK257</f>
        <v>0</v>
      </c>
      <c r="BS257" s="23">
        <f>$L257*AL257</f>
        <v>0</v>
      </c>
      <c r="BT257" s="23">
        <f>$L257*AM257</f>
        <v>0</v>
      </c>
      <c r="BU257" s="23">
        <f>$L257*AN257</f>
        <v>0</v>
      </c>
      <c r="BV257" s="23">
        <f>$L257*AO257</f>
        <v>0</v>
      </c>
      <c r="BW257" s="23">
        <f>$L257*AP257</f>
        <v>0</v>
      </c>
      <c r="BX257" s="23">
        <f>$L257*AQ257</f>
        <v>0</v>
      </c>
      <c r="BY257" s="23">
        <f>$L257*AR257</f>
        <v>0</v>
      </c>
      <c r="BZ257" s="23">
        <f>$L257*AS257</f>
        <v>0</v>
      </c>
      <c r="CA257" s="23">
        <f>$L257*AT257</f>
        <v>0</v>
      </c>
      <c r="CB257" s="23">
        <f>$L257*AU257</f>
        <v>0</v>
      </c>
      <c r="CC257" s="23">
        <f>$L257*AV257</f>
        <v>0</v>
      </c>
      <c r="CD257" s="23">
        <f>$L257*AW257</f>
        <v>0</v>
      </c>
      <c r="CE257" s="23">
        <f>$L257*AX257</f>
        <v>0</v>
      </c>
      <c r="CF257" s="23">
        <f>$L257*AY257</f>
        <v>0</v>
      </c>
      <c r="CG257" s="23">
        <f>$L257*AZ257</f>
        <v>0</v>
      </c>
      <c r="CH257" s="23">
        <f>$L257*BA257</f>
        <v>0</v>
      </c>
      <c r="CI257" s="23">
        <f>$L257*BB257</f>
        <v>0</v>
      </c>
      <c r="CJ257" s="23">
        <f>$L257*BC257</f>
        <v>0</v>
      </c>
      <c r="CK257" s="23">
        <f>$L257*BD257</f>
        <v>0</v>
      </c>
      <c r="CL257" s="23">
        <f>$L257*BE257</f>
        <v>0</v>
      </c>
      <c r="CM257" s="23">
        <f>$L257*BF257</f>
        <v>0</v>
      </c>
      <c r="CN257" s="23">
        <f>$L257*BG257</f>
        <v>1</v>
      </c>
      <c r="CO257" s="23">
        <f>$L257*BH257</f>
        <v>1</v>
      </c>
      <c r="CP257" s="23">
        <f>$L257*BI257</f>
        <v>1</v>
      </c>
      <c r="CQ257" s="23">
        <f>$L257*BJ257</f>
        <v>1</v>
      </c>
      <c r="CR257" s="23">
        <f>$L257*BK257</f>
        <v>1</v>
      </c>
      <c r="CS257" s="23">
        <f>$L257*BL257</f>
        <v>1</v>
      </c>
      <c r="CT257" s="23">
        <f>$L257*BM257</f>
        <v>1</v>
      </c>
      <c r="CU257" s="23">
        <f>$L257*BN257</f>
        <v>1</v>
      </c>
      <c r="CV257" s="23">
        <f>$L257*BO257</f>
        <v>1</v>
      </c>
    </row>
    <row r="258" spans="1:100" ht="13.5" x14ac:dyDescent="0.15">
      <c r="A258" s="15">
        <v>115</v>
      </c>
      <c r="B258" s="28" t="s">
        <v>641</v>
      </c>
      <c r="C258" t="s">
        <v>414</v>
      </c>
      <c r="E258" t="s">
        <v>140</v>
      </c>
      <c r="F258" t="s">
        <v>415</v>
      </c>
      <c r="G258" t="s">
        <v>140</v>
      </c>
      <c r="H258" t="s">
        <v>141</v>
      </c>
      <c r="I258" s="6" t="s">
        <v>136</v>
      </c>
      <c r="J258" s="6">
        <v>0</v>
      </c>
      <c r="L258" s="15">
        <v>1</v>
      </c>
      <c r="M258" s="7">
        <v>46104</v>
      </c>
      <c r="N258" s="7">
        <v>46154</v>
      </c>
      <c r="O258" s="7">
        <v>46136</v>
      </c>
      <c r="P258" s="7">
        <v>46139</v>
      </c>
      <c r="S258" s="6" t="s">
        <v>140</v>
      </c>
      <c r="U258" s="6" t="s">
        <v>413</v>
      </c>
      <c r="V258" s="6" t="str">
        <f>TEXT(N258,"YY/MM")</f>
        <v>26/05</v>
      </c>
      <c r="W258">
        <v>1630</v>
      </c>
      <c r="AA258">
        <v>984</v>
      </c>
      <c r="AC258">
        <v>1037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>$L258*AI258</f>
        <v>0</v>
      </c>
      <c r="BQ258" s="23">
        <f>$L258*AJ258</f>
        <v>0</v>
      </c>
      <c r="BR258" s="23">
        <f>$L258*AK258</f>
        <v>0</v>
      </c>
      <c r="BS258" s="23">
        <f>$L258*AL258</f>
        <v>0</v>
      </c>
      <c r="BT258" s="23">
        <f>$L258*AM258</f>
        <v>0</v>
      </c>
      <c r="BU258" s="23">
        <f>$L258*AN258</f>
        <v>0</v>
      </c>
      <c r="BV258" s="23">
        <f>$L258*AO258</f>
        <v>0</v>
      </c>
      <c r="BW258" s="23">
        <f>$L258*AP258</f>
        <v>0</v>
      </c>
      <c r="BX258" s="23">
        <f>$L258*AQ258</f>
        <v>0</v>
      </c>
      <c r="BY258" s="23">
        <f>$L258*AR258</f>
        <v>0</v>
      </c>
      <c r="BZ258" s="23">
        <f>$L258*AS258</f>
        <v>0</v>
      </c>
      <c r="CA258" s="23">
        <f>$L258*AT258</f>
        <v>0</v>
      </c>
      <c r="CB258" s="23">
        <f>$L258*AU258</f>
        <v>0</v>
      </c>
      <c r="CC258" s="23">
        <f>$L258*AV258</f>
        <v>0</v>
      </c>
      <c r="CD258" s="23">
        <f>$L258*AW258</f>
        <v>0</v>
      </c>
      <c r="CE258" s="23">
        <f>$L258*AX258</f>
        <v>0</v>
      </c>
      <c r="CF258" s="23">
        <f>$L258*AY258</f>
        <v>0</v>
      </c>
      <c r="CG258" s="23">
        <f>$L258*AZ258</f>
        <v>0</v>
      </c>
      <c r="CH258" s="23">
        <f>$L258*BA258</f>
        <v>0</v>
      </c>
      <c r="CI258" s="23">
        <f>$L258*BB258</f>
        <v>0</v>
      </c>
      <c r="CJ258" s="23">
        <f>$L258*BC258</f>
        <v>0</v>
      </c>
      <c r="CK258" s="23">
        <f>$L258*BD258</f>
        <v>0</v>
      </c>
      <c r="CL258" s="23">
        <f>$L258*BE258</f>
        <v>0</v>
      </c>
      <c r="CM258" s="23">
        <f>$L258*BF258</f>
        <v>0</v>
      </c>
      <c r="CN258" s="23">
        <f>$L258*BG258</f>
        <v>1</v>
      </c>
      <c r="CO258" s="23">
        <f>$L258*BH258</f>
        <v>1</v>
      </c>
      <c r="CP258" s="23">
        <f>$L258*BI258</f>
        <v>1</v>
      </c>
      <c r="CQ258" s="23">
        <f>$L258*BJ258</f>
        <v>1</v>
      </c>
      <c r="CR258" s="23">
        <f>$L258*BK258</f>
        <v>1</v>
      </c>
      <c r="CS258" s="23">
        <f>$L258*BL258</f>
        <v>1</v>
      </c>
      <c r="CT258" s="23">
        <f>$L258*BM258</f>
        <v>1</v>
      </c>
      <c r="CU258" s="23">
        <f>$L258*BN258</f>
        <v>1</v>
      </c>
      <c r="CV258" s="23">
        <f>$L258*BO258</f>
        <v>1</v>
      </c>
    </row>
    <row r="259" spans="1:100" ht="13.5" x14ac:dyDescent="0.15">
      <c r="A259" s="15">
        <v>115</v>
      </c>
      <c r="B259" s="28" t="s">
        <v>642</v>
      </c>
      <c r="C259" t="s">
        <v>414</v>
      </c>
      <c r="E259" t="s">
        <v>140</v>
      </c>
      <c r="F259" t="s">
        <v>415</v>
      </c>
      <c r="G259" t="s">
        <v>140</v>
      </c>
      <c r="H259" t="s">
        <v>141</v>
      </c>
      <c r="I259" s="6" t="s">
        <v>136</v>
      </c>
      <c r="J259" s="6">
        <v>0</v>
      </c>
      <c r="L259" s="15">
        <v>1</v>
      </c>
      <c r="M259" s="7">
        <v>46104</v>
      </c>
      <c r="N259" s="7">
        <v>46154</v>
      </c>
      <c r="O259" s="7">
        <v>46136</v>
      </c>
      <c r="P259" s="7">
        <v>46139</v>
      </c>
      <c r="S259" s="6" t="s">
        <v>140</v>
      </c>
      <c r="U259" s="6" t="s">
        <v>413</v>
      </c>
      <c r="V259" s="6" t="str">
        <f>TEXT(N259,"YY/MM")</f>
        <v>26/05</v>
      </c>
      <c r="W259">
        <v>1631</v>
      </c>
      <c r="AA259">
        <v>985</v>
      </c>
      <c r="AC259">
        <v>1038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>$L259*AI259</f>
        <v>0</v>
      </c>
      <c r="BQ259" s="23">
        <f>$L259*AJ259</f>
        <v>0</v>
      </c>
      <c r="BR259" s="23">
        <f>$L259*AK259</f>
        <v>0</v>
      </c>
      <c r="BS259" s="23">
        <f>$L259*AL259</f>
        <v>0</v>
      </c>
      <c r="BT259" s="23">
        <f>$L259*AM259</f>
        <v>0</v>
      </c>
      <c r="BU259" s="23">
        <f>$L259*AN259</f>
        <v>0</v>
      </c>
      <c r="BV259" s="23">
        <f>$L259*AO259</f>
        <v>0</v>
      </c>
      <c r="BW259" s="23">
        <f>$L259*AP259</f>
        <v>0</v>
      </c>
      <c r="BX259" s="23">
        <f>$L259*AQ259</f>
        <v>0</v>
      </c>
      <c r="BY259" s="23">
        <f>$L259*AR259</f>
        <v>0</v>
      </c>
      <c r="BZ259" s="23">
        <f>$L259*AS259</f>
        <v>0</v>
      </c>
      <c r="CA259" s="23">
        <f>$L259*AT259</f>
        <v>0</v>
      </c>
      <c r="CB259" s="23">
        <f>$L259*AU259</f>
        <v>0</v>
      </c>
      <c r="CC259" s="23">
        <f>$L259*AV259</f>
        <v>0</v>
      </c>
      <c r="CD259" s="23">
        <f>$L259*AW259</f>
        <v>0</v>
      </c>
      <c r="CE259" s="23">
        <f>$L259*AX259</f>
        <v>0</v>
      </c>
      <c r="CF259" s="23">
        <f>$L259*AY259</f>
        <v>0</v>
      </c>
      <c r="CG259" s="23">
        <f>$L259*AZ259</f>
        <v>0</v>
      </c>
      <c r="CH259" s="23">
        <f>$L259*BA259</f>
        <v>0</v>
      </c>
      <c r="CI259" s="23">
        <f>$L259*BB259</f>
        <v>0</v>
      </c>
      <c r="CJ259" s="23">
        <f>$L259*BC259</f>
        <v>0</v>
      </c>
      <c r="CK259" s="23">
        <f>$L259*BD259</f>
        <v>0</v>
      </c>
      <c r="CL259" s="23">
        <f>$L259*BE259</f>
        <v>0</v>
      </c>
      <c r="CM259" s="23">
        <f>$L259*BF259</f>
        <v>0</v>
      </c>
      <c r="CN259" s="23">
        <f>$L259*BG259</f>
        <v>1</v>
      </c>
      <c r="CO259" s="23">
        <f>$L259*BH259</f>
        <v>1</v>
      </c>
      <c r="CP259" s="23">
        <f>$L259*BI259</f>
        <v>1</v>
      </c>
      <c r="CQ259" s="23">
        <f>$L259*BJ259</f>
        <v>1</v>
      </c>
      <c r="CR259" s="23">
        <f>$L259*BK259</f>
        <v>1</v>
      </c>
      <c r="CS259" s="23">
        <f>$L259*BL259</f>
        <v>1</v>
      </c>
      <c r="CT259" s="23">
        <f>$L259*BM259</f>
        <v>1</v>
      </c>
      <c r="CU259" s="23">
        <f>$L259*BN259</f>
        <v>1</v>
      </c>
      <c r="CV259" s="23">
        <f>$L259*BO259</f>
        <v>1</v>
      </c>
    </row>
    <row r="260" spans="1:100" ht="13.5" x14ac:dyDescent="0.15">
      <c r="A260" s="15">
        <v>151</v>
      </c>
      <c r="B260" s="28" t="s">
        <v>643</v>
      </c>
      <c r="C260" t="s">
        <v>414</v>
      </c>
      <c r="E260" t="s">
        <v>140</v>
      </c>
      <c r="F260" t="s">
        <v>415</v>
      </c>
      <c r="G260" t="s">
        <v>140</v>
      </c>
      <c r="H260" t="s">
        <v>141</v>
      </c>
      <c r="I260" s="6" t="s">
        <v>136</v>
      </c>
      <c r="J260" s="6">
        <v>0</v>
      </c>
      <c r="L260" s="15">
        <v>1</v>
      </c>
      <c r="M260" s="7">
        <v>46135</v>
      </c>
      <c r="N260" s="7">
        <v>46155</v>
      </c>
      <c r="O260" s="7">
        <v>46153</v>
      </c>
      <c r="P260" s="7">
        <v>46154</v>
      </c>
      <c r="S260" s="6" t="s">
        <v>140</v>
      </c>
      <c r="U260" s="6" t="s">
        <v>413</v>
      </c>
      <c r="V260" s="6" t="str">
        <f>TEXT(N260,"YY/MM")</f>
        <v>26/05</v>
      </c>
      <c r="W260">
        <v>1632</v>
      </c>
      <c r="AA260">
        <v>986</v>
      </c>
      <c r="AC260">
        <v>1039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>$L260*AI260</f>
        <v>0</v>
      </c>
      <c r="BQ260" s="23">
        <f>$L260*AJ260</f>
        <v>0</v>
      </c>
      <c r="BR260" s="23">
        <f>$L260*AK260</f>
        <v>0</v>
      </c>
      <c r="BS260" s="23">
        <f>$L260*AL260</f>
        <v>0</v>
      </c>
      <c r="BT260" s="23">
        <f>$L260*AM260</f>
        <v>0</v>
      </c>
      <c r="BU260" s="23">
        <f>$L260*AN260</f>
        <v>0</v>
      </c>
      <c r="BV260" s="23">
        <f>$L260*AO260</f>
        <v>0</v>
      </c>
      <c r="BW260" s="23">
        <f>$L260*AP260</f>
        <v>0</v>
      </c>
      <c r="BX260" s="23">
        <f>$L260*AQ260</f>
        <v>0</v>
      </c>
      <c r="BY260" s="23">
        <f>$L260*AR260</f>
        <v>0</v>
      </c>
      <c r="BZ260" s="23">
        <f>$L260*AS260</f>
        <v>0</v>
      </c>
      <c r="CA260" s="23">
        <f>$L260*AT260</f>
        <v>0</v>
      </c>
      <c r="CB260" s="23">
        <f>$L260*AU260</f>
        <v>0</v>
      </c>
      <c r="CC260" s="23">
        <f>$L260*AV260</f>
        <v>0</v>
      </c>
      <c r="CD260" s="23">
        <f>$L260*AW260</f>
        <v>0</v>
      </c>
      <c r="CE260" s="23">
        <f>$L260*AX260</f>
        <v>0</v>
      </c>
      <c r="CF260" s="23">
        <f>$L260*AY260</f>
        <v>0</v>
      </c>
      <c r="CG260" s="23">
        <f>$L260*AZ260</f>
        <v>0</v>
      </c>
      <c r="CH260" s="23">
        <f>$L260*BA260</f>
        <v>0</v>
      </c>
      <c r="CI260" s="23">
        <f>$L260*BB260</f>
        <v>0</v>
      </c>
      <c r="CJ260" s="23">
        <f>$L260*BC260</f>
        <v>0</v>
      </c>
      <c r="CK260" s="23">
        <f>$L260*BD260</f>
        <v>0</v>
      </c>
      <c r="CL260" s="23">
        <f>$L260*BE260</f>
        <v>0</v>
      </c>
      <c r="CM260" s="23">
        <f>$L260*BF260</f>
        <v>0</v>
      </c>
      <c r="CN260" s="23">
        <f>$L260*BG260</f>
        <v>1</v>
      </c>
      <c r="CO260" s="23">
        <f>$L260*BH260</f>
        <v>1</v>
      </c>
      <c r="CP260" s="23">
        <f>$L260*BI260</f>
        <v>1</v>
      </c>
      <c r="CQ260" s="23">
        <f>$L260*BJ260</f>
        <v>1</v>
      </c>
      <c r="CR260" s="23">
        <f>$L260*BK260</f>
        <v>1</v>
      </c>
      <c r="CS260" s="23">
        <f>$L260*BL260</f>
        <v>1</v>
      </c>
      <c r="CT260" s="23">
        <f>$L260*BM260</f>
        <v>1</v>
      </c>
      <c r="CU260" s="23">
        <f>$L260*BN260</f>
        <v>1</v>
      </c>
      <c r="CV260" s="23">
        <f>$L260*BO260</f>
        <v>1</v>
      </c>
    </row>
    <row r="261" spans="1:100" ht="13.5" x14ac:dyDescent="0.15">
      <c r="A261" s="15">
        <v>151</v>
      </c>
      <c r="B261" s="28" t="s">
        <v>644</v>
      </c>
      <c r="C261" t="s">
        <v>414</v>
      </c>
      <c r="E261" t="s">
        <v>140</v>
      </c>
      <c r="F261" t="s">
        <v>415</v>
      </c>
      <c r="G261" t="s">
        <v>140</v>
      </c>
      <c r="H261" t="s">
        <v>141</v>
      </c>
      <c r="I261" s="6" t="s">
        <v>136</v>
      </c>
      <c r="J261" s="6">
        <v>0</v>
      </c>
      <c r="L261" s="15">
        <v>1</v>
      </c>
      <c r="M261" s="7">
        <v>46135</v>
      </c>
      <c r="N261" s="7">
        <v>46155</v>
      </c>
      <c r="O261" s="7">
        <v>46153</v>
      </c>
      <c r="P261" s="7">
        <v>46154</v>
      </c>
      <c r="S261" s="6" t="s">
        <v>140</v>
      </c>
      <c r="U261" s="6" t="s">
        <v>413</v>
      </c>
      <c r="V261" s="6" t="str">
        <f>TEXT(N261,"YY/MM")</f>
        <v>26/05</v>
      </c>
      <c r="W261">
        <v>1633</v>
      </c>
      <c r="AA261">
        <v>987</v>
      </c>
      <c r="AC261">
        <v>1040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>$L261*AI261</f>
        <v>0</v>
      </c>
      <c r="BQ261" s="23">
        <f>$L261*AJ261</f>
        <v>0</v>
      </c>
      <c r="BR261" s="23">
        <f>$L261*AK261</f>
        <v>0</v>
      </c>
      <c r="BS261" s="23">
        <f>$L261*AL261</f>
        <v>0</v>
      </c>
      <c r="BT261" s="23">
        <f>$L261*AM261</f>
        <v>0</v>
      </c>
      <c r="BU261" s="23">
        <f>$L261*AN261</f>
        <v>0</v>
      </c>
      <c r="BV261" s="23">
        <f>$L261*AO261</f>
        <v>0</v>
      </c>
      <c r="BW261" s="23">
        <f>$L261*AP261</f>
        <v>0</v>
      </c>
      <c r="BX261" s="23">
        <f>$L261*AQ261</f>
        <v>0</v>
      </c>
      <c r="BY261" s="23">
        <f>$L261*AR261</f>
        <v>0</v>
      </c>
      <c r="BZ261" s="23">
        <f>$L261*AS261</f>
        <v>0</v>
      </c>
      <c r="CA261" s="23">
        <f>$L261*AT261</f>
        <v>0</v>
      </c>
      <c r="CB261" s="23">
        <f>$L261*AU261</f>
        <v>0</v>
      </c>
      <c r="CC261" s="23">
        <f>$L261*AV261</f>
        <v>0</v>
      </c>
      <c r="CD261" s="23">
        <f>$L261*AW261</f>
        <v>0</v>
      </c>
      <c r="CE261" s="23">
        <f>$L261*AX261</f>
        <v>0</v>
      </c>
      <c r="CF261" s="23">
        <f>$L261*AY261</f>
        <v>0</v>
      </c>
      <c r="CG261" s="23">
        <f>$L261*AZ261</f>
        <v>0</v>
      </c>
      <c r="CH261" s="23">
        <f>$L261*BA261</f>
        <v>0</v>
      </c>
      <c r="CI261" s="23">
        <f>$L261*BB261</f>
        <v>0</v>
      </c>
      <c r="CJ261" s="23">
        <f>$L261*BC261</f>
        <v>0</v>
      </c>
      <c r="CK261" s="23">
        <f>$L261*BD261</f>
        <v>0</v>
      </c>
      <c r="CL261" s="23">
        <f>$L261*BE261</f>
        <v>0</v>
      </c>
      <c r="CM261" s="23">
        <f>$L261*BF261</f>
        <v>0</v>
      </c>
      <c r="CN261" s="23">
        <f>$L261*BG261</f>
        <v>1</v>
      </c>
      <c r="CO261" s="23">
        <f>$L261*BH261</f>
        <v>1</v>
      </c>
      <c r="CP261" s="23">
        <f>$L261*BI261</f>
        <v>1</v>
      </c>
      <c r="CQ261" s="23">
        <f>$L261*BJ261</f>
        <v>1</v>
      </c>
      <c r="CR261" s="23">
        <f>$L261*BK261</f>
        <v>1</v>
      </c>
      <c r="CS261" s="23">
        <f>$L261*BL261</f>
        <v>1</v>
      </c>
      <c r="CT261" s="23">
        <f>$L261*BM261</f>
        <v>1</v>
      </c>
      <c r="CU261" s="23">
        <f>$L261*BN261</f>
        <v>1</v>
      </c>
      <c r="CV261" s="23">
        <f>$L261*BO261</f>
        <v>1</v>
      </c>
    </row>
    <row r="262" spans="1:100" ht="13.5" x14ac:dyDescent="0.15">
      <c r="A262" s="15">
        <v>151</v>
      </c>
      <c r="B262" s="28" t="s">
        <v>645</v>
      </c>
      <c r="C262" t="s">
        <v>414</v>
      </c>
      <c r="E262" t="s">
        <v>140</v>
      </c>
      <c r="F262" t="s">
        <v>415</v>
      </c>
      <c r="G262" t="s">
        <v>140</v>
      </c>
      <c r="H262" t="s">
        <v>141</v>
      </c>
      <c r="I262" s="6" t="s">
        <v>136</v>
      </c>
      <c r="J262" s="6">
        <v>0</v>
      </c>
      <c r="L262" s="15">
        <v>1</v>
      </c>
      <c r="M262" s="7">
        <v>46135</v>
      </c>
      <c r="N262" s="7">
        <v>46155</v>
      </c>
      <c r="O262" s="7">
        <v>46153</v>
      </c>
      <c r="P262" s="7">
        <v>46154</v>
      </c>
      <c r="S262" s="6" t="s">
        <v>140</v>
      </c>
      <c r="U262" s="6" t="s">
        <v>413</v>
      </c>
      <c r="V262" s="6" t="str">
        <f>TEXT(N262,"YY/MM")</f>
        <v>26/05</v>
      </c>
      <c r="W262">
        <v>1634</v>
      </c>
      <c r="AA262">
        <v>988</v>
      </c>
      <c r="AC262">
        <v>1041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>$L262*AI262</f>
        <v>0</v>
      </c>
      <c r="BQ262" s="23">
        <f>$L262*AJ262</f>
        <v>0</v>
      </c>
      <c r="BR262" s="23">
        <f>$L262*AK262</f>
        <v>0</v>
      </c>
      <c r="BS262" s="23">
        <f>$L262*AL262</f>
        <v>0</v>
      </c>
      <c r="BT262" s="23">
        <f>$L262*AM262</f>
        <v>0</v>
      </c>
      <c r="BU262" s="23">
        <f>$L262*AN262</f>
        <v>0</v>
      </c>
      <c r="BV262" s="23">
        <f>$L262*AO262</f>
        <v>0</v>
      </c>
      <c r="BW262" s="23">
        <f>$L262*AP262</f>
        <v>0</v>
      </c>
      <c r="BX262" s="23">
        <f>$L262*AQ262</f>
        <v>0</v>
      </c>
      <c r="BY262" s="23">
        <f>$L262*AR262</f>
        <v>0</v>
      </c>
      <c r="BZ262" s="23">
        <f>$L262*AS262</f>
        <v>0</v>
      </c>
      <c r="CA262" s="23">
        <f>$L262*AT262</f>
        <v>0</v>
      </c>
      <c r="CB262" s="23">
        <f>$L262*AU262</f>
        <v>0</v>
      </c>
      <c r="CC262" s="23">
        <f>$L262*AV262</f>
        <v>0</v>
      </c>
      <c r="CD262" s="23">
        <f>$L262*AW262</f>
        <v>0</v>
      </c>
      <c r="CE262" s="23">
        <f>$L262*AX262</f>
        <v>0</v>
      </c>
      <c r="CF262" s="23">
        <f>$L262*AY262</f>
        <v>0</v>
      </c>
      <c r="CG262" s="23">
        <f>$L262*AZ262</f>
        <v>0</v>
      </c>
      <c r="CH262" s="23">
        <f>$L262*BA262</f>
        <v>0</v>
      </c>
      <c r="CI262" s="23">
        <f>$L262*BB262</f>
        <v>0</v>
      </c>
      <c r="CJ262" s="23">
        <f>$L262*BC262</f>
        <v>0</v>
      </c>
      <c r="CK262" s="23">
        <f>$L262*BD262</f>
        <v>0</v>
      </c>
      <c r="CL262" s="23">
        <f>$L262*BE262</f>
        <v>0</v>
      </c>
      <c r="CM262" s="23">
        <f>$L262*BF262</f>
        <v>0</v>
      </c>
      <c r="CN262" s="23">
        <f>$L262*BG262</f>
        <v>1</v>
      </c>
      <c r="CO262" s="23">
        <f>$L262*BH262</f>
        <v>1</v>
      </c>
      <c r="CP262" s="23">
        <f>$L262*BI262</f>
        <v>1</v>
      </c>
      <c r="CQ262" s="23">
        <f>$L262*BJ262</f>
        <v>1</v>
      </c>
      <c r="CR262" s="23">
        <f>$L262*BK262</f>
        <v>1</v>
      </c>
      <c r="CS262" s="23">
        <f>$L262*BL262</f>
        <v>1</v>
      </c>
      <c r="CT262" s="23">
        <f>$L262*BM262</f>
        <v>1</v>
      </c>
      <c r="CU262" s="23">
        <f>$L262*BN262</f>
        <v>1</v>
      </c>
      <c r="CV262" s="23">
        <f>$L262*BO262</f>
        <v>1</v>
      </c>
    </row>
    <row r="263" spans="1:100" ht="13.5" x14ac:dyDescent="0.15">
      <c r="A263" s="15">
        <v>151</v>
      </c>
      <c r="B263" s="28" t="s">
        <v>646</v>
      </c>
      <c r="C263" t="s">
        <v>414</v>
      </c>
      <c r="E263" t="s">
        <v>140</v>
      </c>
      <c r="F263" t="s">
        <v>415</v>
      </c>
      <c r="G263" t="s">
        <v>140</v>
      </c>
      <c r="H263" t="s">
        <v>141</v>
      </c>
      <c r="I263" s="6" t="s">
        <v>136</v>
      </c>
      <c r="J263" s="6">
        <v>0</v>
      </c>
      <c r="L263" s="15">
        <v>1</v>
      </c>
      <c r="M263" s="7">
        <v>46135</v>
      </c>
      <c r="N263" s="7">
        <v>46155</v>
      </c>
      <c r="O263" s="7">
        <v>46153</v>
      </c>
      <c r="P263" s="7">
        <v>46154</v>
      </c>
      <c r="S263" s="6" t="s">
        <v>140</v>
      </c>
      <c r="U263" s="6" t="s">
        <v>413</v>
      </c>
      <c r="V263" s="6" t="str">
        <f>TEXT(N263,"YY/MM")</f>
        <v>26/05</v>
      </c>
      <c r="W263">
        <v>1635</v>
      </c>
      <c r="AA263">
        <v>989</v>
      </c>
      <c r="AC263">
        <v>1042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>$L263*AI263</f>
        <v>0</v>
      </c>
      <c r="BQ263" s="23">
        <f>$L263*AJ263</f>
        <v>0</v>
      </c>
      <c r="BR263" s="23">
        <f>$L263*AK263</f>
        <v>0</v>
      </c>
      <c r="BS263" s="23">
        <f>$L263*AL263</f>
        <v>0</v>
      </c>
      <c r="BT263" s="23">
        <f>$L263*AM263</f>
        <v>0</v>
      </c>
      <c r="BU263" s="23">
        <f>$L263*AN263</f>
        <v>0</v>
      </c>
      <c r="BV263" s="23">
        <f>$L263*AO263</f>
        <v>0</v>
      </c>
      <c r="BW263" s="23">
        <f>$L263*AP263</f>
        <v>0</v>
      </c>
      <c r="BX263" s="23">
        <f>$L263*AQ263</f>
        <v>0</v>
      </c>
      <c r="BY263" s="23">
        <f>$L263*AR263</f>
        <v>0</v>
      </c>
      <c r="BZ263" s="23">
        <f>$L263*AS263</f>
        <v>0</v>
      </c>
      <c r="CA263" s="23">
        <f>$L263*AT263</f>
        <v>0</v>
      </c>
      <c r="CB263" s="23">
        <f>$L263*AU263</f>
        <v>0</v>
      </c>
      <c r="CC263" s="23">
        <f>$L263*AV263</f>
        <v>0</v>
      </c>
      <c r="CD263" s="23">
        <f>$L263*AW263</f>
        <v>0</v>
      </c>
      <c r="CE263" s="23">
        <f>$L263*AX263</f>
        <v>0</v>
      </c>
      <c r="CF263" s="23">
        <f>$L263*AY263</f>
        <v>0</v>
      </c>
      <c r="CG263" s="23">
        <f>$L263*AZ263</f>
        <v>0</v>
      </c>
      <c r="CH263" s="23">
        <f>$L263*BA263</f>
        <v>0</v>
      </c>
      <c r="CI263" s="23">
        <f>$L263*BB263</f>
        <v>0</v>
      </c>
      <c r="CJ263" s="23">
        <f>$L263*BC263</f>
        <v>0</v>
      </c>
      <c r="CK263" s="23">
        <f>$L263*BD263</f>
        <v>0</v>
      </c>
      <c r="CL263" s="23">
        <f>$L263*BE263</f>
        <v>0</v>
      </c>
      <c r="CM263" s="23">
        <f>$L263*BF263</f>
        <v>0</v>
      </c>
      <c r="CN263" s="23">
        <f>$L263*BG263</f>
        <v>1</v>
      </c>
      <c r="CO263" s="23">
        <f>$L263*BH263</f>
        <v>1</v>
      </c>
      <c r="CP263" s="23">
        <f>$L263*BI263</f>
        <v>1</v>
      </c>
      <c r="CQ263" s="23">
        <f>$L263*BJ263</f>
        <v>1</v>
      </c>
      <c r="CR263" s="23">
        <f>$L263*BK263</f>
        <v>1</v>
      </c>
      <c r="CS263" s="23">
        <f>$L263*BL263</f>
        <v>1</v>
      </c>
      <c r="CT263" s="23">
        <f>$L263*BM263</f>
        <v>1</v>
      </c>
      <c r="CU263" s="23">
        <f>$L263*BN263</f>
        <v>1</v>
      </c>
      <c r="CV263" s="23">
        <f>$L263*BO263</f>
        <v>1</v>
      </c>
    </row>
    <row r="264" spans="1:100" ht="13.5" x14ac:dyDescent="0.15">
      <c r="A264" s="15">
        <v>151</v>
      </c>
      <c r="B264" s="28" t="s">
        <v>647</v>
      </c>
      <c r="C264" t="s">
        <v>414</v>
      </c>
      <c r="E264" t="s">
        <v>140</v>
      </c>
      <c r="F264" t="s">
        <v>415</v>
      </c>
      <c r="G264" t="s">
        <v>140</v>
      </c>
      <c r="H264" t="s">
        <v>141</v>
      </c>
      <c r="I264" s="6" t="s">
        <v>136</v>
      </c>
      <c r="J264" s="6">
        <v>0</v>
      </c>
      <c r="L264" s="15">
        <v>1</v>
      </c>
      <c r="M264" s="7">
        <v>46135</v>
      </c>
      <c r="N264" s="7">
        <v>46155</v>
      </c>
      <c r="O264" s="7">
        <v>46153</v>
      </c>
      <c r="P264" s="7">
        <v>46154</v>
      </c>
      <c r="S264" s="6" t="s">
        <v>140</v>
      </c>
      <c r="U264" s="6" t="s">
        <v>413</v>
      </c>
      <c r="V264" s="6" t="str">
        <f>TEXT(N264,"YY/MM")</f>
        <v>26/05</v>
      </c>
      <c r="W264">
        <v>1636</v>
      </c>
      <c r="AA264">
        <v>990</v>
      </c>
      <c r="AC264">
        <v>1043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>$L264*AI264</f>
        <v>0</v>
      </c>
      <c r="BQ264" s="23">
        <f>$L264*AJ264</f>
        <v>0</v>
      </c>
      <c r="BR264" s="23">
        <f>$L264*AK264</f>
        <v>0</v>
      </c>
      <c r="BS264" s="23">
        <f>$L264*AL264</f>
        <v>0</v>
      </c>
      <c r="BT264" s="23">
        <f>$L264*AM264</f>
        <v>0</v>
      </c>
      <c r="BU264" s="23">
        <f>$L264*AN264</f>
        <v>0</v>
      </c>
      <c r="BV264" s="23">
        <f>$L264*AO264</f>
        <v>0</v>
      </c>
      <c r="BW264" s="23">
        <f>$L264*AP264</f>
        <v>0</v>
      </c>
      <c r="BX264" s="23">
        <f>$L264*AQ264</f>
        <v>0</v>
      </c>
      <c r="BY264" s="23">
        <f>$L264*AR264</f>
        <v>0</v>
      </c>
      <c r="BZ264" s="23">
        <f>$L264*AS264</f>
        <v>0</v>
      </c>
      <c r="CA264" s="23">
        <f>$L264*AT264</f>
        <v>0</v>
      </c>
      <c r="CB264" s="23">
        <f>$L264*AU264</f>
        <v>0</v>
      </c>
      <c r="CC264" s="23">
        <f>$L264*AV264</f>
        <v>0</v>
      </c>
      <c r="CD264" s="23">
        <f>$L264*AW264</f>
        <v>0</v>
      </c>
      <c r="CE264" s="23">
        <f>$L264*AX264</f>
        <v>0</v>
      </c>
      <c r="CF264" s="23">
        <f>$L264*AY264</f>
        <v>0</v>
      </c>
      <c r="CG264" s="23">
        <f>$L264*AZ264</f>
        <v>0</v>
      </c>
      <c r="CH264" s="23">
        <f>$L264*BA264</f>
        <v>0</v>
      </c>
      <c r="CI264" s="23">
        <f>$L264*BB264</f>
        <v>0</v>
      </c>
      <c r="CJ264" s="23">
        <f>$L264*BC264</f>
        <v>0</v>
      </c>
      <c r="CK264" s="23">
        <f>$L264*BD264</f>
        <v>0</v>
      </c>
      <c r="CL264" s="23">
        <f>$L264*BE264</f>
        <v>0</v>
      </c>
      <c r="CM264" s="23">
        <f>$L264*BF264</f>
        <v>0</v>
      </c>
      <c r="CN264" s="23">
        <f>$L264*BG264</f>
        <v>1</v>
      </c>
      <c r="CO264" s="23">
        <f>$L264*BH264</f>
        <v>1</v>
      </c>
      <c r="CP264" s="23">
        <f>$L264*BI264</f>
        <v>1</v>
      </c>
      <c r="CQ264" s="23">
        <f>$L264*BJ264</f>
        <v>1</v>
      </c>
      <c r="CR264" s="23">
        <f>$L264*BK264</f>
        <v>1</v>
      </c>
      <c r="CS264" s="23">
        <f>$L264*BL264</f>
        <v>1</v>
      </c>
      <c r="CT264" s="23">
        <f>$L264*BM264</f>
        <v>1</v>
      </c>
      <c r="CU264" s="23">
        <f>$L264*BN264</f>
        <v>1</v>
      </c>
      <c r="CV264" s="23">
        <f>$L264*BO264</f>
        <v>1</v>
      </c>
    </row>
    <row r="265" spans="1:100" ht="13.5" x14ac:dyDescent="0.15">
      <c r="A265" s="15">
        <v>151</v>
      </c>
      <c r="B265" s="28" t="s">
        <v>648</v>
      </c>
      <c r="C265" t="s">
        <v>414</v>
      </c>
      <c r="E265" t="s">
        <v>140</v>
      </c>
      <c r="F265" t="s">
        <v>415</v>
      </c>
      <c r="G265" t="s">
        <v>140</v>
      </c>
      <c r="H265" t="s">
        <v>141</v>
      </c>
      <c r="I265" s="6" t="s">
        <v>136</v>
      </c>
      <c r="J265" s="6">
        <v>0</v>
      </c>
      <c r="L265" s="15">
        <v>1</v>
      </c>
      <c r="M265" s="7">
        <v>46135</v>
      </c>
      <c r="N265" s="7">
        <v>46155</v>
      </c>
      <c r="O265" s="7">
        <v>46153</v>
      </c>
      <c r="P265" s="7">
        <v>46154</v>
      </c>
      <c r="S265" s="6" t="s">
        <v>140</v>
      </c>
      <c r="U265" s="6" t="s">
        <v>413</v>
      </c>
      <c r="V265" s="6" t="str">
        <f>TEXT(N265,"YY/MM")</f>
        <v>26/05</v>
      </c>
      <c r="W265">
        <v>1637</v>
      </c>
      <c r="AA265">
        <v>991</v>
      </c>
      <c r="AC265">
        <v>1044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>$L265*AI265</f>
        <v>0</v>
      </c>
      <c r="BQ265" s="23">
        <f>$L265*AJ265</f>
        <v>0</v>
      </c>
      <c r="BR265" s="23">
        <f>$L265*AK265</f>
        <v>0</v>
      </c>
      <c r="BS265" s="23">
        <f>$L265*AL265</f>
        <v>0</v>
      </c>
      <c r="BT265" s="23">
        <f>$L265*AM265</f>
        <v>0</v>
      </c>
      <c r="BU265" s="23">
        <f>$L265*AN265</f>
        <v>0</v>
      </c>
      <c r="BV265" s="23">
        <f>$L265*AO265</f>
        <v>0</v>
      </c>
      <c r="BW265" s="23">
        <f>$L265*AP265</f>
        <v>0</v>
      </c>
      <c r="BX265" s="23">
        <f>$L265*AQ265</f>
        <v>0</v>
      </c>
      <c r="BY265" s="23">
        <f>$L265*AR265</f>
        <v>0</v>
      </c>
      <c r="BZ265" s="23">
        <f>$L265*AS265</f>
        <v>0</v>
      </c>
      <c r="CA265" s="23">
        <f>$L265*AT265</f>
        <v>0</v>
      </c>
      <c r="CB265" s="23">
        <f>$L265*AU265</f>
        <v>0</v>
      </c>
      <c r="CC265" s="23">
        <f>$L265*AV265</f>
        <v>0</v>
      </c>
      <c r="CD265" s="23">
        <f>$L265*AW265</f>
        <v>0</v>
      </c>
      <c r="CE265" s="23">
        <f>$L265*AX265</f>
        <v>0</v>
      </c>
      <c r="CF265" s="23">
        <f>$L265*AY265</f>
        <v>0</v>
      </c>
      <c r="CG265" s="23">
        <f>$L265*AZ265</f>
        <v>0</v>
      </c>
      <c r="CH265" s="23">
        <f>$L265*BA265</f>
        <v>0</v>
      </c>
      <c r="CI265" s="23">
        <f>$L265*BB265</f>
        <v>0</v>
      </c>
      <c r="CJ265" s="23">
        <f>$L265*BC265</f>
        <v>0</v>
      </c>
      <c r="CK265" s="23">
        <f>$L265*BD265</f>
        <v>0</v>
      </c>
      <c r="CL265" s="23">
        <f>$L265*BE265</f>
        <v>0</v>
      </c>
      <c r="CM265" s="23">
        <f>$L265*BF265</f>
        <v>0</v>
      </c>
      <c r="CN265" s="23">
        <f>$L265*BG265</f>
        <v>1</v>
      </c>
      <c r="CO265" s="23">
        <f>$L265*BH265</f>
        <v>1</v>
      </c>
      <c r="CP265" s="23">
        <f>$L265*BI265</f>
        <v>1</v>
      </c>
      <c r="CQ265" s="23">
        <f>$L265*BJ265</f>
        <v>1</v>
      </c>
      <c r="CR265" s="23">
        <f>$L265*BK265</f>
        <v>1</v>
      </c>
      <c r="CS265" s="23">
        <f>$L265*BL265</f>
        <v>1</v>
      </c>
      <c r="CT265" s="23">
        <f>$L265*BM265</f>
        <v>1</v>
      </c>
      <c r="CU265" s="23">
        <f>$L265*BN265</f>
        <v>1</v>
      </c>
      <c r="CV265" s="23">
        <f>$L265*BO265</f>
        <v>1</v>
      </c>
    </row>
    <row r="266" spans="1:100" ht="13.5" x14ac:dyDescent="0.15">
      <c r="A266" s="15">
        <v>151</v>
      </c>
      <c r="B266" s="28" t="s">
        <v>649</v>
      </c>
      <c r="C266" t="s">
        <v>414</v>
      </c>
      <c r="E266" t="s">
        <v>140</v>
      </c>
      <c r="F266" t="s">
        <v>415</v>
      </c>
      <c r="G266" t="s">
        <v>140</v>
      </c>
      <c r="H266" t="s">
        <v>141</v>
      </c>
      <c r="I266" s="6" t="s">
        <v>136</v>
      </c>
      <c r="J266" s="6">
        <v>0</v>
      </c>
      <c r="L266" s="15">
        <v>1</v>
      </c>
      <c r="M266" s="7">
        <v>46135</v>
      </c>
      <c r="N266" s="7">
        <v>46156</v>
      </c>
      <c r="O266" s="7">
        <v>46153</v>
      </c>
      <c r="P266" s="7">
        <v>46154</v>
      </c>
      <c r="S266" s="6" t="s">
        <v>140</v>
      </c>
      <c r="U266" s="6" t="s">
        <v>413</v>
      </c>
      <c r="V266" s="6" t="str">
        <f>TEXT(N266,"YY/MM")</f>
        <v>26/05</v>
      </c>
      <c r="W266">
        <v>1638</v>
      </c>
      <c r="AA266">
        <v>992</v>
      </c>
      <c r="AC266">
        <v>1045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>$L266*AI266</f>
        <v>0</v>
      </c>
      <c r="BQ266" s="23">
        <f>$L266*AJ266</f>
        <v>0</v>
      </c>
      <c r="BR266" s="23">
        <f>$L266*AK266</f>
        <v>0</v>
      </c>
      <c r="BS266" s="23">
        <f>$L266*AL266</f>
        <v>0</v>
      </c>
      <c r="BT266" s="23">
        <f>$L266*AM266</f>
        <v>0</v>
      </c>
      <c r="BU266" s="23">
        <f>$L266*AN266</f>
        <v>0</v>
      </c>
      <c r="BV266" s="23">
        <f>$L266*AO266</f>
        <v>0</v>
      </c>
      <c r="BW266" s="23">
        <f>$L266*AP266</f>
        <v>0</v>
      </c>
      <c r="BX266" s="23">
        <f>$L266*AQ266</f>
        <v>0</v>
      </c>
      <c r="BY266" s="23">
        <f>$L266*AR266</f>
        <v>0</v>
      </c>
      <c r="BZ266" s="23">
        <f>$L266*AS266</f>
        <v>0</v>
      </c>
      <c r="CA266" s="23">
        <f>$L266*AT266</f>
        <v>0</v>
      </c>
      <c r="CB266" s="23">
        <f>$L266*AU266</f>
        <v>0</v>
      </c>
      <c r="CC266" s="23">
        <f>$L266*AV266</f>
        <v>0</v>
      </c>
      <c r="CD266" s="23">
        <f>$L266*AW266</f>
        <v>0</v>
      </c>
      <c r="CE266" s="23">
        <f>$L266*AX266</f>
        <v>0</v>
      </c>
      <c r="CF266" s="23">
        <f>$L266*AY266</f>
        <v>0</v>
      </c>
      <c r="CG266" s="23">
        <f>$L266*AZ266</f>
        <v>0</v>
      </c>
      <c r="CH266" s="23">
        <f>$L266*BA266</f>
        <v>0</v>
      </c>
      <c r="CI266" s="23">
        <f>$L266*BB266</f>
        <v>0</v>
      </c>
      <c r="CJ266" s="23">
        <f>$L266*BC266</f>
        <v>0</v>
      </c>
      <c r="CK266" s="23">
        <f>$L266*BD266</f>
        <v>0</v>
      </c>
      <c r="CL266" s="23">
        <f>$L266*BE266</f>
        <v>0</v>
      </c>
      <c r="CM266" s="23">
        <f>$L266*BF266</f>
        <v>0</v>
      </c>
      <c r="CN266" s="23">
        <f>$L266*BG266</f>
        <v>1</v>
      </c>
      <c r="CO266" s="23">
        <f>$L266*BH266</f>
        <v>1</v>
      </c>
      <c r="CP266" s="23">
        <f>$L266*BI266</f>
        <v>1</v>
      </c>
      <c r="CQ266" s="23">
        <f>$L266*BJ266</f>
        <v>1</v>
      </c>
      <c r="CR266" s="23">
        <f>$L266*BK266</f>
        <v>1</v>
      </c>
      <c r="CS266" s="23">
        <f>$L266*BL266</f>
        <v>1</v>
      </c>
      <c r="CT266" s="23">
        <f>$L266*BM266</f>
        <v>1</v>
      </c>
      <c r="CU266" s="23">
        <f>$L266*BN266</f>
        <v>1</v>
      </c>
      <c r="CV266" s="23">
        <f>$L266*BO266</f>
        <v>1</v>
      </c>
    </row>
    <row r="267" spans="1:100" ht="13.5" x14ac:dyDescent="0.15">
      <c r="A267" s="15">
        <v>151</v>
      </c>
      <c r="B267" s="28" t="s">
        <v>650</v>
      </c>
      <c r="C267" t="s">
        <v>414</v>
      </c>
      <c r="E267" t="s">
        <v>140</v>
      </c>
      <c r="F267" t="s">
        <v>415</v>
      </c>
      <c r="G267" t="s">
        <v>140</v>
      </c>
      <c r="H267" t="s">
        <v>141</v>
      </c>
      <c r="I267" s="6" t="s">
        <v>136</v>
      </c>
      <c r="J267" s="6">
        <v>0</v>
      </c>
      <c r="L267" s="15">
        <v>1</v>
      </c>
      <c r="M267" s="7">
        <v>46135</v>
      </c>
      <c r="N267" s="7">
        <v>46156</v>
      </c>
      <c r="O267" s="7">
        <v>46153</v>
      </c>
      <c r="P267" s="7">
        <v>46154</v>
      </c>
      <c r="S267" s="6" t="s">
        <v>140</v>
      </c>
      <c r="U267" s="6" t="s">
        <v>413</v>
      </c>
      <c r="V267" s="6" t="str">
        <f>TEXT(N267,"YY/MM")</f>
        <v>26/05</v>
      </c>
      <c r="W267">
        <v>1639</v>
      </c>
      <c r="AA267">
        <v>993</v>
      </c>
      <c r="AC267">
        <v>1046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>$L267*AI267</f>
        <v>0</v>
      </c>
      <c r="BQ267" s="23">
        <f>$L267*AJ267</f>
        <v>0</v>
      </c>
      <c r="BR267" s="23">
        <f>$L267*AK267</f>
        <v>0</v>
      </c>
      <c r="BS267" s="23">
        <f>$L267*AL267</f>
        <v>0</v>
      </c>
      <c r="BT267" s="23">
        <f>$L267*AM267</f>
        <v>0</v>
      </c>
      <c r="BU267" s="23">
        <f>$L267*AN267</f>
        <v>0</v>
      </c>
      <c r="BV267" s="23">
        <f>$L267*AO267</f>
        <v>0</v>
      </c>
      <c r="BW267" s="23">
        <f>$L267*AP267</f>
        <v>0</v>
      </c>
      <c r="BX267" s="23">
        <f>$L267*AQ267</f>
        <v>0</v>
      </c>
      <c r="BY267" s="23">
        <f>$L267*AR267</f>
        <v>0</v>
      </c>
      <c r="BZ267" s="23">
        <f>$L267*AS267</f>
        <v>0</v>
      </c>
      <c r="CA267" s="23">
        <f>$L267*AT267</f>
        <v>0</v>
      </c>
      <c r="CB267" s="23">
        <f>$L267*AU267</f>
        <v>0</v>
      </c>
      <c r="CC267" s="23">
        <f>$L267*AV267</f>
        <v>0</v>
      </c>
      <c r="CD267" s="23">
        <f>$L267*AW267</f>
        <v>0</v>
      </c>
      <c r="CE267" s="23">
        <f>$L267*AX267</f>
        <v>0</v>
      </c>
      <c r="CF267" s="23">
        <f>$L267*AY267</f>
        <v>0</v>
      </c>
      <c r="CG267" s="23">
        <f>$L267*AZ267</f>
        <v>0</v>
      </c>
      <c r="CH267" s="23">
        <f>$L267*BA267</f>
        <v>0</v>
      </c>
      <c r="CI267" s="23">
        <f>$L267*BB267</f>
        <v>0</v>
      </c>
      <c r="CJ267" s="23">
        <f>$L267*BC267</f>
        <v>0</v>
      </c>
      <c r="CK267" s="23">
        <f>$L267*BD267</f>
        <v>0</v>
      </c>
      <c r="CL267" s="23">
        <f>$L267*BE267</f>
        <v>0</v>
      </c>
      <c r="CM267" s="23">
        <f>$L267*BF267</f>
        <v>0</v>
      </c>
      <c r="CN267" s="23">
        <f>$L267*BG267</f>
        <v>1</v>
      </c>
      <c r="CO267" s="23">
        <f>$L267*BH267</f>
        <v>1</v>
      </c>
      <c r="CP267" s="23">
        <f>$L267*BI267</f>
        <v>1</v>
      </c>
      <c r="CQ267" s="23">
        <f>$L267*BJ267</f>
        <v>1</v>
      </c>
      <c r="CR267" s="23">
        <f>$L267*BK267</f>
        <v>1</v>
      </c>
      <c r="CS267" s="23">
        <f>$L267*BL267</f>
        <v>1</v>
      </c>
      <c r="CT267" s="23">
        <f>$L267*BM267</f>
        <v>1</v>
      </c>
      <c r="CU267" s="23">
        <f>$L267*BN267</f>
        <v>1</v>
      </c>
      <c r="CV267" s="23">
        <f>$L267*BO267</f>
        <v>1</v>
      </c>
    </row>
    <row r="268" spans="1:100" ht="13.5" x14ac:dyDescent="0.15">
      <c r="A268" s="15">
        <v>151</v>
      </c>
      <c r="B268" s="28" t="s">
        <v>651</v>
      </c>
      <c r="C268" t="s">
        <v>414</v>
      </c>
      <c r="E268" t="s">
        <v>140</v>
      </c>
      <c r="F268" t="s">
        <v>415</v>
      </c>
      <c r="G268" t="s">
        <v>140</v>
      </c>
      <c r="H268" t="s">
        <v>141</v>
      </c>
      <c r="I268" s="6" t="s">
        <v>136</v>
      </c>
      <c r="J268" s="6">
        <v>0</v>
      </c>
      <c r="L268" s="15">
        <v>1</v>
      </c>
      <c r="M268" s="7">
        <v>46135</v>
      </c>
      <c r="N268" s="7">
        <v>46156</v>
      </c>
      <c r="O268" s="7">
        <v>46153</v>
      </c>
      <c r="P268" s="7">
        <v>46154</v>
      </c>
      <c r="S268" s="6" t="s">
        <v>140</v>
      </c>
      <c r="U268" s="6" t="s">
        <v>413</v>
      </c>
      <c r="V268" s="6" t="str">
        <f>TEXT(N268,"YY/MM")</f>
        <v>26/05</v>
      </c>
      <c r="W268">
        <v>1640</v>
      </c>
      <c r="AA268">
        <v>994</v>
      </c>
      <c r="AC268">
        <v>1047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>$L268*AI268</f>
        <v>0</v>
      </c>
      <c r="BQ268" s="23">
        <f>$L268*AJ268</f>
        <v>0</v>
      </c>
      <c r="BR268" s="23">
        <f>$L268*AK268</f>
        <v>0</v>
      </c>
      <c r="BS268" s="23">
        <f>$L268*AL268</f>
        <v>0</v>
      </c>
      <c r="BT268" s="23">
        <f>$L268*AM268</f>
        <v>0</v>
      </c>
      <c r="BU268" s="23">
        <f>$L268*AN268</f>
        <v>0</v>
      </c>
      <c r="BV268" s="23">
        <f>$L268*AO268</f>
        <v>0</v>
      </c>
      <c r="BW268" s="23">
        <f>$L268*AP268</f>
        <v>0</v>
      </c>
      <c r="BX268" s="23">
        <f>$L268*AQ268</f>
        <v>0</v>
      </c>
      <c r="BY268" s="23">
        <f>$L268*AR268</f>
        <v>0</v>
      </c>
      <c r="BZ268" s="23">
        <f>$L268*AS268</f>
        <v>0</v>
      </c>
      <c r="CA268" s="23">
        <f>$L268*AT268</f>
        <v>0</v>
      </c>
      <c r="CB268" s="23">
        <f>$L268*AU268</f>
        <v>0</v>
      </c>
      <c r="CC268" s="23">
        <f>$L268*AV268</f>
        <v>0</v>
      </c>
      <c r="CD268" s="23">
        <f>$L268*AW268</f>
        <v>0</v>
      </c>
      <c r="CE268" s="23">
        <f>$L268*AX268</f>
        <v>0</v>
      </c>
      <c r="CF268" s="23">
        <f>$L268*AY268</f>
        <v>0</v>
      </c>
      <c r="CG268" s="23">
        <f>$L268*AZ268</f>
        <v>0</v>
      </c>
      <c r="CH268" s="23">
        <f>$L268*BA268</f>
        <v>0</v>
      </c>
      <c r="CI268" s="23">
        <f>$L268*BB268</f>
        <v>0</v>
      </c>
      <c r="CJ268" s="23">
        <f>$L268*BC268</f>
        <v>0</v>
      </c>
      <c r="CK268" s="23">
        <f>$L268*BD268</f>
        <v>0</v>
      </c>
      <c r="CL268" s="23">
        <f>$L268*BE268</f>
        <v>0</v>
      </c>
      <c r="CM268" s="23">
        <f>$L268*BF268</f>
        <v>0</v>
      </c>
      <c r="CN268" s="23">
        <f>$L268*BG268</f>
        <v>1</v>
      </c>
      <c r="CO268" s="23">
        <f>$L268*BH268</f>
        <v>1</v>
      </c>
      <c r="CP268" s="23">
        <f>$L268*BI268</f>
        <v>1</v>
      </c>
      <c r="CQ268" s="23">
        <f>$L268*BJ268</f>
        <v>1</v>
      </c>
      <c r="CR268" s="23">
        <f>$L268*BK268</f>
        <v>1</v>
      </c>
      <c r="CS268" s="23">
        <f>$L268*BL268</f>
        <v>1</v>
      </c>
      <c r="CT268" s="23">
        <f>$L268*BM268</f>
        <v>1</v>
      </c>
      <c r="CU268" s="23">
        <f>$L268*BN268</f>
        <v>1</v>
      </c>
      <c r="CV268" s="23">
        <f>$L268*BO268</f>
        <v>1</v>
      </c>
    </row>
    <row r="269" spans="1:100" ht="13.5" x14ac:dyDescent="0.15">
      <c r="A269" s="15">
        <v>151</v>
      </c>
      <c r="B269" s="28" t="s">
        <v>652</v>
      </c>
      <c r="C269" t="s">
        <v>414</v>
      </c>
      <c r="E269" t="s">
        <v>140</v>
      </c>
      <c r="F269" t="s">
        <v>415</v>
      </c>
      <c r="G269" t="s">
        <v>140</v>
      </c>
      <c r="H269" t="s">
        <v>141</v>
      </c>
      <c r="I269" s="6" t="s">
        <v>136</v>
      </c>
      <c r="J269" s="6">
        <v>0</v>
      </c>
      <c r="L269" s="15">
        <v>1</v>
      </c>
      <c r="M269" s="7">
        <v>46135</v>
      </c>
      <c r="N269" s="7">
        <v>46156</v>
      </c>
      <c r="O269" s="7">
        <v>46153</v>
      </c>
      <c r="P269" s="7">
        <v>46154</v>
      </c>
      <c r="S269" s="6" t="s">
        <v>140</v>
      </c>
      <c r="U269" s="6" t="s">
        <v>413</v>
      </c>
      <c r="V269" s="6" t="str">
        <f>TEXT(N269,"YY/MM")</f>
        <v>26/05</v>
      </c>
      <c r="W269">
        <v>1641</v>
      </c>
      <c r="AA269">
        <v>995</v>
      </c>
      <c r="AC269">
        <v>1048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>$L269*AI269</f>
        <v>0</v>
      </c>
      <c r="BQ269" s="23">
        <f>$L269*AJ269</f>
        <v>0</v>
      </c>
      <c r="BR269" s="23">
        <f>$L269*AK269</f>
        <v>0</v>
      </c>
      <c r="BS269" s="23">
        <f>$L269*AL269</f>
        <v>0</v>
      </c>
      <c r="BT269" s="23">
        <f>$L269*AM269</f>
        <v>0</v>
      </c>
      <c r="BU269" s="23">
        <f>$L269*AN269</f>
        <v>0</v>
      </c>
      <c r="BV269" s="23">
        <f>$L269*AO269</f>
        <v>0</v>
      </c>
      <c r="BW269" s="23">
        <f>$L269*AP269</f>
        <v>0</v>
      </c>
      <c r="BX269" s="23">
        <f>$L269*AQ269</f>
        <v>0</v>
      </c>
      <c r="BY269" s="23">
        <f>$L269*AR269</f>
        <v>0</v>
      </c>
      <c r="BZ269" s="23">
        <f>$L269*AS269</f>
        <v>0</v>
      </c>
      <c r="CA269" s="23">
        <f>$L269*AT269</f>
        <v>0</v>
      </c>
      <c r="CB269" s="23">
        <f>$L269*AU269</f>
        <v>0</v>
      </c>
      <c r="CC269" s="23">
        <f>$L269*AV269</f>
        <v>0</v>
      </c>
      <c r="CD269" s="23">
        <f>$L269*AW269</f>
        <v>0</v>
      </c>
      <c r="CE269" s="23">
        <f>$L269*AX269</f>
        <v>0</v>
      </c>
      <c r="CF269" s="23">
        <f>$L269*AY269</f>
        <v>0</v>
      </c>
      <c r="CG269" s="23">
        <f>$L269*AZ269</f>
        <v>0</v>
      </c>
      <c r="CH269" s="23">
        <f>$L269*BA269</f>
        <v>0</v>
      </c>
      <c r="CI269" s="23">
        <f>$L269*BB269</f>
        <v>0</v>
      </c>
      <c r="CJ269" s="23">
        <f>$L269*BC269</f>
        <v>0</v>
      </c>
      <c r="CK269" s="23">
        <f>$L269*BD269</f>
        <v>0</v>
      </c>
      <c r="CL269" s="23">
        <f>$L269*BE269</f>
        <v>0</v>
      </c>
      <c r="CM269" s="23">
        <f>$L269*BF269</f>
        <v>0</v>
      </c>
      <c r="CN269" s="23">
        <f>$L269*BG269</f>
        <v>1</v>
      </c>
      <c r="CO269" s="23">
        <f>$L269*BH269</f>
        <v>1</v>
      </c>
      <c r="CP269" s="23">
        <f>$L269*BI269</f>
        <v>1</v>
      </c>
      <c r="CQ269" s="23">
        <f>$L269*BJ269</f>
        <v>1</v>
      </c>
      <c r="CR269" s="23">
        <f>$L269*BK269</f>
        <v>1</v>
      </c>
      <c r="CS269" s="23">
        <f>$L269*BL269</f>
        <v>1</v>
      </c>
      <c r="CT269" s="23">
        <f>$L269*BM269</f>
        <v>1</v>
      </c>
      <c r="CU269" s="23">
        <f>$L269*BN269</f>
        <v>1</v>
      </c>
      <c r="CV269" s="23">
        <f>$L269*BO269</f>
        <v>1</v>
      </c>
    </row>
    <row r="270" spans="1:100" ht="13.5" x14ac:dyDescent="0.15">
      <c r="A270" s="15">
        <v>151</v>
      </c>
      <c r="B270" s="28" t="s">
        <v>653</v>
      </c>
      <c r="C270" t="s">
        <v>414</v>
      </c>
      <c r="E270" t="s">
        <v>140</v>
      </c>
      <c r="F270" t="s">
        <v>415</v>
      </c>
      <c r="G270" t="s">
        <v>140</v>
      </c>
      <c r="H270" t="s">
        <v>141</v>
      </c>
      <c r="I270" s="6" t="s">
        <v>136</v>
      </c>
      <c r="J270" s="6">
        <v>0</v>
      </c>
      <c r="L270" s="15">
        <v>1</v>
      </c>
      <c r="M270" s="7">
        <v>46135</v>
      </c>
      <c r="N270" s="7">
        <v>46156</v>
      </c>
      <c r="O270" s="7">
        <v>46153</v>
      </c>
      <c r="P270" s="7">
        <v>46154</v>
      </c>
      <c r="S270" s="6" t="s">
        <v>140</v>
      </c>
      <c r="U270" s="6" t="s">
        <v>413</v>
      </c>
      <c r="V270" s="6" t="str">
        <f>TEXT(N270,"YY/MM")</f>
        <v>26/05</v>
      </c>
      <c r="W270">
        <v>1642</v>
      </c>
      <c r="AA270">
        <v>996</v>
      </c>
      <c r="AC270">
        <v>1049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>$L270*AI270</f>
        <v>0</v>
      </c>
      <c r="BQ270" s="23">
        <f>$L270*AJ270</f>
        <v>0</v>
      </c>
      <c r="BR270" s="23">
        <f>$L270*AK270</f>
        <v>0</v>
      </c>
      <c r="BS270" s="23">
        <f>$L270*AL270</f>
        <v>0</v>
      </c>
      <c r="BT270" s="23">
        <f>$L270*AM270</f>
        <v>0</v>
      </c>
      <c r="BU270" s="23">
        <f>$L270*AN270</f>
        <v>0</v>
      </c>
      <c r="BV270" s="23">
        <f>$L270*AO270</f>
        <v>0</v>
      </c>
      <c r="BW270" s="23">
        <f>$L270*AP270</f>
        <v>0</v>
      </c>
      <c r="BX270" s="23">
        <f>$L270*AQ270</f>
        <v>0</v>
      </c>
      <c r="BY270" s="23">
        <f>$L270*AR270</f>
        <v>0</v>
      </c>
      <c r="BZ270" s="23">
        <f>$L270*AS270</f>
        <v>0</v>
      </c>
      <c r="CA270" s="23">
        <f>$L270*AT270</f>
        <v>0</v>
      </c>
      <c r="CB270" s="23">
        <f>$L270*AU270</f>
        <v>0</v>
      </c>
      <c r="CC270" s="23">
        <f>$L270*AV270</f>
        <v>0</v>
      </c>
      <c r="CD270" s="23">
        <f>$L270*AW270</f>
        <v>0</v>
      </c>
      <c r="CE270" s="23">
        <f>$L270*AX270</f>
        <v>0</v>
      </c>
      <c r="CF270" s="23">
        <f>$L270*AY270</f>
        <v>0</v>
      </c>
      <c r="CG270" s="23">
        <f>$L270*AZ270</f>
        <v>0</v>
      </c>
      <c r="CH270" s="23">
        <f>$L270*BA270</f>
        <v>0</v>
      </c>
      <c r="CI270" s="23">
        <f>$L270*BB270</f>
        <v>0</v>
      </c>
      <c r="CJ270" s="23">
        <f>$L270*BC270</f>
        <v>0</v>
      </c>
      <c r="CK270" s="23">
        <f>$L270*BD270</f>
        <v>0</v>
      </c>
      <c r="CL270" s="23">
        <f>$L270*BE270</f>
        <v>0</v>
      </c>
      <c r="CM270" s="23">
        <f>$L270*BF270</f>
        <v>0</v>
      </c>
      <c r="CN270" s="23">
        <f>$L270*BG270</f>
        <v>1</v>
      </c>
      <c r="CO270" s="23">
        <f>$L270*BH270</f>
        <v>1</v>
      </c>
      <c r="CP270" s="23">
        <f>$L270*BI270</f>
        <v>1</v>
      </c>
      <c r="CQ270" s="23">
        <f>$L270*BJ270</f>
        <v>1</v>
      </c>
      <c r="CR270" s="23">
        <f>$L270*BK270</f>
        <v>1</v>
      </c>
      <c r="CS270" s="23">
        <f>$L270*BL270</f>
        <v>1</v>
      </c>
      <c r="CT270" s="23">
        <f>$L270*BM270</f>
        <v>1</v>
      </c>
      <c r="CU270" s="23">
        <f>$L270*BN270</f>
        <v>1</v>
      </c>
      <c r="CV270" s="23">
        <f>$L270*BO270</f>
        <v>1</v>
      </c>
    </row>
    <row r="271" spans="1:100" ht="13.5" x14ac:dyDescent="0.15">
      <c r="A271" s="15">
        <v>151</v>
      </c>
      <c r="B271" s="28" t="s">
        <v>654</v>
      </c>
      <c r="C271" t="s">
        <v>414</v>
      </c>
      <c r="E271" t="s">
        <v>140</v>
      </c>
      <c r="F271" t="s">
        <v>415</v>
      </c>
      <c r="G271" t="s">
        <v>140</v>
      </c>
      <c r="H271" t="s">
        <v>141</v>
      </c>
      <c r="I271" s="6" t="s">
        <v>136</v>
      </c>
      <c r="J271" s="6">
        <v>0</v>
      </c>
      <c r="L271" s="15">
        <v>1</v>
      </c>
      <c r="M271" s="7">
        <v>46135</v>
      </c>
      <c r="N271" s="7">
        <v>46156</v>
      </c>
      <c r="O271" s="7">
        <v>46153</v>
      </c>
      <c r="P271" s="7">
        <v>46154</v>
      </c>
      <c r="S271" s="6" t="s">
        <v>140</v>
      </c>
      <c r="U271" s="6" t="s">
        <v>413</v>
      </c>
      <c r="V271" s="6" t="str">
        <f>TEXT(N271,"YY/MM")</f>
        <v>26/05</v>
      </c>
      <c r="W271">
        <v>1643</v>
      </c>
      <c r="AA271">
        <v>997</v>
      </c>
      <c r="AC271">
        <v>1050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>$L271*AI271</f>
        <v>0</v>
      </c>
      <c r="BQ271" s="23">
        <f>$L271*AJ271</f>
        <v>0</v>
      </c>
      <c r="BR271" s="23">
        <f>$L271*AK271</f>
        <v>0</v>
      </c>
      <c r="BS271" s="23">
        <f>$L271*AL271</f>
        <v>0</v>
      </c>
      <c r="BT271" s="23">
        <f>$L271*AM271</f>
        <v>0</v>
      </c>
      <c r="BU271" s="23">
        <f>$L271*AN271</f>
        <v>0</v>
      </c>
      <c r="BV271" s="23">
        <f>$L271*AO271</f>
        <v>0</v>
      </c>
      <c r="BW271" s="23">
        <f>$L271*AP271</f>
        <v>0</v>
      </c>
      <c r="BX271" s="23">
        <f>$L271*AQ271</f>
        <v>0</v>
      </c>
      <c r="BY271" s="23">
        <f>$L271*AR271</f>
        <v>0</v>
      </c>
      <c r="BZ271" s="23">
        <f>$L271*AS271</f>
        <v>0</v>
      </c>
      <c r="CA271" s="23">
        <f>$L271*AT271</f>
        <v>0</v>
      </c>
      <c r="CB271" s="23">
        <f>$L271*AU271</f>
        <v>0</v>
      </c>
      <c r="CC271" s="23">
        <f>$L271*AV271</f>
        <v>0</v>
      </c>
      <c r="CD271" s="23">
        <f>$L271*AW271</f>
        <v>0</v>
      </c>
      <c r="CE271" s="23">
        <f>$L271*AX271</f>
        <v>0</v>
      </c>
      <c r="CF271" s="23">
        <f>$L271*AY271</f>
        <v>0</v>
      </c>
      <c r="CG271" s="23">
        <f>$L271*AZ271</f>
        <v>0</v>
      </c>
      <c r="CH271" s="23">
        <f>$L271*BA271</f>
        <v>0</v>
      </c>
      <c r="CI271" s="23">
        <f>$L271*BB271</f>
        <v>0</v>
      </c>
      <c r="CJ271" s="23">
        <f>$L271*BC271</f>
        <v>0</v>
      </c>
      <c r="CK271" s="23">
        <f>$L271*BD271</f>
        <v>0</v>
      </c>
      <c r="CL271" s="23">
        <f>$L271*BE271</f>
        <v>0</v>
      </c>
      <c r="CM271" s="23">
        <f>$L271*BF271</f>
        <v>0</v>
      </c>
      <c r="CN271" s="23">
        <f>$L271*BG271</f>
        <v>1</v>
      </c>
      <c r="CO271" s="23">
        <f>$L271*BH271</f>
        <v>1</v>
      </c>
      <c r="CP271" s="23">
        <f>$L271*BI271</f>
        <v>1</v>
      </c>
      <c r="CQ271" s="23">
        <f>$L271*BJ271</f>
        <v>1</v>
      </c>
      <c r="CR271" s="23">
        <f>$L271*BK271</f>
        <v>1</v>
      </c>
      <c r="CS271" s="23">
        <f>$L271*BL271</f>
        <v>1</v>
      </c>
      <c r="CT271" s="23">
        <f>$L271*BM271</f>
        <v>1</v>
      </c>
      <c r="CU271" s="23">
        <f>$L271*BN271</f>
        <v>1</v>
      </c>
      <c r="CV271" s="23">
        <f>$L271*BO271</f>
        <v>1</v>
      </c>
    </row>
    <row r="272" spans="1:100" ht="13.5" x14ac:dyDescent="0.15">
      <c r="A272" s="15">
        <v>151</v>
      </c>
      <c r="B272" s="28" t="s">
        <v>655</v>
      </c>
      <c r="C272" t="s">
        <v>414</v>
      </c>
      <c r="E272" t="s">
        <v>140</v>
      </c>
      <c r="F272" t="s">
        <v>415</v>
      </c>
      <c r="G272" t="s">
        <v>140</v>
      </c>
      <c r="H272" t="s">
        <v>141</v>
      </c>
      <c r="I272" s="6" t="s">
        <v>136</v>
      </c>
      <c r="J272" s="6">
        <v>0</v>
      </c>
      <c r="L272" s="15">
        <v>1</v>
      </c>
      <c r="M272" s="7">
        <v>46135</v>
      </c>
      <c r="N272" s="7">
        <v>46157</v>
      </c>
      <c r="O272" s="7">
        <v>46153</v>
      </c>
      <c r="P272" s="7">
        <v>46154</v>
      </c>
      <c r="S272" s="6" t="s">
        <v>140</v>
      </c>
      <c r="U272" s="6" t="s">
        <v>413</v>
      </c>
      <c r="V272" s="6" t="str">
        <f>TEXT(N272,"YY/MM")</f>
        <v>26/05</v>
      </c>
      <c r="W272">
        <v>1644</v>
      </c>
      <c r="AA272">
        <v>998</v>
      </c>
      <c r="AC272">
        <v>1051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>$L272*AI272</f>
        <v>0</v>
      </c>
      <c r="BQ272" s="23">
        <f>$L272*AJ272</f>
        <v>0</v>
      </c>
      <c r="BR272" s="23">
        <f>$L272*AK272</f>
        <v>0</v>
      </c>
      <c r="BS272" s="23">
        <f>$L272*AL272</f>
        <v>0</v>
      </c>
      <c r="BT272" s="23">
        <f>$L272*AM272</f>
        <v>0</v>
      </c>
      <c r="BU272" s="23">
        <f>$L272*AN272</f>
        <v>0</v>
      </c>
      <c r="BV272" s="23">
        <f>$L272*AO272</f>
        <v>0</v>
      </c>
      <c r="BW272" s="23">
        <f>$L272*AP272</f>
        <v>0</v>
      </c>
      <c r="BX272" s="23">
        <f>$L272*AQ272</f>
        <v>0</v>
      </c>
      <c r="BY272" s="23">
        <f>$L272*AR272</f>
        <v>0</v>
      </c>
      <c r="BZ272" s="23">
        <f>$L272*AS272</f>
        <v>0</v>
      </c>
      <c r="CA272" s="23">
        <f>$L272*AT272</f>
        <v>0</v>
      </c>
      <c r="CB272" s="23">
        <f>$L272*AU272</f>
        <v>0</v>
      </c>
      <c r="CC272" s="23">
        <f>$L272*AV272</f>
        <v>0</v>
      </c>
      <c r="CD272" s="23">
        <f>$L272*AW272</f>
        <v>0</v>
      </c>
      <c r="CE272" s="23">
        <f>$L272*AX272</f>
        <v>0</v>
      </c>
      <c r="CF272" s="23">
        <f>$L272*AY272</f>
        <v>0</v>
      </c>
      <c r="CG272" s="23">
        <f>$L272*AZ272</f>
        <v>0</v>
      </c>
      <c r="CH272" s="23">
        <f>$L272*BA272</f>
        <v>0</v>
      </c>
      <c r="CI272" s="23">
        <f>$L272*BB272</f>
        <v>0</v>
      </c>
      <c r="CJ272" s="23">
        <f>$L272*BC272</f>
        <v>0</v>
      </c>
      <c r="CK272" s="23">
        <f>$L272*BD272</f>
        <v>0</v>
      </c>
      <c r="CL272" s="23">
        <f>$L272*BE272</f>
        <v>0</v>
      </c>
      <c r="CM272" s="23">
        <f>$L272*BF272</f>
        <v>0</v>
      </c>
      <c r="CN272" s="23">
        <f>$L272*BG272</f>
        <v>1</v>
      </c>
      <c r="CO272" s="23">
        <f>$L272*BH272</f>
        <v>1</v>
      </c>
      <c r="CP272" s="23">
        <f>$L272*BI272</f>
        <v>1</v>
      </c>
      <c r="CQ272" s="23">
        <f>$L272*BJ272</f>
        <v>1</v>
      </c>
      <c r="CR272" s="23">
        <f>$L272*BK272</f>
        <v>1</v>
      </c>
      <c r="CS272" s="23">
        <f>$L272*BL272</f>
        <v>1</v>
      </c>
      <c r="CT272" s="23">
        <f>$L272*BM272</f>
        <v>1</v>
      </c>
      <c r="CU272" s="23">
        <f>$L272*BN272</f>
        <v>1</v>
      </c>
      <c r="CV272" s="23">
        <f>$L272*BO272</f>
        <v>1</v>
      </c>
    </row>
    <row r="273" spans="1:100" ht="13.5" x14ac:dyDescent="0.15">
      <c r="A273" s="15">
        <v>151</v>
      </c>
      <c r="B273" s="28" t="s">
        <v>656</v>
      </c>
      <c r="C273" t="s">
        <v>414</v>
      </c>
      <c r="E273" t="s">
        <v>140</v>
      </c>
      <c r="F273" t="s">
        <v>415</v>
      </c>
      <c r="G273" t="s">
        <v>140</v>
      </c>
      <c r="H273" t="s">
        <v>141</v>
      </c>
      <c r="I273" s="6" t="s">
        <v>136</v>
      </c>
      <c r="J273" s="6">
        <v>0</v>
      </c>
      <c r="L273" s="15">
        <v>1</v>
      </c>
      <c r="M273" s="7">
        <v>46135</v>
      </c>
      <c r="N273" s="7">
        <v>46157</v>
      </c>
      <c r="O273" s="7">
        <v>46153</v>
      </c>
      <c r="P273" s="7">
        <v>46154</v>
      </c>
      <c r="S273" s="6" t="s">
        <v>140</v>
      </c>
      <c r="U273" s="6" t="s">
        <v>413</v>
      </c>
      <c r="V273" s="6" t="str">
        <f>TEXT(N273,"YY/MM")</f>
        <v>26/05</v>
      </c>
      <c r="W273">
        <v>1645</v>
      </c>
      <c r="AA273">
        <v>999</v>
      </c>
      <c r="AC273">
        <v>1052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>$L273*AI273</f>
        <v>0</v>
      </c>
      <c r="BQ273" s="23">
        <f>$L273*AJ273</f>
        <v>0</v>
      </c>
      <c r="BR273" s="23">
        <f>$L273*AK273</f>
        <v>0</v>
      </c>
      <c r="BS273" s="23">
        <f>$L273*AL273</f>
        <v>0</v>
      </c>
      <c r="BT273" s="23">
        <f>$L273*AM273</f>
        <v>0</v>
      </c>
      <c r="BU273" s="23">
        <f>$L273*AN273</f>
        <v>0</v>
      </c>
      <c r="BV273" s="23">
        <f>$L273*AO273</f>
        <v>0</v>
      </c>
      <c r="BW273" s="23">
        <f>$L273*AP273</f>
        <v>0</v>
      </c>
      <c r="BX273" s="23">
        <f>$L273*AQ273</f>
        <v>0</v>
      </c>
      <c r="BY273" s="23">
        <f>$L273*AR273</f>
        <v>0</v>
      </c>
      <c r="BZ273" s="23">
        <f>$L273*AS273</f>
        <v>0</v>
      </c>
      <c r="CA273" s="23">
        <f>$L273*AT273</f>
        <v>0</v>
      </c>
      <c r="CB273" s="23">
        <f>$L273*AU273</f>
        <v>0</v>
      </c>
      <c r="CC273" s="23">
        <f>$L273*AV273</f>
        <v>0</v>
      </c>
      <c r="CD273" s="23">
        <f>$L273*AW273</f>
        <v>0</v>
      </c>
      <c r="CE273" s="23">
        <f>$L273*AX273</f>
        <v>0</v>
      </c>
      <c r="CF273" s="23">
        <f>$L273*AY273</f>
        <v>0</v>
      </c>
      <c r="CG273" s="23">
        <f>$L273*AZ273</f>
        <v>0</v>
      </c>
      <c r="CH273" s="23">
        <f>$L273*BA273</f>
        <v>0</v>
      </c>
      <c r="CI273" s="23">
        <f>$L273*BB273</f>
        <v>0</v>
      </c>
      <c r="CJ273" s="23">
        <f>$L273*BC273</f>
        <v>0</v>
      </c>
      <c r="CK273" s="23">
        <f>$L273*BD273</f>
        <v>0</v>
      </c>
      <c r="CL273" s="23">
        <f>$L273*BE273</f>
        <v>0</v>
      </c>
      <c r="CM273" s="23">
        <f>$L273*BF273</f>
        <v>0</v>
      </c>
      <c r="CN273" s="23">
        <f>$L273*BG273</f>
        <v>1</v>
      </c>
      <c r="CO273" s="23">
        <f>$L273*BH273</f>
        <v>1</v>
      </c>
      <c r="CP273" s="23">
        <f>$L273*BI273</f>
        <v>1</v>
      </c>
      <c r="CQ273" s="23">
        <f>$L273*BJ273</f>
        <v>1</v>
      </c>
      <c r="CR273" s="23">
        <f>$L273*BK273</f>
        <v>1</v>
      </c>
      <c r="CS273" s="23">
        <f>$L273*BL273</f>
        <v>1</v>
      </c>
      <c r="CT273" s="23">
        <f>$L273*BM273</f>
        <v>1</v>
      </c>
      <c r="CU273" s="23">
        <f>$L273*BN273</f>
        <v>1</v>
      </c>
      <c r="CV273" s="23">
        <f>$L273*BO273</f>
        <v>1</v>
      </c>
    </row>
    <row r="274" spans="1:100" ht="13.5" x14ac:dyDescent="0.15">
      <c r="A274" s="15">
        <v>151</v>
      </c>
      <c r="B274" s="28" t="s">
        <v>657</v>
      </c>
      <c r="C274" t="s">
        <v>414</v>
      </c>
      <c r="E274" t="s">
        <v>140</v>
      </c>
      <c r="F274" t="s">
        <v>415</v>
      </c>
      <c r="G274" t="s">
        <v>140</v>
      </c>
      <c r="H274" t="s">
        <v>141</v>
      </c>
      <c r="I274" s="6" t="s">
        <v>136</v>
      </c>
      <c r="J274" s="6">
        <v>0</v>
      </c>
      <c r="L274" s="15">
        <v>1</v>
      </c>
      <c r="M274" s="7">
        <v>46135</v>
      </c>
      <c r="N274" s="7">
        <v>46157</v>
      </c>
      <c r="O274" s="7">
        <v>46153</v>
      </c>
      <c r="P274" s="7">
        <v>46154</v>
      </c>
      <c r="S274" s="6" t="s">
        <v>140</v>
      </c>
      <c r="U274" s="6" t="s">
        <v>413</v>
      </c>
      <c r="V274" s="6" t="str">
        <f>TEXT(N274,"YY/MM")</f>
        <v>26/05</v>
      </c>
      <c r="W274">
        <v>1646</v>
      </c>
      <c r="AA274">
        <v>1000</v>
      </c>
      <c r="AC274">
        <v>1053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>$L274*AI274</f>
        <v>0</v>
      </c>
      <c r="BQ274" s="23">
        <f>$L274*AJ274</f>
        <v>0</v>
      </c>
      <c r="BR274" s="23">
        <f>$L274*AK274</f>
        <v>0</v>
      </c>
      <c r="BS274" s="23">
        <f>$L274*AL274</f>
        <v>0</v>
      </c>
      <c r="BT274" s="23">
        <f>$L274*AM274</f>
        <v>0</v>
      </c>
      <c r="BU274" s="23">
        <f>$L274*AN274</f>
        <v>0</v>
      </c>
      <c r="BV274" s="23">
        <f>$L274*AO274</f>
        <v>0</v>
      </c>
      <c r="BW274" s="23">
        <f>$L274*AP274</f>
        <v>0</v>
      </c>
      <c r="BX274" s="23">
        <f>$L274*AQ274</f>
        <v>0</v>
      </c>
      <c r="BY274" s="23">
        <f>$L274*AR274</f>
        <v>0</v>
      </c>
      <c r="BZ274" s="23">
        <f>$L274*AS274</f>
        <v>0</v>
      </c>
      <c r="CA274" s="23">
        <f>$L274*AT274</f>
        <v>0</v>
      </c>
      <c r="CB274" s="23">
        <f>$L274*AU274</f>
        <v>0</v>
      </c>
      <c r="CC274" s="23">
        <f>$L274*AV274</f>
        <v>0</v>
      </c>
      <c r="CD274" s="23">
        <f>$L274*AW274</f>
        <v>0</v>
      </c>
      <c r="CE274" s="23">
        <f>$L274*AX274</f>
        <v>0</v>
      </c>
      <c r="CF274" s="23">
        <f>$L274*AY274</f>
        <v>0</v>
      </c>
      <c r="CG274" s="23">
        <f>$L274*AZ274</f>
        <v>0</v>
      </c>
      <c r="CH274" s="23">
        <f>$L274*BA274</f>
        <v>0</v>
      </c>
      <c r="CI274" s="23">
        <f>$L274*BB274</f>
        <v>0</v>
      </c>
      <c r="CJ274" s="23">
        <f>$L274*BC274</f>
        <v>0</v>
      </c>
      <c r="CK274" s="23">
        <f>$L274*BD274</f>
        <v>0</v>
      </c>
      <c r="CL274" s="23">
        <f>$L274*BE274</f>
        <v>0</v>
      </c>
      <c r="CM274" s="23">
        <f>$L274*BF274</f>
        <v>0</v>
      </c>
      <c r="CN274" s="23">
        <f>$L274*BG274</f>
        <v>1</v>
      </c>
      <c r="CO274" s="23">
        <f>$L274*BH274</f>
        <v>1</v>
      </c>
      <c r="CP274" s="23">
        <f>$L274*BI274</f>
        <v>1</v>
      </c>
      <c r="CQ274" s="23">
        <f>$L274*BJ274</f>
        <v>1</v>
      </c>
      <c r="CR274" s="23">
        <f>$L274*BK274</f>
        <v>1</v>
      </c>
      <c r="CS274" s="23">
        <f>$L274*BL274</f>
        <v>1</v>
      </c>
      <c r="CT274" s="23">
        <f>$L274*BM274</f>
        <v>1</v>
      </c>
      <c r="CU274" s="23">
        <f>$L274*BN274</f>
        <v>1</v>
      </c>
      <c r="CV274" s="23">
        <f>$L274*BO274</f>
        <v>1</v>
      </c>
    </row>
    <row r="275" spans="1:100" ht="13.5" x14ac:dyDescent="0.15">
      <c r="A275" s="15">
        <v>151</v>
      </c>
      <c r="B275" s="28" t="s">
        <v>658</v>
      </c>
      <c r="C275" t="s">
        <v>414</v>
      </c>
      <c r="E275" t="s">
        <v>140</v>
      </c>
      <c r="F275" t="s">
        <v>415</v>
      </c>
      <c r="G275" t="s">
        <v>140</v>
      </c>
      <c r="H275" t="s">
        <v>141</v>
      </c>
      <c r="I275" s="6" t="s">
        <v>136</v>
      </c>
      <c r="J275" s="6">
        <v>0</v>
      </c>
      <c r="L275" s="15">
        <v>1</v>
      </c>
      <c r="M275" s="7">
        <v>46135</v>
      </c>
      <c r="N275" s="7">
        <v>46157</v>
      </c>
      <c r="O275" s="7">
        <v>46153</v>
      </c>
      <c r="P275" s="7">
        <v>46154</v>
      </c>
      <c r="S275" s="6" t="s">
        <v>140</v>
      </c>
      <c r="U275" s="6" t="s">
        <v>413</v>
      </c>
      <c r="V275" s="6" t="str">
        <f>TEXT(N275,"YY/MM")</f>
        <v>26/05</v>
      </c>
      <c r="W275">
        <v>1647</v>
      </c>
      <c r="AA275">
        <v>1001</v>
      </c>
      <c r="AC275">
        <v>1054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>$L275*AI275</f>
        <v>0</v>
      </c>
      <c r="BQ275" s="23">
        <f>$L275*AJ275</f>
        <v>0</v>
      </c>
      <c r="BR275" s="23">
        <f>$L275*AK275</f>
        <v>0</v>
      </c>
      <c r="BS275" s="23">
        <f>$L275*AL275</f>
        <v>0</v>
      </c>
      <c r="BT275" s="23">
        <f>$L275*AM275</f>
        <v>0</v>
      </c>
      <c r="BU275" s="23">
        <f>$L275*AN275</f>
        <v>0</v>
      </c>
      <c r="BV275" s="23">
        <f>$L275*AO275</f>
        <v>0</v>
      </c>
      <c r="BW275" s="23">
        <f>$L275*AP275</f>
        <v>0</v>
      </c>
      <c r="BX275" s="23">
        <f>$L275*AQ275</f>
        <v>0</v>
      </c>
      <c r="BY275" s="23">
        <f>$L275*AR275</f>
        <v>0</v>
      </c>
      <c r="BZ275" s="23">
        <f>$L275*AS275</f>
        <v>0</v>
      </c>
      <c r="CA275" s="23">
        <f>$L275*AT275</f>
        <v>0</v>
      </c>
      <c r="CB275" s="23">
        <f>$L275*AU275</f>
        <v>0</v>
      </c>
      <c r="CC275" s="23">
        <f>$L275*AV275</f>
        <v>0</v>
      </c>
      <c r="CD275" s="23">
        <f>$L275*AW275</f>
        <v>0</v>
      </c>
      <c r="CE275" s="23">
        <f>$L275*AX275</f>
        <v>0</v>
      </c>
      <c r="CF275" s="23">
        <f>$L275*AY275</f>
        <v>0</v>
      </c>
      <c r="CG275" s="23">
        <f>$L275*AZ275</f>
        <v>0</v>
      </c>
      <c r="CH275" s="23">
        <f>$L275*BA275</f>
        <v>0</v>
      </c>
      <c r="CI275" s="23">
        <f>$L275*BB275</f>
        <v>0</v>
      </c>
      <c r="CJ275" s="23">
        <f>$L275*BC275</f>
        <v>0</v>
      </c>
      <c r="CK275" s="23">
        <f>$L275*BD275</f>
        <v>0</v>
      </c>
      <c r="CL275" s="23">
        <f>$L275*BE275</f>
        <v>0</v>
      </c>
      <c r="CM275" s="23">
        <f>$L275*BF275</f>
        <v>0</v>
      </c>
      <c r="CN275" s="23">
        <f>$L275*BG275</f>
        <v>1</v>
      </c>
      <c r="CO275" s="23">
        <f>$L275*BH275</f>
        <v>1</v>
      </c>
      <c r="CP275" s="23">
        <f>$L275*BI275</f>
        <v>1</v>
      </c>
      <c r="CQ275" s="23">
        <f>$L275*BJ275</f>
        <v>1</v>
      </c>
      <c r="CR275" s="23">
        <f>$L275*BK275</f>
        <v>1</v>
      </c>
      <c r="CS275" s="23">
        <f>$L275*BL275</f>
        <v>1</v>
      </c>
      <c r="CT275" s="23">
        <f>$L275*BM275</f>
        <v>1</v>
      </c>
      <c r="CU275" s="23">
        <f>$L275*BN275</f>
        <v>1</v>
      </c>
      <c r="CV275" s="23">
        <f>$L275*BO275</f>
        <v>1</v>
      </c>
    </row>
    <row r="276" spans="1:100" ht="13.5" x14ac:dyDescent="0.15">
      <c r="A276" s="15">
        <v>151</v>
      </c>
      <c r="B276" s="28" t="s">
        <v>659</v>
      </c>
      <c r="C276" t="s">
        <v>414</v>
      </c>
      <c r="E276" t="s">
        <v>140</v>
      </c>
      <c r="F276" t="s">
        <v>415</v>
      </c>
      <c r="G276" t="s">
        <v>140</v>
      </c>
      <c r="H276" t="s">
        <v>141</v>
      </c>
      <c r="I276" s="6" t="s">
        <v>136</v>
      </c>
      <c r="J276" s="6">
        <v>0</v>
      </c>
      <c r="L276" s="15">
        <v>1</v>
      </c>
      <c r="M276" s="7">
        <v>46135</v>
      </c>
      <c r="N276" s="7">
        <v>46157</v>
      </c>
      <c r="O276" s="7">
        <v>46153</v>
      </c>
      <c r="P276" s="7">
        <v>46154</v>
      </c>
      <c r="S276" s="6" t="s">
        <v>140</v>
      </c>
      <c r="U276" s="6" t="s">
        <v>413</v>
      </c>
      <c r="V276" s="6" t="str">
        <f>TEXT(N276,"YY/MM")</f>
        <v>26/05</v>
      </c>
      <c r="W276">
        <v>1648</v>
      </c>
      <c r="AA276">
        <v>1002</v>
      </c>
      <c r="AC276">
        <v>1055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>$L276*AI276</f>
        <v>0</v>
      </c>
      <c r="BQ276" s="23">
        <f>$L276*AJ276</f>
        <v>0</v>
      </c>
      <c r="BR276" s="23">
        <f>$L276*AK276</f>
        <v>0</v>
      </c>
      <c r="BS276" s="23">
        <f>$L276*AL276</f>
        <v>0</v>
      </c>
      <c r="BT276" s="23">
        <f>$L276*AM276</f>
        <v>0</v>
      </c>
      <c r="BU276" s="23">
        <f>$L276*AN276</f>
        <v>0</v>
      </c>
      <c r="BV276" s="23">
        <f>$L276*AO276</f>
        <v>0</v>
      </c>
      <c r="BW276" s="23">
        <f>$L276*AP276</f>
        <v>0</v>
      </c>
      <c r="BX276" s="23">
        <f>$L276*AQ276</f>
        <v>0</v>
      </c>
      <c r="BY276" s="23">
        <f>$L276*AR276</f>
        <v>0</v>
      </c>
      <c r="BZ276" s="23">
        <f>$L276*AS276</f>
        <v>0</v>
      </c>
      <c r="CA276" s="23">
        <f>$L276*AT276</f>
        <v>0</v>
      </c>
      <c r="CB276" s="23">
        <f>$L276*AU276</f>
        <v>0</v>
      </c>
      <c r="CC276" s="23">
        <f>$L276*AV276</f>
        <v>0</v>
      </c>
      <c r="CD276" s="23">
        <f>$L276*AW276</f>
        <v>0</v>
      </c>
      <c r="CE276" s="23">
        <f>$L276*AX276</f>
        <v>0</v>
      </c>
      <c r="CF276" s="23">
        <f>$L276*AY276</f>
        <v>0</v>
      </c>
      <c r="CG276" s="23">
        <f>$L276*AZ276</f>
        <v>0</v>
      </c>
      <c r="CH276" s="23">
        <f>$L276*BA276</f>
        <v>0</v>
      </c>
      <c r="CI276" s="23">
        <f>$L276*BB276</f>
        <v>0</v>
      </c>
      <c r="CJ276" s="23">
        <f>$L276*BC276</f>
        <v>0</v>
      </c>
      <c r="CK276" s="23">
        <f>$L276*BD276</f>
        <v>0</v>
      </c>
      <c r="CL276" s="23">
        <f>$L276*BE276</f>
        <v>0</v>
      </c>
      <c r="CM276" s="23">
        <f>$L276*BF276</f>
        <v>0</v>
      </c>
      <c r="CN276" s="23">
        <f>$L276*BG276</f>
        <v>1</v>
      </c>
      <c r="CO276" s="23">
        <f>$L276*BH276</f>
        <v>1</v>
      </c>
      <c r="CP276" s="23">
        <f>$L276*BI276</f>
        <v>1</v>
      </c>
      <c r="CQ276" s="23">
        <f>$L276*BJ276</f>
        <v>1</v>
      </c>
      <c r="CR276" s="23">
        <f>$L276*BK276</f>
        <v>1</v>
      </c>
      <c r="CS276" s="23">
        <f>$L276*BL276</f>
        <v>1</v>
      </c>
      <c r="CT276" s="23">
        <f>$L276*BM276</f>
        <v>1</v>
      </c>
      <c r="CU276" s="23">
        <f>$L276*BN276</f>
        <v>1</v>
      </c>
      <c r="CV276" s="23">
        <f>$L276*BO276</f>
        <v>1</v>
      </c>
    </row>
    <row r="277" spans="1:100" ht="13.5" x14ac:dyDescent="0.15">
      <c r="A277" s="15">
        <v>151</v>
      </c>
      <c r="B277" s="28" t="s">
        <v>660</v>
      </c>
      <c r="C277" t="s">
        <v>414</v>
      </c>
      <c r="E277" t="s">
        <v>140</v>
      </c>
      <c r="F277" t="s">
        <v>415</v>
      </c>
      <c r="G277" t="s">
        <v>140</v>
      </c>
      <c r="H277" t="s">
        <v>141</v>
      </c>
      <c r="I277" s="6" t="s">
        <v>136</v>
      </c>
      <c r="J277" s="6">
        <v>0</v>
      </c>
      <c r="L277" s="15">
        <v>1</v>
      </c>
      <c r="M277" s="7">
        <v>46135</v>
      </c>
      <c r="N277" s="7">
        <v>46160</v>
      </c>
      <c r="O277" s="7">
        <v>46153</v>
      </c>
      <c r="P277" s="7">
        <v>46154</v>
      </c>
      <c r="S277" s="6" t="s">
        <v>140</v>
      </c>
      <c r="U277" s="6" t="s">
        <v>413</v>
      </c>
      <c r="V277" s="6" t="str">
        <f>TEXT(N277,"YY/MM")</f>
        <v>26/05</v>
      </c>
      <c r="W277">
        <v>1649</v>
      </c>
      <c r="AA277">
        <v>1003</v>
      </c>
      <c r="AC277">
        <v>1056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>$L277*AI277</f>
        <v>0</v>
      </c>
      <c r="BQ277" s="23">
        <f>$L277*AJ277</f>
        <v>0</v>
      </c>
      <c r="BR277" s="23">
        <f>$L277*AK277</f>
        <v>0</v>
      </c>
      <c r="BS277" s="23">
        <f>$L277*AL277</f>
        <v>0</v>
      </c>
      <c r="BT277" s="23">
        <f>$L277*AM277</f>
        <v>0</v>
      </c>
      <c r="BU277" s="23">
        <f>$L277*AN277</f>
        <v>0</v>
      </c>
      <c r="BV277" s="23">
        <f>$L277*AO277</f>
        <v>0</v>
      </c>
      <c r="BW277" s="23">
        <f>$L277*AP277</f>
        <v>0</v>
      </c>
      <c r="BX277" s="23">
        <f>$L277*AQ277</f>
        <v>0</v>
      </c>
      <c r="BY277" s="23">
        <f>$L277*AR277</f>
        <v>0</v>
      </c>
      <c r="BZ277" s="23">
        <f>$L277*AS277</f>
        <v>0</v>
      </c>
      <c r="CA277" s="23">
        <f>$L277*AT277</f>
        <v>0</v>
      </c>
      <c r="CB277" s="23">
        <f>$L277*AU277</f>
        <v>0</v>
      </c>
      <c r="CC277" s="23">
        <f>$L277*AV277</f>
        <v>0</v>
      </c>
      <c r="CD277" s="23">
        <f>$L277*AW277</f>
        <v>0</v>
      </c>
      <c r="CE277" s="23">
        <f>$L277*AX277</f>
        <v>0</v>
      </c>
      <c r="CF277" s="23">
        <f>$L277*AY277</f>
        <v>0</v>
      </c>
      <c r="CG277" s="23">
        <f>$L277*AZ277</f>
        <v>0</v>
      </c>
      <c r="CH277" s="23">
        <f>$L277*BA277</f>
        <v>0</v>
      </c>
      <c r="CI277" s="23">
        <f>$L277*BB277</f>
        <v>0</v>
      </c>
      <c r="CJ277" s="23">
        <f>$L277*BC277</f>
        <v>0</v>
      </c>
      <c r="CK277" s="23">
        <f>$L277*BD277</f>
        <v>0</v>
      </c>
      <c r="CL277" s="23">
        <f>$L277*BE277</f>
        <v>0</v>
      </c>
      <c r="CM277" s="23">
        <f>$L277*BF277</f>
        <v>0</v>
      </c>
      <c r="CN277" s="23">
        <f>$L277*BG277</f>
        <v>1</v>
      </c>
      <c r="CO277" s="23">
        <f>$L277*BH277</f>
        <v>1</v>
      </c>
      <c r="CP277" s="23">
        <f>$L277*BI277</f>
        <v>1</v>
      </c>
      <c r="CQ277" s="23">
        <f>$L277*BJ277</f>
        <v>1</v>
      </c>
      <c r="CR277" s="23">
        <f>$L277*BK277</f>
        <v>1</v>
      </c>
      <c r="CS277" s="23">
        <f>$L277*BL277</f>
        <v>1</v>
      </c>
      <c r="CT277" s="23">
        <f>$L277*BM277</f>
        <v>1</v>
      </c>
      <c r="CU277" s="23">
        <f>$L277*BN277</f>
        <v>1</v>
      </c>
      <c r="CV277" s="23">
        <f>$L277*BO277</f>
        <v>1</v>
      </c>
    </row>
    <row r="278" spans="1:100" ht="13.5" x14ac:dyDescent="0.15">
      <c r="A278" s="15">
        <v>151</v>
      </c>
      <c r="B278" s="28" t="s">
        <v>661</v>
      </c>
      <c r="C278" t="s">
        <v>414</v>
      </c>
      <c r="E278" t="s">
        <v>140</v>
      </c>
      <c r="F278" t="s">
        <v>415</v>
      </c>
      <c r="G278" t="s">
        <v>140</v>
      </c>
      <c r="H278" t="s">
        <v>141</v>
      </c>
      <c r="I278" s="6" t="s">
        <v>136</v>
      </c>
      <c r="J278" s="6">
        <v>0</v>
      </c>
      <c r="L278" s="15">
        <v>1</v>
      </c>
      <c r="M278" s="7">
        <v>46135</v>
      </c>
      <c r="N278" s="7">
        <v>46160</v>
      </c>
      <c r="O278" s="7">
        <v>46153</v>
      </c>
      <c r="P278" s="7">
        <v>46154</v>
      </c>
      <c r="S278" s="6" t="s">
        <v>140</v>
      </c>
      <c r="U278" s="6" t="s">
        <v>413</v>
      </c>
      <c r="V278" s="6" t="str">
        <f>TEXT(N278,"YY/MM")</f>
        <v>26/05</v>
      </c>
      <c r="W278">
        <v>1650</v>
      </c>
      <c r="AA278">
        <v>1004</v>
      </c>
      <c r="AC278">
        <v>1057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>$L278*AI278</f>
        <v>0</v>
      </c>
      <c r="BQ278" s="23">
        <f>$L278*AJ278</f>
        <v>0</v>
      </c>
      <c r="BR278" s="23">
        <f>$L278*AK278</f>
        <v>0</v>
      </c>
      <c r="BS278" s="23">
        <f>$L278*AL278</f>
        <v>0</v>
      </c>
      <c r="BT278" s="23">
        <f>$L278*AM278</f>
        <v>0</v>
      </c>
      <c r="BU278" s="23">
        <f>$L278*AN278</f>
        <v>0</v>
      </c>
      <c r="BV278" s="23">
        <f>$L278*AO278</f>
        <v>0</v>
      </c>
      <c r="BW278" s="23">
        <f>$L278*AP278</f>
        <v>0</v>
      </c>
      <c r="BX278" s="23">
        <f>$L278*AQ278</f>
        <v>0</v>
      </c>
      <c r="BY278" s="23">
        <f>$L278*AR278</f>
        <v>0</v>
      </c>
      <c r="BZ278" s="23">
        <f>$L278*AS278</f>
        <v>0</v>
      </c>
      <c r="CA278" s="23">
        <f>$L278*AT278</f>
        <v>0</v>
      </c>
      <c r="CB278" s="23">
        <f>$L278*AU278</f>
        <v>0</v>
      </c>
      <c r="CC278" s="23">
        <f>$L278*AV278</f>
        <v>0</v>
      </c>
      <c r="CD278" s="23">
        <f>$L278*AW278</f>
        <v>0</v>
      </c>
      <c r="CE278" s="23">
        <f>$L278*AX278</f>
        <v>0</v>
      </c>
      <c r="CF278" s="23">
        <f>$L278*AY278</f>
        <v>0</v>
      </c>
      <c r="CG278" s="23">
        <f>$L278*AZ278</f>
        <v>0</v>
      </c>
      <c r="CH278" s="23">
        <f>$L278*BA278</f>
        <v>0</v>
      </c>
      <c r="CI278" s="23">
        <f>$L278*BB278</f>
        <v>0</v>
      </c>
      <c r="CJ278" s="23">
        <f>$L278*BC278</f>
        <v>0</v>
      </c>
      <c r="CK278" s="23">
        <f>$L278*BD278</f>
        <v>0</v>
      </c>
      <c r="CL278" s="23">
        <f>$L278*BE278</f>
        <v>0</v>
      </c>
      <c r="CM278" s="23">
        <f>$L278*BF278</f>
        <v>0</v>
      </c>
      <c r="CN278" s="23">
        <f>$L278*BG278</f>
        <v>1</v>
      </c>
      <c r="CO278" s="23">
        <f>$L278*BH278</f>
        <v>1</v>
      </c>
      <c r="CP278" s="23">
        <f>$L278*BI278</f>
        <v>1</v>
      </c>
      <c r="CQ278" s="23">
        <f>$L278*BJ278</f>
        <v>1</v>
      </c>
      <c r="CR278" s="23">
        <f>$L278*BK278</f>
        <v>1</v>
      </c>
      <c r="CS278" s="23">
        <f>$L278*BL278</f>
        <v>1</v>
      </c>
      <c r="CT278" s="23">
        <f>$L278*BM278</f>
        <v>1</v>
      </c>
      <c r="CU278" s="23">
        <f>$L278*BN278</f>
        <v>1</v>
      </c>
      <c r="CV278" s="23">
        <f>$L278*BO278</f>
        <v>1</v>
      </c>
    </row>
    <row r="279" spans="1:100" ht="13.5" x14ac:dyDescent="0.15">
      <c r="A279" s="15">
        <v>151</v>
      </c>
      <c r="B279" s="28" t="s">
        <v>662</v>
      </c>
      <c r="C279" t="s">
        <v>414</v>
      </c>
      <c r="E279" t="s">
        <v>140</v>
      </c>
      <c r="F279" t="s">
        <v>415</v>
      </c>
      <c r="G279" t="s">
        <v>140</v>
      </c>
      <c r="H279" t="s">
        <v>141</v>
      </c>
      <c r="I279" s="6" t="s">
        <v>136</v>
      </c>
      <c r="J279" s="6">
        <v>0</v>
      </c>
      <c r="L279" s="15">
        <v>1</v>
      </c>
      <c r="M279" s="7">
        <v>46135</v>
      </c>
      <c r="N279" s="7">
        <v>46160</v>
      </c>
      <c r="O279" s="7">
        <v>46153</v>
      </c>
      <c r="P279" s="7">
        <v>46154</v>
      </c>
      <c r="S279" s="6" t="s">
        <v>140</v>
      </c>
      <c r="U279" s="6" t="s">
        <v>413</v>
      </c>
      <c r="V279" s="6" t="str">
        <f>TEXT(N279,"YY/MM")</f>
        <v>26/05</v>
      </c>
      <c r="W279">
        <v>1651</v>
      </c>
      <c r="AA279">
        <v>1005</v>
      </c>
      <c r="AC279">
        <v>1058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>$L279*AI279</f>
        <v>0</v>
      </c>
      <c r="BQ279" s="23">
        <f>$L279*AJ279</f>
        <v>0</v>
      </c>
      <c r="BR279" s="23">
        <f>$L279*AK279</f>
        <v>0</v>
      </c>
      <c r="BS279" s="23">
        <f>$L279*AL279</f>
        <v>0</v>
      </c>
      <c r="BT279" s="23">
        <f>$L279*AM279</f>
        <v>0</v>
      </c>
      <c r="BU279" s="23">
        <f>$L279*AN279</f>
        <v>0</v>
      </c>
      <c r="BV279" s="23">
        <f>$L279*AO279</f>
        <v>0</v>
      </c>
      <c r="BW279" s="23">
        <f>$L279*AP279</f>
        <v>0</v>
      </c>
      <c r="BX279" s="23">
        <f>$L279*AQ279</f>
        <v>0</v>
      </c>
      <c r="BY279" s="23">
        <f>$L279*AR279</f>
        <v>0</v>
      </c>
      <c r="BZ279" s="23">
        <f>$L279*AS279</f>
        <v>0</v>
      </c>
      <c r="CA279" s="23">
        <f>$L279*AT279</f>
        <v>0</v>
      </c>
      <c r="CB279" s="23">
        <f>$L279*AU279</f>
        <v>0</v>
      </c>
      <c r="CC279" s="23">
        <f>$L279*AV279</f>
        <v>0</v>
      </c>
      <c r="CD279" s="23">
        <f>$L279*AW279</f>
        <v>0</v>
      </c>
      <c r="CE279" s="23">
        <f>$L279*AX279</f>
        <v>0</v>
      </c>
      <c r="CF279" s="23">
        <f>$L279*AY279</f>
        <v>0</v>
      </c>
      <c r="CG279" s="23">
        <f>$L279*AZ279</f>
        <v>0</v>
      </c>
      <c r="CH279" s="23">
        <f>$L279*BA279</f>
        <v>0</v>
      </c>
      <c r="CI279" s="23">
        <f>$L279*BB279</f>
        <v>0</v>
      </c>
      <c r="CJ279" s="23">
        <f>$L279*BC279</f>
        <v>0</v>
      </c>
      <c r="CK279" s="23">
        <f>$L279*BD279</f>
        <v>0</v>
      </c>
      <c r="CL279" s="23">
        <f>$L279*BE279</f>
        <v>0</v>
      </c>
      <c r="CM279" s="23">
        <f>$L279*BF279</f>
        <v>0</v>
      </c>
      <c r="CN279" s="23">
        <f>$L279*BG279</f>
        <v>1</v>
      </c>
      <c r="CO279" s="23">
        <f>$L279*BH279</f>
        <v>1</v>
      </c>
      <c r="CP279" s="23">
        <f>$L279*BI279</f>
        <v>1</v>
      </c>
      <c r="CQ279" s="23">
        <f>$L279*BJ279</f>
        <v>1</v>
      </c>
      <c r="CR279" s="23">
        <f>$L279*BK279</f>
        <v>1</v>
      </c>
      <c r="CS279" s="23">
        <f>$L279*BL279</f>
        <v>1</v>
      </c>
      <c r="CT279" s="23">
        <f>$L279*BM279</f>
        <v>1</v>
      </c>
      <c r="CU279" s="23">
        <f>$L279*BN279</f>
        <v>1</v>
      </c>
      <c r="CV279" s="23">
        <f>$L279*BO279</f>
        <v>1</v>
      </c>
    </row>
    <row r="280" spans="1:100" ht="13.5" x14ac:dyDescent="0.15">
      <c r="A280" s="15">
        <v>151</v>
      </c>
      <c r="B280" s="28" t="s">
        <v>663</v>
      </c>
      <c r="C280" t="s">
        <v>414</v>
      </c>
      <c r="E280" t="s">
        <v>140</v>
      </c>
      <c r="F280" t="s">
        <v>415</v>
      </c>
      <c r="G280" t="s">
        <v>140</v>
      </c>
      <c r="H280" t="s">
        <v>141</v>
      </c>
      <c r="I280" s="6" t="s">
        <v>136</v>
      </c>
      <c r="J280" s="6">
        <v>0</v>
      </c>
      <c r="L280" s="15">
        <v>1</v>
      </c>
      <c r="M280" s="7">
        <v>46135</v>
      </c>
      <c r="N280" s="7">
        <v>46160</v>
      </c>
      <c r="O280" s="7">
        <v>46153</v>
      </c>
      <c r="P280" s="7">
        <v>46154</v>
      </c>
      <c r="S280" s="6" t="s">
        <v>140</v>
      </c>
      <c r="U280" s="6" t="s">
        <v>413</v>
      </c>
      <c r="V280" s="6" t="str">
        <f>TEXT(N280,"YY/MM")</f>
        <v>26/05</v>
      </c>
      <c r="W280">
        <v>1652</v>
      </c>
      <c r="AA280">
        <v>1006</v>
      </c>
      <c r="AC280">
        <v>1059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>$L280*AI280</f>
        <v>0</v>
      </c>
      <c r="BQ280" s="23">
        <f>$L280*AJ280</f>
        <v>0</v>
      </c>
      <c r="BR280" s="23">
        <f>$L280*AK280</f>
        <v>0</v>
      </c>
      <c r="BS280" s="23">
        <f>$L280*AL280</f>
        <v>0</v>
      </c>
      <c r="BT280" s="23">
        <f>$L280*AM280</f>
        <v>0</v>
      </c>
      <c r="BU280" s="23">
        <f>$L280*AN280</f>
        <v>0</v>
      </c>
      <c r="BV280" s="23">
        <f>$L280*AO280</f>
        <v>0</v>
      </c>
      <c r="BW280" s="23">
        <f>$L280*AP280</f>
        <v>0</v>
      </c>
      <c r="BX280" s="23">
        <f>$L280*AQ280</f>
        <v>0</v>
      </c>
      <c r="BY280" s="23">
        <f>$L280*AR280</f>
        <v>0</v>
      </c>
      <c r="BZ280" s="23">
        <f>$L280*AS280</f>
        <v>0</v>
      </c>
      <c r="CA280" s="23">
        <f>$L280*AT280</f>
        <v>0</v>
      </c>
      <c r="CB280" s="23">
        <f>$L280*AU280</f>
        <v>0</v>
      </c>
      <c r="CC280" s="23">
        <f>$L280*AV280</f>
        <v>0</v>
      </c>
      <c r="CD280" s="23">
        <f>$L280*AW280</f>
        <v>0</v>
      </c>
      <c r="CE280" s="23">
        <f>$L280*AX280</f>
        <v>0</v>
      </c>
      <c r="CF280" s="23">
        <f>$L280*AY280</f>
        <v>0</v>
      </c>
      <c r="CG280" s="23">
        <f>$L280*AZ280</f>
        <v>0</v>
      </c>
      <c r="CH280" s="23">
        <f>$L280*BA280</f>
        <v>0</v>
      </c>
      <c r="CI280" s="23">
        <f>$L280*BB280</f>
        <v>0</v>
      </c>
      <c r="CJ280" s="23">
        <f>$L280*BC280</f>
        <v>0</v>
      </c>
      <c r="CK280" s="23">
        <f>$L280*BD280</f>
        <v>0</v>
      </c>
      <c r="CL280" s="23">
        <f>$L280*BE280</f>
        <v>0</v>
      </c>
      <c r="CM280" s="23">
        <f>$L280*BF280</f>
        <v>0</v>
      </c>
      <c r="CN280" s="23">
        <f>$L280*BG280</f>
        <v>1</v>
      </c>
      <c r="CO280" s="23">
        <f>$L280*BH280</f>
        <v>1</v>
      </c>
      <c r="CP280" s="23">
        <f>$L280*BI280</f>
        <v>1</v>
      </c>
      <c r="CQ280" s="23">
        <f>$L280*BJ280</f>
        <v>1</v>
      </c>
      <c r="CR280" s="23">
        <f>$L280*BK280</f>
        <v>1</v>
      </c>
      <c r="CS280" s="23">
        <f>$L280*BL280</f>
        <v>1</v>
      </c>
      <c r="CT280" s="23">
        <f>$L280*BM280</f>
        <v>1</v>
      </c>
      <c r="CU280" s="23">
        <f>$L280*BN280</f>
        <v>1</v>
      </c>
      <c r="CV280" s="23">
        <f>$L280*BO280</f>
        <v>1</v>
      </c>
    </row>
    <row r="281" spans="1:100" ht="13.5" x14ac:dyDescent="0.15">
      <c r="A281" s="15">
        <v>151</v>
      </c>
      <c r="B281" s="28" t="s">
        <v>664</v>
      </c>
      <c r="C281" t="s">
        <v>414</v>
      </c>
      <c r="E281" t="s">
        <v>140</v>
      </c>
      <c r="F281" t="s">
        <v>415</v>
      </c>
      <c r="G281" t="s">
        <v>140</v>
      </c>
      <c r="H281" t="s">
        <v>141</v>
      </c>
      <c r="I281" s="6" t="s">
        <v>136</v>
      </c>
      <c r="J281" s="6">
        <v>0</v>
      </c>
      <c r="L281" s="15">
        <v>1</v>
      </c>
      <c r="M281" s="7">
        <v>46135</v>
      </c>
      <c r="N281" s="7">
        <v>46160</v>
      </c>
      <c r="O281" s="7">
        <v>46153</v>
      </c>
      <c r="P281" s="7">
        <v>46154</v>
      </c>
      <c r="S281" s="6" t="s">
        <v>140</v>
      </c>
      <c r="U281" s="6" t="s">
        <v>413</v>
      </c>
      <c r="V281" s="6" t="str">
        <f>TEXT(N281,"YY/MM")</f>
        <v>26/05</v>
      </c>
      <c r="W281">
        <v>1653</v>
      </c>
      <c r="AA281">
        <v>1007</v>
      </c>
      <c r="AC281">
        <v>1060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>$L281*AI281</f>
        <v>0</v>
      </c>
      <c r="BQ281" s="23">
        <f>$L281*AJ281</f>
        <v>0</v>
      </c>
      <c r="BR281" s="23">
        <f>$L281*AK281</f>
        <v>0</v>
      </c>
      <c r="BS281" s="23">
        <f>$L281*AL281</f>
        <v>0</v>
      </c>
      <c r="BT281" s="23">
        <f>$L281*AM281</f>
        <v>0</v>
      </c>
      <c r="BU281" s="23">
        <f>$L281*AN281</f>
        <v>0</v>
      </c>
      <c r="BV281" s="23">
        <f>$L281*AO281</f>
        <v>0</v>
      </c>
      <c r="BW281" s="23">
        <f>$L281*AP281</f>
        <v>0</v>
      </c>
      <c r="BX281" s="23">
        <f>$L281*AQ281</f>
        <v>0</v>
      </c>
      <c r="BY281" s="23">
        <f>$L281*AR281</f>
        <v>0</v>
      </c>
      <c r="BZ281" s="23">
        <f>$L281*AS281</f>
        <v>0</v>
      </c>
      <c r="CA281" s="23">
        <f>$L281*AT281</f>
        <v>0</v>
      </c>
      <c r="CB281" s="23">
        <f>$L281*AU281</f>
        <v>0</v>
      </c>
      <c r="CC281" s="23">
        <f>$L281*AV281</f>
        <v>0</v>
      </c>
      <c r="CD281" s="23">
        <f>$L281*AW281</f>
        <v>0</v>
      </c>
      <c r="CE281" s="23">
        <f>$L281*AX281</f>
        <v>0</v>
      </c>
      <c r="CF281" s="23">
        <f>$L281*AY281</f>
        <v>0</v>
      </c>
      <c r="CG281" s="23">
        <f>$L281*AZ281</f>
        <v>0</v>
      </c>
      <c r="CH281" s="23">
        <f>$L281*BA281</f>
        <v>0</v>
      </c>
      <c r="CI281" s="23">
        <f>$L281*BB281</f>
        <v>0</v>
      </c>
      <c r="CJ281" s="23">
        <f>$L281*BC281</f>
        <v>0</v>
      </c>
      <c r="CK281" s="23">
        <f>$L281*BD281</f>
        <v>0</v>
      </c>
      <c r="CL281" s="23">
        <f>$L281*BE281</f>
        <v>0</v>
      </c>
      <c r="CM281" s="23">
        <f>$L281*BF281</f>
        <v>0</v>
      </c>
      <c r="CN281" s="23">
        <f>$L281*BG281</f>
        <v>1</v>
      </c>
      <c r="CO281" s="23">
        <f>$L281*BH281</f>
        <v>1</v>
      </c>
      <c r="CP281" s="23">
        <f>$L281*BI281</f>
        <v>1</v>
      </c>
      <c r="CQ281" s="23">
        <f>$L281*BJ281</f>
        <v>1</v>
      </c>
      <c r="CR281" s="23">
        <f>$L281*BK281</f>
        <v>1</v>
      </c>
      <c r="CS281" s="23">
        <f>$L281*BL281</f>
        <v>1</v>
      </c>
      <c r="CT281" s="23">
        <f>$L281*BM281</f>
        <v>1</v>
      </c>
      <c r="CU281" s="23">
        <f>$L281*BN281</f>
        <v>1</v>
      </c>
      <c r="CV281" s="23">
        <f>$L281*BO281</f>
        <v>1</v>
      </c>
    </row>
    <row r="282" spans="1:100" ht="13.5" x14ac:dyDescent="0.15">
      <c r="A282" s="15">
        <v>151</v>
      </c>
      <c r="B282" s="28" t="s">
        <v>665</v>
      </c>
      <c r="C282" t="s">
        <v>414</v>
      </c>
      <c r="E282" t="s">
        <v>140</v>
      </c>
      <c r="F282" t="s">
        <v>415</v>
      </c>
      <c r="G282" t="s">
        <v>140</v>
      </c>
      <c r="H282" t="s">
        <v>141</v>
      </c>
      <c r="I282" s="6" t="s">
        <v>136</v>
      </c>
      <c r="J282" s="6">
        <v>0</v>
      </c>
      <c r="L282" s="15">
        <v>1</v>
      </c>
      <c r="M282" s="7">
        <v>46135</v>
      </c>
      <c r="N282" s="7">
        <v>46161</v>
      </c>
      <c r="O282" s="7">
        <v>46153</v>
      </c>
      <c r="P282" s="7">
        <v>46154</v>
      </c>
      <c r="S282" s="6" t="s">
        <v>140</v>
      </c>
      <c r="U282" s="6" t="s">
        <v>413</v>
      </c>
      <c r="V282" s="6" t="str">
        <f>TEXT(N282,"YY/MM")</f>
        <v>26/05</v>
      </c>
      <c r="W282">
        <v>1654</v>
      </c>
      <c r="AA282">
        <v>1008</v>
      </c>
      <c r="AC282">
        <v>1061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>$L282*AI282</f>
        <v>0</v>
      </c>
      <c r="BQ282" s="23">
        <f>$L282*AJ282</f>
        <v>0</v>
      </c>
      <c r="BR282" s="23">
        <f>$L282*AK282</f>
        <v>0</v>
      </c>
      <c r="BS282" s="23">
        <f>$L282*AL282</f>
        <v>0</v>
      </c>
      <c r="BT282" s="23">
        <f>$L282*AM282</f>
        <v>0</v>
      </c>
      <c r="BU282" s="23">
        <f>$L282*AN282</f>
        <v>0</v>
      </c>
      <c r="BV282" s="23">
        <f>$L282*AO282</f>
        <v>0</v>
      </c>
      <c r="BW282" s="23">
        <f>$L282*AP282</f>
        <v>0</v>
      </c>
      <c r="BX282" s="23">
        <f>$L282*AQ282</f>
        <v>0</v>
      </c>
      <c r="BY282" s="23">
        <f>$L282*AR282</f>
        <v>0</v>
      </c>
      <c r="BZ282" s="23">
        <f>$L282*AS282</f>
        <v>0</v>
      </c>
      <c r="CA282" s="23">
        <f>$L282*AT282</f>
        <v>0</v>
      </c>
      <c r="CB282" s="23">
        <f>$L282*AU282</f>
        <v>0</v>
      </c>
      <c r="CC282" s="23">
        <f>$L282*AV282</f>
        <v>0</v>
      </c>
      <c r="CD282" s="23">
        <f>$L282*AW282</f>
        <v>0</v>
      </c>
      <c r="CE282" s="23">
        <f>$L282*AX282</f>
        <v>0</v>
      </c>
      <c r="CF282" s="23">
        <f>$L282*AY282</f>
        <v>0</v>
      </c>
      <c r="CG282" s="23">
        <f>$L282*AZ282</f>
        <v>0</v>
      </c>
      <c r="CH282" s="23">
        <f>$L282*BA282</f>
        <v>0</v>
      </c>
      <c r="CI282" s="23">
        <f>$L282*BB282</f>
        <v>0</v>
      </c>
      <c r="CJ282" s="23">
        <f>$L282*BC282</f>
        <v>0</v>
      </c>
      <c r="CK282" s="23">
        <f>$L282*BD282</f>
        <v>0</v>
      </c>
      <c r="CL282" s="23">
        <f>$L282*BE282</f>
        <v>0</v>
      </c>
      <c r="CM282" s="23">
        <f>$L282*BF282</f>
        <v>0</v>
      </c>
      <c r="CN282" s="23">
        <f>$L282*BG282</f>
        <v>1</v>
      </c>
      <c r="CO282" s="23">
        <f>$L282*BH282</f>
        <v>1</v>
      </c>
      <c r="CP282" s="23">
        <f>$L282*BI282</f>
        <v>1</v>
      </c>
      <c r="CQ282" s="23">
        <f>$L282*BJ282</f>
        <v>1</v>
      </c>
      <c r="CR282" s="23">
        <f>$L282*BK282</f>
        <v>1</v>
      </c>
      <c r="CS282" s="23">
        <f>$L282*BL282</f>
        <v>1</v>
      </c>
      <c r="CT282" s="23">
        <f>$L282*BM282</f>
        <v>1</v>
      </c>
      <c r="CU282" s="23">
        <f>$L282*BN282</f>
        <v>1</v>
      </c>
      <c r="CV282" s="23">
        <f>$L282*BO282</f>
        <v>1</v>
      </c>
    </row>
    <row r="283" spans="1:100" ht="13.5" x14ac:dyDescent="0.15">
      <c r="A283" s="15">
        <v>151</v>
      </c>
      <c r="B283" s="28" t="s">
        <v>666</v>
      </c>
      <c r="C283" t="s">
        <v>414</v>
      </c>
      <c r="E283" t="s">
        <v>140</v>
      </c>
      <c r="F283" t="s">
        <v>415</v>
      </c>
      <c r="G283" t="s">
        <v>140</v>
      </c>
      <c r="H283" t="s">
        <v>141</v>
      </c>
      <c r="I283" s="6" t="s">
        <v>136</v>
      </c>
      <c r="J283" s="6">
        <v>0</v>
      </c>
      <c r="L283" s="15">
        <v>1</v>
      </c>
      <c r="M283" s="7">
        <v>46135</v>
      </c>
      <c r="N283" s="7">
        <v>46161</v>
      </c>
      <c r="O283" s="7">
        <v>46153</v>
      </c>
      <c r="P283" s="7">
        <v>46154</v>
      </c>
      <c r="S283" s="6" t="s">
        <v>140</v>
      </c>
      <c r="U283" s="6" t="s">
        <v>413</v>
      </c>
      <c r="V283" s="6" t="str">
        <f>TEXT(N283,"YY/MM")</f>
        <v>26/05</v>
      </c>
      <c r="W283">
        <v>1655</v>
      </c>
      <c r="AA283">
        <v>1009</v>
      </c>
      <c r="AC283">
        <v>1062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>$L283*AI283</f>
        <v>0</v>
      </c>
      <c r="BQ283" s="23">
        <f>$L283*AJ283</f>
        <v>0</v>
      </c>
      <c r="BR283" s="23">
        <f>$L283*AK283</f>
        <v>0</v>
      </c>
      <c r="BS283" s="23">
        <f>$L283*AL283</f>
        <v>0</v>
      </c>
      <c r="BT283" s="23">
        <f>$L283*AM283</f>
        <v>0</v>
      </c>
      <c r="BU283" s="23">
        <f>$L283*AN283</f>
        <v>0</v>
      </c>
      <c r="BV283" s="23">
        <f>$L283*AO283</f>
        <v>0</v>
      </c>
      <c r="BW283" s="23">
        <f>$L283*AP283</f>
        <v>0</v>
      </c>
      <c r="BX283" s="23">
        <f>$L283*AQ283</f>
        <v>0</v>
      </c>
      <c r="BY283" s="23">
        <f>$L283*AR283</f>
        <v>0</v>
      </c>
      <c r="BZ283" s="23">
        <f>$L283*AS283</f>
        <v>0</v>
      </c>
      <c r="CA283" s="23">
        <f>$L283*AT283</f>
        <v>0</v>
      </c>
      <c r="CB283" s="23">
        <f>$L283*AU283</f>
        <v>0</v>
      </c>
      <c r="CC283" s="23">
        <f>$L283*AV283</f>
        <v>0</v>
      </c>
      <c r="CD283" s="23">
        <f>$L283*AW283</f>
        <v>0</v>
      </c>
      <c r="CE283" s="23">
        <f>$L283*AX283</f>
        <v>0</v>
      </c>
      <c r="CF283" s="23">
        <f>$L283*AY283</f>
        <v>0</v>
      </c>
      <c r="CG283" s="23">
        <f>$L283*AZ283</f>
        <v>0</v>
      </c>
      <c r="CH283" s="23">
        <f>$L283*BA283</f>
        <v>0</v>
      </c>
      <c r="CI283" s="23">
        <f>$L283*BB283</f>
        <v>0</v>
      </c>
      <c r="CJ283" s="23">
        <f>$L283*BC283</f>
        <v>0</v>
      </c>
      <c r="CK283" s="23">
        <f>$L283*BD283</f>
        <v>0</v>
      </c>
      <c r="CL283" s="23">
        <f>$L283*BE283</f>
        <v>0</v>
      </c>
      <c r="CM283" s="23">
        <f>$L283*BF283</f>
        <v>0</v>
      </c>
      <c r="CN283" s="23">
        <f>$L283*BG283</f>
        <v>1</v>
      </c>
      <c r="CO283" s="23">
        <f>$L283*BH283</f>
        <v>1</v>
      </c>
      <c r="CP283" s="23">
        <f>$L283*BI283</f>
        <v>1</v>
      </c>
      <c r="CQ283" s="23">
        <f>$L283*BJ283</f>
        <v>1</v>
      </c>
      <c r="CR283" s="23">
        <f>$L283*BK283</f>
        <v>1</v>
      </c>
      <c r="CS283" s="23">
        <f>$L283*BL283</f>
        <v>1</v>
      </c>
      <c r="CT283" s="23">
        <f>$L283*BM283</f>
        <v>1</v>
      </c>
      <c r="CU283" s="23">
        <f>$L283*BN283</f>
        <v>1</v>
      </c>
      <c r="CV283" s="23">
        <f>$L283*BO283</f>
        <v>1</v>
      </c>
    </row>
    <row r="284" spans="1:100" ht="13.5" x14ac:dyDescent="0.15">
      <c r="A284" s="15">
        <v>151</v>
      </c>
      <c r="B284" s="28" t="s">
        <v>667</v>
      </c>
      <c r="C284" t="s">
        <v>414</v>
      </c>
      <c r="E284" t="s">
        <v>140</v>
      </c>
      <c r="F284" t="s">
        <v>415</v>
      </c>
      <c r="G284" t="s">
        <v>140</v>
      </c>
      <c r="H284" t="s">
        <v>141</v>
      </c>
      <c r="I284" s="6" t="s">
        <v>136</v>
      </c>
      <c r="J284" s="6">
        <v>0</v>
      </c>
      <c r="L284" s="15">
        <v>1</v>
      </c>
      <c r="M284" s="7">
        <v>46135</v>
      </c>
      <c r="N284" s="7">
        <v>46161</v>
      </c>
      <c r="O284" s="7">
        <v>46153</v>
      </c>
      <c r="P284" s="7">
        <v>46154</v>
      </c>
      <c r="S284" s="6" t="s">
        <v>140</v>
      </c>
      <c r="U284" s="6" t="s">
        <v>413</v>
      </c>
      <c r="V284" s="6" t="str">
        <f>TEXT(N284,"YY/MM")</f>
        <v>26/05</v>
      </c>
      <c r="W284">
        <v>1656</v>
      </c>
      <c r="AA284">
        <v>1010</v>
      </c>
      <c r="AC284">
        <v>1063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>$L284*AI284</f>
        <v>0</v>
      </c>
      <c r="BQ284" s="23">
        <f>$L284*AJ284</f>
        <v>0</v>
      </c>
      <c r="BR284" s="23">
        <f>$L284*AK284</f>
        <v>0</v>
      </c>
      <c r="BS284" s="23">
        <f>$L284*AL284</f>
        <v>0</v>
      </c>
      <c r="BT284" s="23">
        <f>$L284*AM284</f>
        <v>0</v>
      </c>
      <c r="BU284" s="23">
        <f>$L284*AN284</f>
        <v>0</v>
      </c>
      <c r="BV284" s="23">
        <f>$L284*AO284</f>
        <v>0</v>
      </c>
      <c r="BW284" s="23">
        <f>$L284*AP284</f>
        <v>0</v>
      </c>
      <c r="BX284" s="23">
        <f>$L284*AQ284</f>
        <v>0</v>
      </c>
      <c r="BY284" s="23">
        <f>$L284*AR284</f>
        <v>0</v>
      </c>
      <c r="BZ284" s="23">
        <f>$L284*AS284</f>
        <v>0</v>
      </c>
      <c r="CA284" s="23">
        <f>$L284*AT284</f>
        <v>0</v>
      </c>
      <c r="CB284" s="23">
        <f>$L284*AU284</f>
        <v>0</v>
      </c>
      <c r="CC284" s="23">
        <f>$L284*AV284</f>
        <v>0</v>
      </c>
      <c r="CD284" s="23">
        <f>$L284*AW284</f>
        <v>0</v>
      </c>
      <c r="CE284" s="23">
        <f>$L284*AX284</f>
        <v>0</v>
      </c>
      <c r="CF284" s="23">
        <f>$L284*AY284</f>
        <v>0</v>
      </c>
      <c r="CG284" s="23">
        <f>$L284*AZ284</f>
        <v>0</v>
      </c>
      <c r="CH284" s="23">
        <f>$L284*BA284</f>
        <v>0</v>
      </c>
      <c r="CI284" s="23">
        <f>$L284*BB284</f>
        <v>0</v>
      </c>
      <c r="CJ284" s="23">
        <f>$L284*BC284</f>
        <v>0</v>
      </c>
      <c r="CK284" s="23">
        <f>$L284*BD284</f>
        <v>0</v>
      </c>
      <c r="CL284" s="23">
        <f>$L284*BE284</f>
        <v>0</v>
      </c>
      <c r="CM284" s="23">
        <f>$L284*BF284</f>
        <v>0</v>
      </c>
      <c r="CN284" s="23">
        <f>$L284*BG284</f>
        <v>1</v>
      </c>
      <c r="CO284" s="23">
        <f>$L284*BH284</f>
        <v>1</v>
      </c>
      <c r="CP284" s="23">
        <f>$L284*BI284</f>
        <v>1</v>
      </c>
      <c r="CQ284" s="23">
        <f>$L284*BJ284</f>
        <v>1</v>
      </c>
      <c r="CR284" s="23">
        <f>$L284*BK284</f>
        <v>1</v>
      </c>
      <c r="CS284" s="23">
        <f>$L284*BL284</f>
        <v>1</v>
      </c>
      <c r="CT284" s="23">
        <f>$L284*BM284</f>
        <v>1</v>
      </c>
      <c r="CU284" s="23">
        <f>$L284*BN284</f>
        <v>1</v>
      </c>
      <c r="CV284" s="23">
        <f>$L284*BO284</f>
        <v>1</v>
      </c>
    </row>
    <row r="285" spans="1:100" ht="13.5" x14ac:dyDescent="0.15">
      <c r="A285" s="15">
        <v>151</v>
      </c>
      <c r="B285" s="28" t="s">
        <v>668</v>
      </c>
      <c r="C285" t="s">
        <v>414</v>
      </c>
      <c r="E285" t="s">
        <v>140</v>
      </c>
      <c r="F285" t="s">
        <v>415</v>
      </c>
      <c r="G285" t="s">
        <v>140</v>
      </c>
      <c r="H285" t="s">
        <v>141</v>
      </c>
      <c r="I285" s="6" t="s">
        <v>136</v>
      </c>
      <c r="J285" s="6">
        <v>0</v>
      </c>
      <c r="L285" s="15">
        <v>1</v>
      </c>
      <c r="M285" s="7">
        <v>46135</v>
      </c>
      <c r="N285" s="7">
        <v>46161</v>
      </c>
      <c r="O285" s="7">
        <v>46153</v>
      </c>
      <c r="P285" s="7">
        <v>46154</v>
      </c>
      <c r="S285" s="6" t="s">
        <v>140</v>
      </c>
      <c r="U285" s="6" t="s">
        <v>413</v>
      </c>
      <c r="V285" s="6" t="str">
        <f>TEXT(N285,"YY/MM")</f>
        <v>26/05</v>
      </c>
      <c r="W285">
        <v>1657</v>
      </c>
      <c r="AA285">
        <v>1011</v>
      </c>
      <c r="AC285">
        <v>1064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>$L285*AI285</f>
        <v>0</v>
      </c>
      <c r="BQ285" s="23">
        <f>$L285*AJ285</f>
        <v>0</v>
      </c>
      <c r="BR285" s="23">
        <f>$L285*AK285</f>
        <v>0</v>
      </c>
      <c r="BS285" s="23">
        <f>$L285*AL285</f>
        <v>0</v>
      </c>
      <c r="BT285" s="23">
        <f>$L285*AM285</f>
        <v>0</v>
      </c>
      <c r="BU285" s="23">
        <f>$L285*AN285</f>
        <v>0</v>
      </c>
      <c r="BV285" s="23">
        <f>$L285*AO285</f>
        <v>0</v>
      </c>
      <c r="BW285" s="23">
        <f>$L285*AP285</f>
        <v>0</v>
      </c>
      <c r="BX285" s="23">
        <f>$L285*AQ285</f>
        <v>0</v>
      </c>
      <c r="BY285" s="23">
        <f>$L285*AR285</f>
        <v>0</v>
      </c>
      <c r="BZ285" s="23">
        <f>$L285*AS285</f>
        <v>0</v>
      </c>
      <c r="CA285" s="23">
        <f>$L285*AT285</f>
        <v>0</v>
      </c>
      <c r="CB285" s="23">
        <f>$L285*AU285</f>
        <v>0</v>
      </c>
      <c r="CC285" s="23">
        <f>$L285*AV285</f>
        <v>0</v>
      </c>
      <c r="CD285" s="23">
        <f>$L285*AW285</f>
        <v>0</v>
      </c>
      <c r="CE285" s="23">
        <f>$L285*AX285</f>
        <v>0</v>
      </c>
      <c r="CF285" s="23">
        <f>$L285*AY285</f>
        <v>0</v>
      </c>
      <c r="CG285" s="23">
        <f>$L285*AZ285</f>
        <v>0</v>
      </c>
      <c r="CH285" s="23">
        <f>$L285*BA285</f>
        <v>0</v>
      </c>
      <c r="CI285" s="23">
        <f>$L285*BB285</f>
        <v>0</v>
      </c>
      <c r="CJ285" s="23">
        <f>$L285*BC285</f>
        <v>0</v>
      </c>
      <c r="CK285" s="23">
        <f>$L285*BD285</f>
        <v>0</v>
      </c>
      <c r="CL285" s="23">
        <f>$L285*BE285</f>
        <v>0</v>
      </c>
      <c r="CM285" s="23">
        <f>$L285*BF285</f>
        <v>0</v>
      </c>
      <c r="CN285" s="23">
        <f>$L285*BG285</f>
        <v>1</v>
      </c>
      <c r="CO285" s="23">
        <f>$L285*BH285</f>
        <v>1</v>
      </c>
      <c r="CP285" s="23">
        <f>$L285*BI285</f>
        <v>1</v>
      </c>
      <c r="CQ285" s="23">
        <f>$L285*BJ285</f>
        <v>1</v>
      </c>
      <c r="CR285" s="23">
        <f>$L285*BK285</f>
        <v>1</v>
      </c>
      <c r="CS285" s="23">
        <f>$L285*BL285</f>
        <v>1</v>
      </c>
      <c r="CT285" s="23">
        <f>$L285*BM285</f>
        <v>1</v>
      </c>
      <c r="CU285" s="23">
        <f>$L285*BN285</f>
        <v>1</v>
      </c>
      <c r="CV285" s="23">
        <f>$L285*BO285</f>
        <v>1</v>
      </c>
    </row>
    <row r="286" spans="1:100" ht="13.5" x14ac:dyDescent="0.15">
      <c r="A286" s="15">
        <v>151</v>
      </c>
      <c r="B286" s="28" t="s">
        <v>669</v>
      </c>
      <c r="C286" t="s">
        <v>414</v>
      </c>
      <c r="E286" t="s">
        <v>140</v>
      </c>
      <c r="F286" t="s">
        <v>415</v>
      </c>
      <c r="G286" t="s">
        <v>140</v>
      </c>
      <c r="H286" t="s">
        <v>141</v>
      </c>
      <c r="I286" s="6" t="s">
        <v>136</v>
      </c>
      <c r="J286" s="6">
        <v>0</v>
      </c>
      <c r="L286" s="15">
        <v>1</v>
      </c>
      <c r="M286" s="7">
        <v>46135</v>
      </c>
      <c r="N286" s="7">
        <v>46161</v>
      </c>
      <c r="O286" s="7">
        <v>46153</v>
      </c>
      <c r="P286" s="7">
        <v>46154</v>
      </c>
      <c r="S286" s="6" t="s">
        <v>140</v>
      </c>
      <c r="U286" s="6" t="s">
        <v>413</v>
      </c>
      <c r="V286" s="6" t="str">
        <f>TEXT(N286,"YY/MM")</f>
        <v>26/05</v>
      </c>
      <c r="W286">
        <v>1658</v>
      </c>
      <c r="AA286">
        <v>1012</v>
      </c>
      <c r="AC286">
        <v>1065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>$L286*AI286</f>
        <v>0</v>
      </c>
      <c r="BQ286" s="23">
        <f>$L286*AJ286</f>
        <v>0</v>
      </c>
      <c r="BR286" s="23">
        <f>$L286*AK286</f>
        <v>0</v>
      </c>
      <c r="BS286" s="23">
        <f>$L286*AL286</f>
        <v>0</v>
      </c>
      <c r="BT286" s="23">
        <f>$L286*AM286</f>
        <v>0</v>
      </c>
      <c r="BU286" s="23">
        <f>$L286*AN286</f>
        <v>0</v>
      </c>
      <c r="BV286" s="23">
        <f>$L286*AO286</f>
        <v>0</v>
      </c>
      <c r="BW286" s="23">
        <f>$L286*AP286</f>
        <v>0</v>
      </c>
      <c r="BX286" s="23">
        <f>$L286*AQ286</f>
        <v>0</v>
      </c>
      <c r="BY286" s="23">
        <f>$L286*AR286</f>
        <v>0</v>
      </c>
      <c r="BZ286" s="23">
        <f>$L286*AS286</f>
        <v>0</v>
      </c>
      <c r="CA286" s="23">
        <f>$L286*AT286</f>
        <v>0</v>
      </c>
      <c r="CB286" s="23">
        <f>$L286*AU286</f>
        <v>0</v>
      </c>
      <c r="CC286" s="23">
        <f>$L286*AV286</f>
        <v>0</v>
      </c>
      <c r="CD286" s="23">
        <f>$L286*AW286</f>
        <v>0</v>
      </c>
      <c r="CE286" s="23">
        <f>$L286*AX286</f>
        <v>0</v>
      </c>
      <c r="CF286" s="23">
        <f>$L286*AY286</f>
        <v>0</v>
      </c>
      <c r="CG286" s="23">
        <f>$L286*AZ286</f>
        <v>0</v>
      </c>
      <c r="CH286" s="23">
        <f>$L286*BA286</f>
        <v>0</v>
      </c>
      <c r="CI286" s="23">
        <f>$L286*BB286</f>
        <v>0</v>
      </c>
      <c r="CJ286" s="23">
        <f>$L286*BC286</f>
        <v>0</v>
      </c>
      <c r="CK286" s="23">
        <f>$L286*BD286</f>
        <v>0</v>
      </c>
      <c r="CL286" s="23">
        <f>$L286*BE286</f>
        <v>0</v>
      </c>
      <c r="CM286" s="23">
        <f>$L286*BF286</f>
        <v>0</v>
      </c>
      <c r="CN286" s="23">
        <f>$L286*BG286</f>
        <v>1</v>
      </c>
      <c r="CO286" s="23">
        <f>$L286*BH286</f>
        <v>1</v>
      </c>
      <c r="CP286" s="23">
        <f>$L286*BI286</f>
        <v>1</v>
      </c>
      <c r="CQ286" s="23">
        <f>$L286*BJ286</f>
        <v>1</v>
      </c>
      <c r="CR286" s="23">
        <f>$L286*BK286</f>
        <v>1</v>
      </c>
      <c r="CS286" s="23">
        <f>$L286*BL286</f>
        <v>1</v>
      </c>
      <c r="CT286" s="23">
        <f>$L286*BM286</f>
        <v>1</v>
      </c>
      <c r="CU286" s="23">
        <f>$L286*BN286</f>
        <v>1</v>
      </c>
      <c r="CV286" s="23">
        <f>$L286*BO286</f>
        <v>1</v>
      </c>
    </row>
    <row r="287" spans="1:100" ht="13.5" x14ac:dyDescent="0.15">
      <c r="A287" s="15">
        <v>181</v>
      </c>
      <c r="B287" s="28" t="s">
        <v>670</v>
      </c>
      <c r="C287" t="s">
        <v>414</v>
      </c>
      <c r="E287" t="s">
        <v>140</v>
      </c>
      <c r="F287" t="s">
        <v>415</v>
      </c>
      <c r="G287" t="s">
        <v>140</v>
      </c>
      <c r="H287" t="s">
        <v>141</v>
      </c>
      <c r="I287" s="6" t="s">
        <v>136</v>
      </c>
      <c r="J287" s="6">
        <v>0</v>
      </c>
      <c r="L287" s="15">
        <v>1</v>
      </c>
      <c r="M287" s="7">
        <v>46135</v>
      </c>
      <c r="N287" s="7">
        <v>46162</v>
      </c>
      <c r="O287" s="7">
        <v>46157</v>
      </c>
      <c r="P287" s="7">
        <v>46160</v>
      </c>
      <c r="S287" s="6" t="s">
        <v>140</v>
      </c>
      <c r="U287" s="6" t="s">
        <v>413</v>
      </c>
      <c r="V287" s="6" t="str">
        <f>TEXT(N287,"YY/MM")</f>
        <v>26/05</v>
      </c>
      <c r="W287">
        <v>1659</v>
      </c>
      <c r="AA287">
        <v>1013</v>
      </c>
      <c r="AC287">
        <v>1066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>$L287*AI287</f>
        <v>0</v>
      </c>
      <c r="BQ287" s="23">
        <f>$L287*AJ287</f>
        <v>0</v>
      </c>
      <c r="BR287" s="23">
        <f>$L287*AK287</f>
        <v>0</v>
      </c>
      <c r="BS287" s="23">
        <f>$L287*AL287</f>
        <v>0</v>
      </c>
      <c r="BT287" s="23">
        <f>$L287*AM287</f>
        <v>0</v>
      </c>
      <c r="BU287" s="23">
        <f>$L287*AN287</f>
        <v>0</v>
      </c>
      <c r="BV287" s="23">
        <f>$L287*AO287</f>
        <v>0</v>
      </c>
      <c r="BW287" s="23">
        <f>$L287*AP287</f>
        <v>0</v>
      </c>
      <c r="BX287" s="23">
        <f>$L287*AQ287</f>
        <v>0</v>
      </c>
      <c r="BY287" s="23">
        <f>$L287*AR287</f>
        <v>0</v>
      </c>
      <c r="BZ287" s="23">
        <f>$L287*AS287</f>
        <v>0</v>
      </c>
      <c r="CA287" s="23">
        <f>$L287*AT287</f>
        <v>0</v>
      </c>
      <c r="CB287" s="23">
        <f>$L287*AU287</f>
        <v>0</v>
      </c>
      <c r="CC287" s="23">
        <f>$L287*AV287</f>
        <v>0</v>
      </c>
      <c r="CD287" s="23">
        <f>$L287*AW287</f>
        <v>0</v>
      </c>
      <c r="CE287" s="23">
        <f>$L287*AX287</f>
        <v>0</v>
      </c>
      <c r="CF287" s="23">
        <f>$L287*AY287</f>
        <v>0</v>
      </c>
      <c r="CG287" s="23">
        <f>$L287*AZ287</f>
        <v>0</v>
      </c>
      <c r="CH287" s="23">
        <f>$L287*BA287</f>
        <v>0</v>
      </c>
      <c r="CI287" s="23">
        <f>$L287*BB287</f>
        <v>0</v>
      </c>
      <c r="CJ287" s="23">
        <f>$L287*BC287</f>
        <v>0</v>
      </c>
      <c r="CK287" s="23">
        <f>$L287*BD287</f>
        <v>0</v>
      </c>
      <c r="CL287" s="23">
        <f>$L287*BE287</f>
        <v>0</v>
      </c>
      <c r="CM287" s="23">
        <f>$L287*BF287</f>
        <v>0</v>
      </c>
      <c r="CN287" s="23">
        <f>$L287*BG287</f>
        <v>1</v>
      </c>
      <c r="CO287" s="23">
        <f>$L287*BH287</f>
        <v>1</v>
      </c>
      <c r="CP287" s="23">
        <f>$L287*BI287</f>
        <v>1</v>
      </c>
      <c r="CQ287" s="23">
        <f>$L287*BJ287</f>
        <v>1</v>
      </c>
      <c r="CR287" s="23">
        <f>$L287*BK287</f>
        <v>1</v>
      </c>
      <c r="CS287" s="23">
        <f>$L287*BL287</f>
        <v>1</v>
      </c>
      <c r="CT287" s="23">
        <f>$L287*BM287</f>
        <v>1</v>
      </c>
      <c r="CU287" s="23">
        <f>$L287*BN287</f>
        <v>1</v>
      </c>
      <c r="CV287" s="23">
        <f>$L287*BO287</f>
        <v>1</v>
      </c>
    </row>
    <row r="288" spans="1:100" ht="13.5" x14ac:dyDescent="0.15">
      <c r="A288" s="15">
        <v>181</v>
      </c>
      <c r="B288" s="28" t="s">
        <v>671</v>
      </c>
      <c r="C288" t="s">
        <v>414</v>
      </c>
      <c r="E288" t="s">
        <v>140</v>
      </c>
      <c r="F288" t="s">
        <v>415</v>
      </c>
      <c r="G288" t="s">
        <v>140</v>
      </c>
      <c r="H288" t="s">
        <v>141</v>
      </c>
      <c r="I288" s="6" t="s">
        <v>136</v>
      </c>
      <c r="J288" s="6">
        <v>0</v>
      </c>
      <c r="L288" s="15">
        <v>1</v>
      </c>
      <c r="M288" s="7">
        <v>46135</v>
      </c>
      <c r="N288" s="7">
        <v>46162</v>
      </c>
      <c r="O288" s="7">
        <v>46157</v>
      </c>
      <c r="P288" s="7">
        <v>46160</v>
      </c>
      <c r="S288" s="6" t="s">
        <v>140</v>
      </c>
      <c r="U288" s="6" t="s">
        <v>413</v>
      </c>
      <c r="V288" s="6" t="str">
        <f>TEXT(N288,"YY/MM")</f>
        <v>26/05</v>
      </c>
      <c r="W288">
        <v>1660</v>
      </c>
      <c r="AA288">
        <v>1014</v>
      </c>
      <c r="AC288">
        <v>1067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>$L288*AI288</f>
        <v>0</v>
      </c>
      <c r="BQ288" s="23">
        <f>$L288*AJ288</f>
        <v>0</v>
      </c>
      <c r="BR288" s="23">
        <f>$L288*AK288</f>
        <v>0</v>
      </c>
      <c r="BS288" s="23">
        <f>$L288*AL288</f>
        <v>0</v>
      </c>
      <c r="BT288" s="23">
        <f>$L288*AM288</f>
        <v>0</v>
      </c>
      <c r="BU288" s="23">
        <f>$L288*AN288</f>
        <v>0</v>
      </c>
      <c r="BV288" s="23">
        <f>$L288*AO288</f>
        <v>0</v>
      </c>
      <c r="BW288" s="23">
        <f>$L288*AP288</f>
        <v>0</v>
      </c>
      <c r="BX288" s="23">
        <f>$L288*AQ288</f>
        <v>0</v>
      </c>
      <c r="BY288" s="23">
        <f>$L288*AR288</f>
        <v>0</v>
      </c>
      <c r="BZ288" s="23">
        <f>$L288*AS288</f>
        <v>0</v>
      </c>
      <c r="CA288" s="23">
        <f>$L288*AT288</f>
        <v>0</v>
      </c>
      <c r="CB288" s="23">
        <f>$L288*AU288</f>
        <v>0</v>
      </c>
      <c r="CC288" s="23">
        <f>$L288*AV288</f>
        <v>0</v>
      </c>
      <c r="CD288" s="23">
        <f>$L288*AW288</f>
        <v>0</v>
      </c>
      <c r="CE288" s="23">
        <f>$L288*AX288</f>
        <v>0</v>
      </c>
      <c r="CF288" s="23">
        <f>$L288*AY288</f>
        <v>0</v>
      </c>
      <c r="CG288" s="23">
        <f>$L288*AZ288</f>
        <v>0</v>
      </c>
      <c r="CH288" s="23">
        <f>$L288*BA288</f>
        <v>0</v>
      </c>
      <c r="CI288" s="23">
        <f>$L288*BB288</f>
        <v>0</v>
      </c>
      <c r="CJ288" s="23">
        <f>$L288*BC288</f>
        <v>0</v>
      </c>
      <c r="CK288" s="23">
        <f>$L288*BD288</f>
        <v>0</v>
      </c>
      <c r="CL288" s="23">
        <f>$L288*BE288</f>
        <v>0</v>
      </c>
      <c r="CM288" s="23">
        <f>$L288*BF288</f>
        <v>0</v>
      </c>
      <c r="CN288" s="23">
        <f>$L288*BG288</f>
        <v>1</v>
      </c>
      <c r="CO288" s="23">
        <f>$L288*BH288</f>
        <v>1</v>
      </c>
      <c r="CP288" s="23">
        <f>$L288*BI288</f>
        <v>1</v>
      </c>
      <c r="CQ288" s="23">
        <f>$L288*BJ288</f>
        <v>1</v>
      </c>
      <c r="CR288" s="23">
        <f>$L288*BK288</f>
        <v>1</v>
      </c>
      <c r="CS288" s="23">
        <f>$L288*BL288</f>
        <v>1</v>
      </c>
      <c r="CT288" s="23">
        <f>$L288*BM288</f>
        <v>1</v>
      </c>
      <c r="CU288" s="23">
        <f>$L288*BN288</f>
        <v>1</v>
      </c>
      <c r="CV288" s="23">
        <f>$L288*BO288</f>
        <v>1</v>
      </c>
    </row>
    <row r="289" spans="1:100" ht="13.5" x14ac:dyDescent="0.15">
      <c r="A289" s="15">
        <v>181</v>
      </c>
      <c r="B289" s="28" t="s">
        <v>672</v>
      </c>
      <c r="C289" t="s">
        <v>414</v>
      </c>
      <c r="E289" t="s">
        <v>140</v>
      </c>
      <c r="F289" t="s">
        <v>415</v>
      </c>
      <c r="G289" t="s">
        <v>140</v>
      </c>
      <c r="H289" t="s">
        <v>141</v>
      </c>
      <c r="I289" s="6" t="s">
        <v>136</v>
      </c>
      <c r="J289" s="6">
        <v>0</v>
      </c>
      <c r="L289" s="15">
        <v>1</v>
      </c>
      <c r="M289" s="7">
        <v>46135</v>
      </c>
      <c r="N289" s="7">
        <v>46162</v>
      </c>
      <c r="O289" s="7">
        <v>46157</v>
      </c>
      <c r="P289" s="7">
        <v>46160</v>
      </c>
      <c r="S289" s="6" t="s">
        <v>140</v>
      </c>
      <c r="U289" s="6" t="s">
        <v>413</v>
      </c>
      <c r="V289" s="6" t="str">
        <f>TEXT(N289,"YY/MM")</f>
        <v>26/05</v>
      </c>
      <c r="W289">
        <v>1661</v>
      </c>
      <c r="AA289">
        <v>1015</v>
      </c>
      <c r="AC289">
        <v>1068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>$L289*AI289</f>
        <v>0</v>
      </c>
      <c r="BQ289" s="23">
        <f>$L289*AJ289</f>
        <v>0</v>
      </c>
      <c r="BR289" s="23">
        <f>$L289*AK289</f>
        <v>0</v>
      </c>
      <c r="BS289" s="23">
        <f>$L289*AL289</f>
        <v>0</v>
      </c>
      <c r="BT289" s="23">
        <f>$L289*AM289</f>
        <v>0</v>
      </c>
      <c r="BU289" s="23">
        <f>$L289*AN289</f>
        <v>0</v>
      </c>
      <c r="BV289" s="23">
        <f>$L289*AO289</f>
        <v>0</v>
      </c>
      <c r="BW289" s="23">
        <f>$L289*AP289</f>
        <v>0</v>
      </c>
      <c r="BX289" s="23">
        <f>$L289*AQ289</f>
        <v>0</v>
      </c>
      <c r="BY289" s="23">
        <f>$L289*AR289</f>
        <v>0</v>
      </c>
      <c r="BZ289" s="23">
        <f>$L289*AS289</f>
        <v>0</v>
      </c>
      <c r="CA289" s="23">
        <f>$L289*AT289</f>
        <v>0</v>
      </c>
      <c r="CB289" s="23">
        <f>$L289*AU289</f>
        <v>0</v>
      </c>
      <c r="CC289" s="23">
        <f>$L289*AV289</f>
        <v>0</v>
      </c>
      <c r="CD289" s="23">
        <f>$L289*AW289</f>
        <v>0</v>
      </c>
      <c r="CE289" s="23">
        <f>$L289*AX289</f>
        <v>0</v>
      </c>
      <c r="CF289" s="23">
        <f>$L289*AY289</f>
        <v>0</v>
      </c>
      <c r="CG289" s="23">
        <f>$L289*AZ289</f>
        <v>0</v>
      </c>
      <c r="CH289" s="23">
        <f>$L289*BA289</f>
        <v>0</v>
      </c>
      <c r="CI289" s="23">
        <f>$L289*BB289</f>
        <v>0</v>
      </c>
      <c r="CJ289" s="23">
        <f>$L289*BC289</f>
        <v>0</v>
      </c>
      <c r="CK289" s="23">
        <f>$L289*BD289</f>
        <v>0</v>
      </c>
      <c r="CL289" s="23">
        <f>$L289*BE289</f>
        <v>0</v>
      </c>
      <c r="CM289" s="23">
        <f>$L289*BF289</f>
        <v>0</v>
      </c>
      <c r="CN289" s="23">
        <f>$L289*BG289</f>
        <v>1</v>
      </c>
      <c r="CO289" s="23">
        <f>$L289*BH289</f>
        <v>1</v>
      </c>
      <c r="CP289" s="23">
        <f>$L289*BI289</f>
        <v>1</v>
      </c>
      <c r="CQ289" s="23">
        <f>$L289*BJ289</f>
        <v>1</v>
      </c>
      <c r="CR289" s="23">
        <f>$L289*BK289</f>
        <v>1</v>
      </c>
      <c r="CS289" s="23">
        <f>$L289*BL289</f>
        <v>1</v>
      </c>
      <c r="CT289" s="23">
        <f>$L289*BM289</f>
        <v>1</v>
      </c>
      <c r="CU289" s="23">
        <f>$L289*BN289</f>
        <v>1</v>
      </c>
      <c r="CV289" s="23">
        <f>$L289*BO289</f>
        <v>1</v>
      </c>
    </row>
    <row r="290" spans="1:100" ht="13.5" x14ac:dyDescent="0.15">
      <c r="A290" s="15">
        <v>181</v>
      </c>
      <c r="B290" s="28" t="s">
        <v>673</v>
      </c>
      <c r="C290" t="s">
        <v>414</v>
      </c>
      <c r="E290" t="s">
        <v>140</v>
      </c>
      <c r="F290" t="s">
        <v>415</v>
      </c>
      <c r="G290" t="s">
        <v>140</v>
      </c>
      <c r="H290" t="s">
        <v>141</v>
      </c>
      <c r="I290" s="6" t="s">
        <v>136</v>
      </c>
      <c r="J290" s="6">
        <v>0</v>
      </c>
      <c r="L290" s="15">
        <v>1</v>
      </c>
      <c r="M290" s="7">
        <v>46135</v>
      </c>
      <c r="N290" s="7">
        <v>46162</v>
      </c>
      <c r="O290" s="7">
        <v>46157</v>
      </c>
      <c r="P290" s="7">
        <v>46160</v>
      </c>
      <c r="S290" s="6" t="s">
        <v>140</v>
      </c>
      <c r="U290" s="6" t="s">
        <v>413</v>
      </c>
      <c r="V290" s="6" t="str">
        <f>TEXT(N290,"YY/MM")</f>
        <v>26/05</v>
      </c>
      <c r="W290">
        <v>1662</v>
      </c>
      <c r="AA290">
        <v>1016</v>
      </c>
      <c r="AC290">
        <v>1069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>$L290*AI290</f>
        <v>0</v>
      </c>
      <c r="BQ290" s="23">
        <f>$L290*AJ290</f>
        <v>0</v>
      </c>
      <c r="BR290" s="23">
        <f>$L290*AK290</f>
        <v>0</v>
      </c>
      <c r="BS290" s="23">
        <f>$L290*AL290</f>
        <v>0</v>
      </c>
      <c r="BT290" s="23">
        <f>$L290*AM290</f>
        <v>0</v>
      </c>
      <c r="BU290" s="23">
        <f>$L290*AN290</f>
        <v>0</v>
      </c>
      <c r="BV290" s="23">
        <f>$L290*AO290</f>
        <v>0</v>
      </c>
      <c r="BW290" s="23">
        <f>$L290*AP290</f>
        <v>0</v>
      </c>
      <c r="BX290" s="23">
        <f>$L290*AQ290</f>
        <v>0</v>
      </c>
      <c r="BY290" s="23">
        <f>$L290*AR290</f>
        <v>0</v>
      </c>
      <c r="BZ290" s="23">
        <f>$L290*AS290</f>
        <v>0</v>
      </c>
      <c r="CA290" s="23">
        <f>$L290*AT290</f>
        <v>0</v>
      </c>
      <c r="CB290" s="23">
        <f>$L290*AU290</f>
        <v>0</v>
      </c>
      <c r="CC290" s="23">
        <f>$L290*AV290</f>
        <v>0</v>
      </c>
      <c r="CD290" s="23">
        <f>$L290*AW290</f>
        <v>0</v>
      </c>
      <c r="CE290" s="23">
        <f>$L290*AX290</f>
        <v>0</v>
      </c>
      <c r="CF290" s="23">
        <f>$L290*AY290</f>
        <v>0</v>
      </c>
      <c r="CG290" s="23">
        <f>$L290*AZ290</f>
        <v>0</v>
      </c>
      <c r="CH290" s="23">
        <f>$L290*BA290</f>
        <v>0</v>
      </c>
      <c r="CI290" s="23">
        <f>$L290*BB290</f>
        <v>0</v>
      </c>
      <c r="CJ290" s="23">
        <f>$L290*BC290</f>
        <v>0</v>
      </c>
      <c r="CK290" s="23">
        <f>$L290*BD290</f>
        <v>0</v>
      </c>
      <c r="CL290" s="23">
        <f>$L290*BE290</f>
        <v>0</v>
      </c>
      <c r="CM290" s="23">
        <f>$L290*BF290</f>
        <v>0</v>
      </c>
      <c r="CN290" s="23">
        <f>$L290*BG290</f>
        <v>1</v>
      </c>
      <c r="CO290" s="23">
        <f>$L290*BH290</f>
        <v>1</v>
      </c>
      <c r="CP290" s="23">
        <f>$L290*BI290</f>
        <v>1</v>
      </c>
      <c r="CQ290" s="23">
        <f>$L290*BJ290</f>
        <v>1</v>
      </c>
      <c r="CR290" s="23">
        <f>$L290*BK290</f>
        <v>1</v>
      </c>
      <c r="CS290" s="23">
        <f>$L290*BL290</f>
        <v>1</v>
      </c>
      <c r="CT290" s="23">
        <f>$L290*BM290</f>
        <v>1</v>
      </c>
      <c r="CU290" s="23">
        <f>$L290*BN290</f>
        <v>1</v>
      </c>
      <c r="CV290" s="23">
        <f>$L290*BO290</f>
        <v>1</v>
      </c>
    </row>
    <row r="291" spans="1:100" ht="13.5" x14ac:dyDescent="0.15">
      <c r="A291" s="15">
        <v>181</v>
      </c>
      <c r="B291" s="28" t="s">
        <v>674</v>
      </c>
      <c r="C291" t="s">
        <v>414</v>
      </c>
      <c r="E291" t="s">
        <v>140</v>
      </c>
      <c r="F291" t="s">
        <v>415</v>
      </c>
      <c r="G291" t="s">
        <v>140</v>
      </c>
      <c r="H291" t="s">
        <v>141</v>
      </c>
      <c r="I291" s="6" t="s">
        <v>136</v>
      </c>
      <c r="J291" s="6">
        <v>0</v>
      </c>
      <c r="L291" s="15">
        <v>1</v>
      </c>
      <c r="M291" s="7">
        <v>46135</v>
      </c>
      <c r="N291" s="7">
        <v>46162</v>
      </c>
      <c r="O291" s="7">
        <v>46157</v>
      </c>
      <c r="P291" s="7">
        <v>46160</v>
      </c>
      <c r="S291" s="6" t="s">
        <v>140</v>
      </c>
      <c r="U291" s="6" t="s">
        <v>413</v>
      </c>
      <c r="V291" s="6" t="str">
        <f>TEXT(N291,"YY/MM")</f>
        <v>26/05</v>
      </c>
      <c r="W291">
        <v>1663</v>
      </c>
      <c r="AA291">
        <v>1017</v>
      </c>
      <c r="AC291">
        <v>1070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>$L291*AI291</f>
        <v>0</v>
      </c>
      <c r="BQ291" s="23">
        <f>$L291*AJ291</f>
        <v>0</v>
      </c>
      <c r="BR291" s="23">
        <f>$L291*AK291</f>
        <v>0</v>
      </c>
      <c r="BS291" s="23">
        <f>$L291*AL291</f>
        <v>0</v>
      </c>
      <c r="BT291" s="23">
        <f>$L291*AM291</f>
        <v>0</v>
      </c>
      <c r="BU291" s="23">
        <f>$L291*AN291</f>
        <v>0</v>
      </c>
      <c r="BV291" s="23">
        <f>$L291*AO291</f>
        <v>0</v>
      </c>
      <c r="BW291" s="23">
        <f>$L291*AP291</f>
        <v>0</v>
      </c>
      <c r="BX291" s="23">
        <f>$L291*AQ291</f>
        <v>0</v>
      </c>
      <c r="BY291" s="23">
        <f>$L291*AR291</f>
        <v>0</v>
      </c>
      <c r="BZ291" s="23">
        <f>$L291*AS291</f>
        <v>0</v>
      </c>
      <c r="CA291" s="23">
        <f>$L291*AT291</f>
        <v>0</v>
      </c>
      <c r="CB291" s="23">
        <f>$L291*AU291</f>
        <v>0</v>
      </c>
      <c r="CC291" s="23">
        <f>$L291*AV291</f>
        <v>0</v>
      </c>
      <c r="CD291" s="23">
        <f>$L291*AW291</f>
        <v>0</v>
      </c>
      <c r="CE291" s="23">
        <f>$L291*AX291</f>
        <v>0</v>
      </c>
      <c r="CF291" s="23">
        <f>$L291*AY291</f>
        <v>0</v>
      </c>
      <c r="CG291" s="23">
        <f>$L291*AZ291</f>
        <v>0</v>
      </c>
      <c r="CH291" s="23">
        <f>$L291*BA291</f>
        <v>0</v>
      </c>
      <c r="CI291" s="23">
        <f>$L291*BB291</f>
        <v>0</v>
      </c>
      <c r="CJ291" s="23">
        <f>$L291*BC291</f>
        <v>0</v>
      </c>
      <c r="CK291" s="23">
        <f>$L291*BD291</f>
        <v>0</v>
      </c>
      <c r="CL291" s="23">
        <f>$L291*BE291</f>
        <v>0</v>
      </c>
      <c r="CM291" s="23">
        <f>$L291*BF291</f>
        <v>0</v>
      </c>
      <c r="CN291" s="23">
        <f>$L291*BG291</f>
        <v>1</v>
      </c>
      <c r="CO291" s="23">
        <f>$L291*BH291</f>
        <v>1</v>
      </c>
      <c r="CP291" s="23">
        <f>$L291*BI291</f>
        <v>1</v>
      </c>
      <c r="CQ291" s="23">
        <f>$L291*BJ291</f>
        <v>1</v>
      </c>
      <c r="CR291" s="23">
        <f>$L291*BK291</f>
        <v>1</v>
      </c>
      <c r="CS291" s="23">
        <f>$L291*BL291</f>
        <v>1</v>
      </c>
      <c r="CT291" s="23">
        <f>$L291*BM291</f>
        <v>1</v>
      </c>
      <c r="CU291" s="23">
        <f>$L291*BN291</f>
        <v>1</v>
      </c>
      <c r="CV291" s="23">
        <f>$L291*BO291</f>
        <v>1</v>
      </c>
    </row>
    <row r="292" spans="1:100" ht="13.5" x14ac:dyDescent="0.15">
      <c r="A292" s="15">
        <v>181</v>
      </c>
      <c r="B292" s="28" t="s">
        <v>675</v>
      </c>
      <c r="C292" t="s">
        <v>414</v>
      </c>
      <c r="E292" t="s">
        <v>140</v>
      </c>
      <c r="F292" t="s">
        <v>415</v>
      </c>
      <c r="G292" t="s">
        <v>140</v>
      </c>
      <c r="H292" t="s">
        <v>141</v>
      </c>
      <c r="I292" s="6" t="s">
        <v>136</v>
      </c>
      <c r="J292" s="6">
        <v>0</v>
      </c>
      <c r="L292" s="15">
        <v>1</v>
      </c>
      <c r="M292" s="7">
        <v>46135</v>
      </c>
      <c r="N292" s="7">
        <v>46162</v>
      </c>
      <c r="O292" s="7">
        <v>46157</v>
      </c>
      <c r="P292" s="7">
        <v>46160</v>
      </c>
      <c r="S292" s="6" t="s">
        <v>140</v>
      </c>
      <c r="U292" s="6" t="s">
        <v>413</v>
      </c>
      <c r="V292" s="6" t="str">
        <f>TEXT(N292,"YY/MM")</f>
        <v>26/05</v>
      </c>
      <c r="W292">
        <v>1664</v>
      </c>
      <c r="AA292">
        <v>1018</v>
      </c>
      <c r="AC292">
        <v>1071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>$L292*AI292</f>
        <v>0</v>
      </c>
      <c r="BQ292" s="23">
        <f>$L292*AJ292</f>
        <v>0</v>
      </c>
      <c r="BR292" s="23">
        <f>$L292*AK292</f>
        <v>0</v>
      </c>
      <c r="BS292" s="23">
        <f>$L292*AL292</f>
        <v>0</v>
      </c>
      <c r="BT292" s="23">
        <f>$L292*AM292</f>
        <v>0</v>
      </c>
      <c r="BU292" s="23">
        <f>$L292*AN292</f>
        <v>0</v>
      </c>
      <c r="BV292" s="23">
        <f>$L292*AO292</f>
        <v>0</v>
      </c>
      <c r="BW292" s="23">
        <f>$L292*AP292</f>
        <v>0</v>
      </c>
      <c r="BX292" s="23">
        <f>$L292*AQ292</f>
        <v>0</v>
      </c>
      <c r="BY292" s="23">
        <f>$L292*AR292</f>
        <v>0</v>
      </c>
      <c r="BZ292" s="23">
        <f>$L292*AS292</f>
        <v>0</v>
      </c>
      <c r="CA292" s="23">
        <f>$L292*AT292</f>
        <v>0</v>
      </c>
      <c r="CB292" s="23">
        <f>$L292*AU292</f>
        <v>0</v>
      </c>
      <c r="CC292" s="23">
        <f>$L292*AV292</f>
        <v>0</v>
      </c>
      <c r="CD292" s="23">
        <f>$L292*AW292</f>
        <v>0</v>
      </c>
      <c r="CE292" s="23">
        <f>$L292*AX292</f>
        <v>0</v>
      </c>
      <c r="CF292" s="23">
        <f>$L292*AY292</f>
        <v>0</v>
      </c>
      <c r="CG292" s="23">
        <f>$L292*AZ292</f>
        <v>0</v>
      </c>
      <c r="CH292" s="23">
        <f>$L292*BA292</f>
        <v>0</v>
      </c>
      <c r="CI292" s="23">
        <f>$L292*BB292</f>
        <v>0</v>
      </c>
      <c r="CJ292" s="23">
        <f>$L292*BC292</f>
        <v>0</v>
      </c>
      <c r="CK292" s="23">
        <f>$L292*BD292</f>
        <v>0</v>
      </c>
      <c r="CL292" s="23">
        <f>$L292*BE292</f>
        <v>0</v>
      </c>
      <c r="CM292" s="23">
        <f>$L292*BF292</f>
        <v>0</v>
      </c>
      <c r="CN292" s="23">
        <f>$L292*BG292</f>
        <v>1</v>
      </c>
      <c r="CO292" s="23">
        <f>$L292*BH292</f>
        <v>1</v>
      </c>
      <c r="CP292" s="23">
        <f>$L292*BI292</f>
        <v>1</v>
      </c>
      <c r="CQ292" s="23">
        <f>$L292*BJ292</f>
        <v>1</v>
      </c>
      <c r="CR292" s="23">
        <f>$L292*BK292</f>
        <v>1</v>
      </c>
      <c r="CS292" s="23">
        <f>$L292*BL292</f>
        <v>1</v>
      </c>
      <c r="CT292" s="23">
        <f>$L292*BM292</f>
        <v>1</v>
      </c>
      <c r="CU292" s="23">
        <f>$L292*BN292</f>
        <v>1</v>
      </c>
      <c r="CV292" s="23">
        <f>$L292*BO292</f>
        <v>1</v>
      </c>
    </row>
    <row r="293" spans="1:100" ht="13.5" x14ac:dyDescent="0.15">
      <c r="A293" s="15">
        <v>181</v>
      </c>
      <c r="B293" s="28" t="s">
        <v>676</v>
      </c>
      <c r="C293" t="s">
        <v>414</v>
      </c>
      <c r="E293" t="s">
        <v>140</v>
      </c>
      <c r="F293" t="s">
        <v>415</v>
      </c>
      <c r="G293" t="s">
        <v>140</v>
      </c>
      <c r="H293" t="s">
        <v>141</v>
      </c>
      <c r="I293" s="6" t="s">
        <v>136</v>
      </c>
      <c r="J293" s="6">
        <v>0</v>
      </c>
      <c r="L293" s="15">
        <v>1</v>
      </c>
      <c r="M293" s="7">
        <v>46135</v>
      </c>
      <c r="N293" s="7">
        <v>46163</v>
      </c>
      <c r="O293" s="7">
        <v>46157</v>
      </c>
      <c r="P293" s="7">
        <v>46160</v>
      </c>
      <c r="S293" s="6" t="s">
        <v>140</v>
      </c>
      <c r="U293" s="6" t="s">
        <v>413</v>
      </c>
      <c r="V293" s="6" t="str">
        <f>TEXT(N293,"YY/MM")</f>
        <v>26/05</v>
      </c>
      <c r="W293">
        <v>1665</v>
      </c>
      <c r="AA293">
        <v>1019</v>
      </c>
      <c r="AC293">
        <v>1072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>$L293*AI293</f>
        <v>0</v>
      </c>
      <c r="BQ293" s="23">
        <f>$L293*AJ293</f>
        <v>0</v>
      </c>
      <c r="BR293" s="23">
        <f>$L293*AK293</f>
        <v>0</v>
      </c>
      <c r="BS293" s="23">
        <f>$L293*AL293</f>
        <v>0</v>
      </c>
      <c r="BT293" s="23">
        <f>$L293*AM293</f>
        <v>0</v>
      </c>
      <c r="BU293" s="23">
        <f>$L293*AN293</f>
        <v>0</v>
      </c>
      <c r="BV293" s="23">
        <f>$L293*AO293</f>
        <v>0</v>
      </c>
      <c r="BW293" s="23">
        <f>$L293*AP293</f>
        <v>0</v>
      </c>
      <c r="BX293" s="23">
        <f>$L293*AQ293</f>
        <v>0</v>
      </c>
      <c r="BY293" s="23">
        <f>$L293*AR293</f>
        <v>0</v>
      </c>
      <c r="BZ293" s="23">
        <f>$L293*AS293</f>
        <v>0</v>
      </c>
      <c r="CA293" s="23">
        <f>$L293*AT293</f>
        <v>0</v>
      </c>
      <c r="CB293" s="23">
        <f>$L293*AU293</f>
        <v>0</v>
      </c>
      <c r="CC293" s="23">
        <f>$L293*AV293</f>
        <v>0</v>
      </c>
      <c r="CD293" s="23">
        <f>$L293*AW293</f>
        <v>0</v>
      </c>
      <c r="CE293" s="23">
        <f>$L293*AX293</f>
        <v>0</v>
      </c>
      <c r="CF293" s="23">
        <f>$L293*AY293</f>
        <v>0</v>
      </c>
      <c r="CG293" s="23">
        <f>$L293*AZ293</f>
        <v>0</v>
      </c>
      <c r="CH293" s="23">
        <f>$L293*BA293</f>
        <v>0</v>
      </c>
      <c r="CI293" s="23">
        <f>$L293*BB293</f>
        <v>0</v>
      </c>
      <c r="CJ293" s="23">
        <f>$L293*BC293</f>
        <v>0</v>
      </c>
      <c r="CK293" s="23">
        <f>$L293*BD293</f>
        <v>0</v>
      </c>
      <c r="CL293" s="23">
        <f>$L293*BE293</f>
        <v>0</v>
      </c>
      <c r="CM293" s="23">
        <f>$L293*BF293</f>
        <v>0</v>
      </c>
      <c r="CN293" s="23">
        <f>$L293*BG293</f>
        <v>1</v>
      </c>
      <c r="CO293" s="23">
        <f>$L293*BH293</f>
        <v>1</v>
      </c>
      <c r="CP293" s="23">
        <f>$L293*BI293</f>
        <v>1</v>
      </c>
      <c r="CQ293" s="23">
        <f>$L293*BJ293</f>
        <v>1</v>
      </c>
      <c r="CR293" s="23">
        <f>$L293*BK293</f>
        <v>1</v>
      </c>
      <c r="CS293" s="23">
        <f>$L293*BL293</f>
        <v>1</v>
      </c>
      <c r="CT293" s="23">
        <f>$L293*BM293</f>
        <v>1</v>
      </c>
      <c r="CU293" s="23">
        <f>$L293*BN293</f>
        <v>1</v>
      </c>
      <c r="CV293" s="23">
        <f>$L293*BO293</f>
        <v>1</v>
      </c>
    </row>
    <row r="294" spans="1:100" ht="13.5" x14ac:dyDescent="0.15">
      <c r="A294" s="15">
        <v>181</v>
      </c>
      <c r="B294" s="28" t="s">
        <v>677</v>
      </c>
      <c r="C294" t="s">
        <v>414</v>
      </c>
      <c r="E294" t="s">
        <v>140</v>
      </c>
      <c r="F294" t="s">
        <v>415</v>
      </c>
      <c r="G294" t="s">
        <v>140</v>
      </c>
      <c r="H294" t="s">
        <v>141</v>
      </c>
      <c r="I294" s="6" t="s">
        <v>136</v>
      </c>
      <c r="J294" s="6">
        <v>0</v>
      </c>
      <c r="L294" s="15">
        <v>1</v>
      </c>
      <c r="M294" s="7">
        <v>46135</v>
      </c>
      <c r="N294" s="7">
        <v>46163</v>
      </c>
      <c r="O294" s="7">
        <v>46157</v>
      </c>
      <c r="P294" s="7">
        <v>46160</v>
      </c>
      <c r="S294" s="6" t="s">
        <v>140</v>
      </c>
      <c r="U294" s="6" t="s">
        <v>413</v>
      </c>
      <c r="V294" s="6" t="str">
        <f>TEXT(N294,"YY/MM")</f>
        <v>26/05</v>
      </c>
      <c r="W294">
        <v>1666</v>
      </c>
      <c r="AA294">
        <v>1020</v>
      </c>
      <c r="AC294">
        <v>1073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>$L294*AI294</f>
        <v>0</v>
      </c>
      <c r="BQ294" s="23">
        <f>$L294*AJ294</f>
        <v>0</v>
      </c>
      <c r="BR294" s="23">
        <f>$L294*AK294</f>
        <v>0</v>
      </c>
      <c r="BS294" s="23">
        <f>$L294*AL294</f>
        <v>0</v>
      </c>
      <c r="BT294" s="23">
        <f>$L294*AM294</f>
        <v>0</v>
      </c>
      <c r="BU294" s="23">
        <f>$L294*AN294</f>
        <v>0</v>
      </c>
      <c r="BV294" s="23">
        <f>$L294*AO294</f>
        <v>0</v>
      </c>
      <c r="BW294" s="23">
        <f>$L294*AP294</f>
        <v>0</v>
      </c>
      <c r="BX294" s="23">
        <f>$L294*AQ294</f>
        <v>0</v>
      </c>
      <c r="BY294" s="23">
        <f>$L294*AR294</f>
        <v>0</v>
      </c>
      <c r="BZ294" s="23">
        <f>$L294*AS294</f>
        <v>0</v>
      </c>
      <c r="CA294" s="23">
        <f>$L294*AT294</f>
        <v>0</v>
      </c>
      <c r="CB294" s="23">
        <f>$L294*AU294</f>
        <v>0</v>
      </c>
      <c r="CC294" s="23">
        <f>$L294*AV294</f>
        <v>0</v>
      </c>
      <c r="CD294" s="23">
        <f>$L294*AW294</f>
        <v>0</v>
      </c>
      <c r="CE294" s="23">
        <f>$L294*AX294</f>
        <v>0</v>
      </c>
      <c r="CF294" s="23">
        <f>$L294*AY294</f>
        <v>0</v>
      </c>
      <c r="CG294" s="23">
        <f>$L294*AZ294</f>
        <v>0</v>
      </c>
      <c r="CH294" s="23">
        <f>$L294*BA294</f>
        <v>0</v>
      </c>
      <c r="CI294" s="23">
        <f>$L294*BB294</f>
        <v>0</v>
      </c>
      <c r="CJ294" s="23">
        <f>$L294*BC294</f>
        <v>0</v>
      </c>
      <c r="CK294" s="23">
        <f>$L294*BD294</f>
        <v>0</v>
      </c>
      <c r="CL294" s="23">
        <f>$L294*BE294</f>
        <v>0</v>
      </c>
      <c r="CM294" s="23">
        <f>$L294*BF294</f>
        <v>0</v>
      </c>
      <c r="CN294" s="23">
        <f>$L294*BG294</f>
        <v>1</v>
      </c>
      <c r="CO294" s="23">
        <f>$L294*BH294</f>
        <v>1</v>
      </c>
      <c r="CP294" s="23">
        <f>$L294*BI294</f>
        <v>1</v>
      </c>
      <c r="CQ294" s="23">
        <f>$L294*BJ294</f>
        <v>1</v>
      </c>
      <c r="CR294" s="23">
        <f>$L294*BK294</f>
        <v>1</v>
      </c>
      <c r="CS294" s="23">
        <f>$L294*BL294</f>
        <v>1</v>
      </c>
      <c r="CT294" s="23">
        <f>$L294*BM294</f>
        <v>1</v>
      </c>
      <c r="CU294" s="23">
        <f>$L294*BN294</f>
        <v>1</v>
      </c>
      <c r="CV294" s="23">
        <f>$L294*BO294</f>
        <v>1</v>
      </c>
    </row>
    <row r="295" spans="1:100" ht="13.5" x14ac:dyDescent="0.15">
      <c r="A295" s="15">
        <v>181</v>
      </c>
      <c r="B295" s="28" t="s">
        <v>678</v>
      </c>
      <c r="C295" t="s">
        <v>414</v>
      </c>
      <c r="E295" t="s">
        <v>140</v>
      </c>
      <c r="F295" t="s">
        <v>415</v>
      </c>
      <c r="G295" t="s">
        <v>140</v>
      </c>
      <c r="H295" t="s">
        <v>141</v>
      </c>
      <c r="I295" s="6" t="s">
        <v>136</v>
      </c>
      <c r="J295" s="6">
        <v>0</v>
      </c>
      <c r="L295" s="15">
        <v>1</v>
      </c>
      <c r="M295" s="7">
        <v>46135</v>
      </c>
      <c r="N295" s="7">
        <v>46163</v>
      </c>
      <c r="O295" s="7">
        <v>46157</v>
      </c>
      <c r="P295" s="7">
        <v>46160</v>
      </c>
      <c r="S295" s="6" t="s">
        <v>140</v>
      </c>
      <c r="U295" s="6" t="s">
        <v>413</v>
      </c>
      <c r="V295" s="6" t="str">
        <f>TEXT(N295,"YY/MM")</f>
        <v>26/05</v>
      </c>
      <c r="W295">
        <v>1667</v>
      </c>
      <c r="AA295">
        <v>1021</v>
      </c>
      <c r="AC295">
        <v>1074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>$L295*AI295</f>
        <v>0</v>
      </c>
      <c r="BQ295" s="23">
        <f>$L295*AJ295</f>
        <v>0</v>
      </c>
      <c r="BR295" s="23">
        <f>$L295*AK295</f>
        <v>0</v>
      </c>
      <c r="BS295" s="23">
        <f>$L295*AL295</f>
        <v>0</v>
      </c>
      <c r="BT295" s="23">
        <f>$L295*AM295</f>
        <v>0</v>
      </c>
      <c r="BU295" s="23">
        <f>$L295*AN295</f>
        <v>0</v>
      </c>
      <c r="BV295" s="23">
        <f>$L295*AO295</f>
        <v>0</v>
      </c>
      <c r="BW295" s="23">
        <f>$L295*AP295</f>
        <v>0</v>
      </c>
      <c r="BX295" s="23">
        <f>$L295*AQ295</f>
        <v>0</v>
      </c>
      <c r="BY295" s="23">
        <f>$L295*AR295</f>
        <v>0</v>
      </c>
      <c r="BZ295" s="23">
        <f>$L295*AS295</f>
        <v>0</v>
      </c>
      <c r="CA295" s="23">
        <f>$L295*AT295</f>
        <v>0</v>
      </c>
      <c r="CB295" s="23">
        <f>$L295*AU295</f>
        <v>0</v>
      </c>
      <c r="CC295" s="23">
        <f>$L295*AV295</f>
        <v>0</v>
      </c>
      <c r="CD295" s="23">
        <f>$L295*AW295</f>
        <v>0</v>
      </c>
      <c r="CE295" s="23">
        <f>$L295*AX295</f>
        <v>0</v>
      </c>
      <c r="CF295" s="23">
        <f>$L295*AY295</f>
        <v>0</v>
      </c>
      <c r="CG295" s="23">
        <f>$L295*AZ295</f>
        <v>0</v>
      </c>
      <c r="CH295" s="23">
        <f>$L295*BA295</f>
        <v>0</v>
      </c>
      <c r="CI295" s="23">
        <f>$L295*BB295</f>
        <v>0</v>
      </c>
      <c r="CJ295" s="23">
        <f>$L295*BC295</f>
        <v>0</v>
      </c>
      <c r="CK295" s="23">
        <f>$L295*BD295</f>
        <v>0</v>
      </c>
      <c r="CL295" s="23">
        <f>$L295*BE295</f>
        <v>0</v>
      </c>
      <c r="CM295" s="23">
        <f>$L295*BF295</f>
        <v>0</v>
      </c>
      <c r="CN295" s="23">
        <f>$L295*BG295</f>
        <v>1</v>
      </c>
      <c r="CO295" s="23">
        <f>$L295*BH295</f>
        <v>1</v>
      </c>
      <c r="CP295" s="23">
        <f>$L295*BI295</f>
        <v>1</v>
      </c>
      <c r="CQ295" s="23">
        <f>$L295*BJ295</f>
        <v>1</v>
      </c>
      <c r="CR295" s="23">
        <f>$L295*BK295</f>
        <v>1</v>
      </c>
      <c r="CS295" s="23">
        <f>$L295*BL295</f>
        <v>1</v>
      </c>
      <c r="CT295" s="23">
        <f>$L295*BM295</f>
        <v>1</v>
      </c>
      <c r="CU295" s="23">
        <f>$L295*BN295</f>
        <v>1</v>
      </c>
      <c r="CV295" s="23">
        <f>$L295*BO295</f>
        <v>1</v>
      </c>
    </row>
    <row r="296" spans="1:100" ht="13.5" x14ac:dyDescent="0.15">
      <c r="A296" s="15">
        <v>181</v>
      </c>
      <c r="B296" s="28" t="s">
        <v>679</v>
      </c>
      <c r="C296" t="s">
        <v>414</v>
      </c>
      <c r="E296" t="s">
        <v>140</v>
      </c>
      <c r="F296" t="s">
        <v>415</v>
      </c>
      <c r="G296" t="s">
        <v>140</v>
      </c>
      <c r="H296" t="s">
        <v>141</v>
      </c>
      <c r="I296" s="6" t="s">
        <v>136</v>
      </c>
      <c r="J296" s="6">
        <v>0</v>
      </c>
      <c r="L296" s="15">
        <v>1</v>
      </c>
      <c r="M296" s="7">
        <v>46135</v>
      </c>
      <c r="N296" s="7">
        <v>46163</v>
      </c>
      <c r="O296" s="7">
        <v>46157</v>
      </c>
      <c r="P296" s="7">
        <v>46160</v>
      </c>
      <c r="S296" s="6" t="s">
        <v>140</v>
      </c>
      <c r="U296" s="6" t="s">
        <v>413</v>
      </c>
      <c r="V296" s="6" t="str">
        <f>TEXT(N296,"YY/MM")</f>
        <v>26/05</v>
      </c>
      <c r="W296">
        <v>1668</v>
      </c>
      <c r="AA296">
        <v>1022</v>
      </c>
      <c r="AC296">
        <v>1075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>$L296*AI296</f>
        <v>0</v>
      </c>
      <c r="BQ296" s="23">
        <f>$L296*AJ296</f>
        <v>0</v>
      </c>
      <c r="BR296" s="23">
        <f>$L296*AK296</f>
        <v>0</v>
      </c>
      <c r="BS296" s="23">
        <f>$L296*AL296</f>
        <v>0</v>
      </c>
      <c r="BT296" s="23">
        <f>$L296*AM296</f>
        <v>0</v>
      </c>
      <c r="BU296" s="23">
        <f>$L296*AN296</f>
        <v>0</v>
      </c>
      <c r="BV296" s="23">
        <f>$L296*AO296</f>
        <v>0</v>
      </c>
      <c r="BW296" s="23">
        <f>$L296*AP296</f>
        <v>0</v>
      </c>
      <c r="BX296" s="23">
        <f>$L296*AQ296</f>
        <v>0</v>
      </c>
      <c r="BY296" s="23">
        <f>$L296*AR296</f>
        <v>0</v>
      </c>
      <c r="BZ296" s="23">
        <f>$L296*AS296</f>
        <v>0</v>
      </c>
      <c r="CA296" s="23">
        <f>$L296*AT296</f>
        <v>0</v>
      </c>
      <c r="CB296" s="23">
        <f>$L296*AU296</f>
        <v>0</v>
      </c>
      <c r="CC296" s="23">
        <f>$L296*AV296</f>
        <v>0</v>
      </c>
      <c r="CD296" s="23">
        <f>$L296*AW296</f>
        <v>0</v>
      </c>
      <c r="CE296" s="23">
        <f>$L296*AX296</f>
        <v>0</v>
      </c>
      <c r="CF296" s="23">
        <f>$L296*AY296</f>
        <v>0</v>
      </c>
      <c r="CG296" s="23">
        <f>$L296*AZ296</f>
        <v>0</v>
      </c>
      <c r="CH296" s="23">
        <f>$L296*BA296</f>
        <v>0</v>
      </c>
      <c r="CI296" s="23">
        <f>$L296*BB296</f>
        <v>0</v>
      </c>
      <c r="CJ296" s="23">
        <f>$L296*BC296</f>
        <v>0</v>
      </c>
      <c r="CK296" s="23">
        <f>$L296*BD296</f>
        <v>0</v>
      </c>
      <c r="CL296" s="23">
        <f>$L296*BE296</f>
        <v>0</v>
      </c>
      <c r="CM296" s="23">
        <f>$L296*BF296</f>
        <v>0</v>
      </c>
      <c r="CN296" s="23">
        <f>$L296*BG296</f>
        <v>1</v>
      </c>
      <c r="CO296" s="23">
        <f>$L296*BH296</f>
        <v>1</v>
      </c>
      <c r="CP296" s="23">
        <f>$L296*BI296</f>
        <v>1</v>
      </c>
      <c r="CQ296" s="23">
        <f>$L296*BJ296</f>
        <v>1</v>
      </c>
      <c r="CR296" s="23">
        <f>$L296*BK296</f>
        <v>1</v>
      </c>
      <c r="CS296" s="23">
        <f>$L296*BL296</f>
        <v>1</v>
      </c>
      <c r="CT296" s="23">
        <f>$L296*BM296</f>
        <v>1</v>
      </c>
      <c r="CU296" s="23">
        <f>$L296*BN296</f>
        <v>1</v>
      </c>
      <c r="CV296" s="23">
        <f>$L296*BO296</f>
        <v>1</v>
      </c>
    </row>
    <row r="297" spans="1:100" ht="13.5" x14ac:dyDescent="0.15">
      <c r="A297" s="15">
        <v>181</v>
      </c>
      <c r="B297" s="28" t="s">
        <v>680</v>
      </c>
      <c r="C297" t="s">
        <v>414</v>
      </c>
      <c r="E297" t="s">
        <v>140</v>
      </c>
      <c r="F297" t="s">
        <v>415</v>
      </c>
      <c r="G297" t="s">
        <v>140</v>
      </c>
      <c r="H297" t="s">
        <v>141</v>
      </c>
      <c r="I297" s="6" t="s">
        <v>136</v>
      </c>
      <c r="J297" s="6">
        <v>0</v>
      </c>
      <c r="L297" s="15">
        <v>1</v>
      </c>
      <c r="M297" s="7">
        <v>46135</v>
      </c>
      <c r="N297" s="7">
        <v>46163</v>
      </c>
      <c r="O297" s="7">
        <v>46157</v>
      </c>
      <c r="P297" s="7">
        <v>46160</v>
      </c>
      <c r="S297" s="6" t="s">
        <v>140</v>
      </c>
      <c r="U297" s="6" t="s">
        <v>413</v>
      </c>
      <c r="V297" s="6" t="str">
        <f>TEXT(N297,"YY/MM")</f>
        <v>26/05</v>
      </c>
      <c r="W297">
        <v>1669</v>
      </c>
      <c r="AA297">
        <v>1023</v>
      </c>
      <c r="AC297">
        <v>1076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>$L297*AI297</f>
        <v>0</v>
      </c>
      <c r="BQ297" s="23">
        <f>$L297*AJ297</f>
        <v>0</v>
      </c>
      <c r="BR297" s="23">
        <f>$L297*AK297</f>
        <v>0</v>
      </c>
      <c r="BS297" s="23">
        <f>$L297*AL297</f>
        <v>0</v>
      </c>
      <c r="BT297" s="23">
        <f>$L297*AM297</f>
        <v>0</v>
      </c>
      <c r="BU297" s="23">
        <f>$L297*AN297</f>
        <v>0</v>
      </c>
      <c r="BV297" s="23">
        <f>$L297*AO297</f>
        <v>0</v>
      </c>
      <c r="BW297" s="23">
        <f>$L297*AP297</f>
        <v>0</v>
      </c>
      <c r="BX297" s="23">
        <f>$L297*AQ297</f>
        <v>0</v>
      </c>
      <c r="BY297" s="23">
        <f>$L297*AR297</f>
        <v>0</v>
      </c>
      <c r="BZ297" s="23">
        <f>$L297*AS297</f>
        <v>0</v>
      </c>
      <c r="CA297" s="23">
        <f>$L297*AT297</f>
        <v>0</v>
      </c>
      <c r="CB297" s="23">
        <f>$L297*AU297</f>
        <v>0</v>
      </c>
      <c r="CC297" s="23">
        <f>$L297*AV297</f>
        <v>0</v>
      </c>
      <c r="CD297" s="23">
        <f>$L297*AW297</f>
        <v>0</v>
      </c>
      <c r="CE297" s="23">
        <f>$L297*AX297</f>
        <v>0</v>
      </c>
      <c r="CF297" s="23">
        <f>$L297*AY297</f>
        <v>0</v>
      </c>
      <c r="CG297" s="23">
        <f>$L297*AZ297</f>
        <v>0</v>
      </c>
      <c r="CH297" s="23">
        <f>$L297*BA297</f>
        <v>0</v>
      </c>
      <c r="CI297" s="23">
        <f>$L297*BB297</f>
        <v>0</v>
      </c>
      <c r="CJ297" s="23">
        <f>$L297*BC297</f>
        <v>0</v>
      </c>
      <c r="CK297" s="23">
        <f>$L297*BD297</f>
        <v>0</v>
      </c>
      <c r="CL297" s="23">
        <f>$L297*BE297</f>
        <v>0</v>
      </c>
      <c r="CM297" s="23">
        <f>$L297*BF297</f>
        <v>0</v>
      </c>
      <c r="CN297" s="23">
        <f>$L297*BG297</f>
        <v>1</v>
      </c>
      <c r="CO297" s="23">
        <f>$L297*BH297</f>
        <v>1</v>
      </c>
      <c r="CP297" s="23">
        <f>$L297*BI297</f>
        <v>1</v>
      </c>
      <c r="CQ297" s="23">
        <f>$L297*BJ297</f>
        <v>1</v>
      </c>
      <c r="CR297" s="23">
        <f>$L297*BK297</f>
        <v>1</v>
      </c>
      <c r="CS297" s="23">
        <f>$L297*BL297</f>
        <v>1</v>
      </c>
      <c r="CT297" s="23">
        <f>$L297*BM297</f>
        <v>1</v>
      </c>
      <c r="CU297" s="23">
        <f>$L297*BN297</f>
        <v>1</v>
      </c>
      <c r="CV297" s="23">
        <f>$L297*BO297</f>
        <v>1</v>
      </c>
    </row>
    <row r="298" spans="1:100" ht="13.5" x14ac:dyDescent="0.15">
      <c r="A298" s="15">
        <v>181</v>
      </c>
      <c r="B298" s="28" t="s">
        <v>681</v>
      </c>
      <c r="C298" t="s">
        <v>414</v>
      </c>
      <c r="E298" t="s">
        <v>140</v>
      </c>
      <c r="F298" t="s">
        <v>415</v>
      </c>
      <c r="G298" t="s">
        <v>140</v>
      </c>
      <c r="H298" t="s">
        <v>141</v>
      </c>
      <c r="I298" s="6" t="s">
        <v>136</v>
      </c>
      <c r="J298" s="6">
        <v>0</v>
      </c>
      <c r="L298" s="15">
        <v>1</v>
      </c>
      <c r="M298" s="7">
        <v>46135</v>
      </c>
      <c r="N298" s="7">
        <v>46163</v>
      </c>
      <c r="O298" s="7">
        <v>46157</v>
      </c>
      <c r="P298" s="7">
        <v>46160</v>
      </c>
      <c r="S298" s="6" t="s">
        <v>140</v>
      </c>
      <c r="U298" s="6" t="s">
        <v>413</v>
      </c>
      <c r="V298" s="6" t="str">
        <f>TEXT(N298,"YY/MM")</f>
        <v>26/05</v>
      </c>
      <c r="W298">
        <v>1670</v>
      </c>
      <c r="AA298">
        <v>1024</v>
      </c>
      <c r="AC298">
        <v>1077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>$L298*AI298</f>
        <v>0</v>
      </c>
      <c r="BQ298" s="23">
        <f>$L298*AJ298</f>
        <v>0</v>
      </c>
      <c r="BR298" s="23">
        <f>$L298*AK298</f>
        <v>0</v>
      </c>
      <c r="BS298" s="23">
        <f>$L298*AL298</f>
        <v>0</v>
      </c>
      <c r="BT298" s="23">
        <f>$L298*AM298</f>
        <v>0</v>
      </c>
      <c r="BU298" s="23">
        <f>$L298*AN298</f>
        <v>0</v>
      </c>
      <c r="BV298" s="23">
        <f>$L298*AO298</f>
        <v>0</v>
      </c>
      <c r="BW298" s="23">
        <f>$L298*AP298</f>
        <v>0</v>
      </c>
      <c r="BX298" s="23">
        <f>$L298*AQ298</f>
        <v>0</v>
      </c>
      <c r="BY298" s="23">
        <f>$L298*AR298</f>
        <v>0</v>
      </c>
      <c r="BZ298" s="23">
        <f>$L298*AS298</f>
        <v>0</v>
      </c>
      <c r="CA298" s="23">
        <f>$L298*AT298</f>
        <v>0</v>
      </c>
      <c r="CB298" s="23">
        <f>$L298*AU298</f>
        <v>0</v>
      </c>
      <c r="CC298" s="23">
        <f>$L298*AV298</f>
        <v>0</v>
      </c>
      <c r="CD298" s="23">
        <f>$L298*AW298</f>
        <v>0</v>
      </c>
      <c r="CE298" s="23">
        <f>$L298*AX298</f>
        <v>0</v>
      </c>
      <c r="CF298" s="23">
        <f>$L298*AY298</f>
        <v>0</v>
      </c>
      <c r="CG298" s="23">
        <f>$L298*AZ298</f>
        <v>0</v>
      </c>
      <c r="CH298" s="23">
        <f>$L298*BA298</f>
        <v>0</v>
      </c>
      <c r="CI298" s="23">
        <f>$L298*BB298</f>
        <v>0</v>
      </c>
      <c r="CJ298" s="23">
        <f>$L298*BC298</f>
        <v>0</v>
      </c>
      <c r="CK298" s="23">
        <f>$L298*BD298</f>
        <v>0</v>
      </c>
      <c r="CL298" s="23">
        <f>$L298*BE298</f>
        <v>0</v>
      </c>
      <c r="CM298" s="23">
        <f>$L298*BF298</f>
        <v>0</v>
      </c>
      <c r="CN298" s="23">
        <f>$L298*BG298</f>
        <v>1</v>
      </c>
      <c r="CO298" s="23">
        <f>$L298*BH298</f>
        <v>1</v>
      </c>
      <c r="CP298" s="23">
        <f>$L298*BI298</f>
        <v>1</v>
      </c>
      <c r="CQ298" s="23">
        <f>$L298*BJ298</f>
        <v>1</v>
      </c>
      <c r="CR298" s="23">
        <f>$L298*BK298</f>
        <v>1</v>
      </c>
      <c r="CS298" s="23">
        <f>$L298*BL298</f>
        <v>1</v>
      </c>
      <c r="CT298" s="23">
        <f>$L298*BM298</f>
        <v>1</v>
      </c>
      <c r="CU298" s="23">
        <f>$L298*BN298</f>
        <v>1</v>
      </c>
      <c r="CV298" s="23">
        <f>$L298*BO298</f>
        <v>1</v>
      </c>
    </row>
    <row r="299" spans="1:100" ht="13.5" x14ac:dyDescent="0.15">
      <c r="A299" s="15">
        <v>181</v>
      </c>
      <c r="B299" s="28" t="s">
        <v>682</v>
      </c>
      <c r="C299" t="s">
        <v>414</v>
      </c>
      <c r="E299" t="s">
        <v>140</v>
      </c>
      <c r="F299" t="s">
        <v>415</v>
      </c>
      <c r="G299" t="s">
        <v>140</v>
      </c>
      <c r="H299" t="s">
        <v>141</v>
      </c>
      <c r="I299" s="6" t="s">
        <v>136</v>
      </c>
      <c r="J299" s="6">
        <v>0</v>
      </c>
      <c r="L299" s="15">
        <v>1</v>
      </c>
      <c r="M299" s="7">
        <v>46135</v>
      </c>
      <c r="N299" s="7">
        <v>46164</v>
      </c>
      <c r="O299" s="7">
        <v>46157</v>
      </c>
      <c r="P299" s="7">
        <v>46160</v>
      </c>
      <c r="S299" s="6" t="s">
        <v>140</v>
      </c>
      <c r="U299" s="6" t="s">
        <v>413</v>
      </c>
      <c r="V299" s="6" t="str">
        <f>TEXT(N299,"YY/MM")</f>
        <v>26/05</v>
      </c>
      <c r="W299">
        <v>1671</v>
      </c>
      <c r="AA299">
        <v>1025</v>
      </c>
      <c r="AC299">
        <v>1078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>$L299*AI299</f>
        <v>0</v>
      </c>
      <c r="BQ299" s="23">
        <f>$L299*AJ299</f>
        <v>0</v>
      </c>
      <c r="BR299" s="23">
        <f>$L299*AK299</f>
        <v>0</v>
      </c>
      <c r="BS299" s="23">
        <f>$L299*AL299</f>
        <v>0</v>
      </c>
      <c r="BT299" s="23">
        <f>$L299*AM299</f>
        <v>0</v>
      </c>
      <c r="BU299" s="23">
        <f>$L299*AN299</f>
        <v>0</v>
      </c>
      <c r="BV299" s="23">
        <f>$L299*AO299</f>
        <v>0</v>
      </c>
      <c r="BW299" s="23">
        <f>$L299*AP299</f>
        <v>0</v>
      </c>
      <c r="BX299" s="23">
        <f>$L299*AQ299</f>
        <v>0</v>
      </c>
      <c r="BY299" s="23">
        <f>$L299*AR299</f>
        <v>0</v>
      </c>
      <c r="BZ299" s="23">
        <f>$L299*AS299</f>
        <v>0</v>
      </c>
      <c r="CA299" s="23">
        <f>$L299*AT299</f>
        <v>0</v>
      </c>
      <c r="CB299" s="23">
        <f>$L299*AU299</f>
        <v>0</v>
      </c>
      <c r="CC299" s="23">
        <f>$L299*AV299</f>
        <v>0</v>
      </c>
      <c r="CD299" s="23">
        <f>$L299*AW299</f>
        <v>0</v>
      </c>
      <c r="CE299" s="23">
        <f>$L299*AX299</f>
        <v>0</v>
      </c>
      <c r="CF299" s="23">
        <f>$L299*AY299</f>
        <v>0</v>
      </c>
      <c r="CG299" s="23">
        <f>$L299*AZ299</f>
        <v>0</v>
      </c>
      <c r="CH299" s="23">
        <f>$L299*BA299</f>
        <v>0</v>
      </c>
      <c r="CI299" s="23">
        <f>$L299*BB299</f>
        <v>0</v>
      </c>
      <c r="CJ299" s="23">
        <f>$L299*BC299</f>
        <v>0</v>
      </c>
      <c r="CK299" s="23">
        <f>$L299*BD299</f>
        <v>0</v>
      </c>
      <c r="CL299" s="23">
        <f>$L299*BE299</f>
        <v>0</v>
      </c>
      <c r="CM299" s="23">
        <f>$L299*BF299</f>
        <v>0</v>
      </c>
      <c r="CN299" s="23">
        <f>$L299*BG299</f>
        <v>1</v>
      </c>
      <c r="CO299" s="23">
        <f>$L299*BH299</f>
        <v>1</v>
      </c>
      <c r="CP299" s="23">
        <f>$L299*BI299</f>
        <v>1</v>
      </c>
      <c r="CQ299" s="23">
        <f>$L299*BJ299</f>
        <v>1</v>
      </c>
      <c r="CR299" s="23">
        <f>$L299*BK299</f>
        <v>1</v>
      </c>
      <c r="CS299" s="23">
        <f>$L299*BL299</f>
        <v>1</v>
      </c>
      <c r="CT299" s="23">
        <f>$L299*BM299</f>
        <v>1</v>
      </c>
      <c r="CU299" s="23">
        <f>$L299*BN299</f>
        <v>1</v>
      </c>
      <c r="CV299" s="23">
        <f>$L299*BO299</f>
        <v>1</v>
      </c>
    </row>
    <row r="300" spans="1:100" ht="13.5" x14ac:dyDescent="0.15">
      <c r="A300" s="15">
        <v>181</v>
      </c>
      <c r="B300" s="28" t="s">
        <v>683</v>
      </c>
      <c r="C300" t="s">
        <v>414</v>
      </c>
      <c r="E300" t="s">
        <v>140</v>
      </c>
      <c r="F300" t="s">
        <v>415</v>
      </c>
      <c r="G300" t="s">
        <v>140</v>
      </c>
      <c r="H300" t="s">
        <v>141</v>
      </c>
      <c r="I300" s="6" t="s">
        <v>136</v>
      </c>
      <c r="J300" s="6">
        <v>0</v>
      </c>
      <c r="L300" s="15">
        <v>1</v>
      </c>
      <c r="M300" s="7">
        <v>46135</v>
      </c>
      <c r="N300" s="7">
        <v>46164</v>
      </c>
      <c r="O300" s="7">
        <v>46157</v>
      </c>
      <c r="P300" s="7">
        <v>46160</v>
      </c>
      <c r="S300" s="6" t="s">
        <v>140</v>
      </c>
      <c r="U300" s="6" t="s">
        <v>413</v>
      </c>
      <c r="V300" s="6" t="str">
        <f>TEXT(N300,"YY/MM")</f>
        <v>26/05</v>
      </c>
      <c r="W300">
        <v>1672</v>
      </c>
      <c r="AA300">
        <v>1026</v>
      </c>
      <c r="AC300">
        <v>1079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>$L300*AI300</f>
        <v>0</v>
      </c>
      <c r="BQ300" s="23">
        <f>$L300*AJ300</f>
        <v>0</v>
      </c>
      <c r="BR300" s="23">
        <f>$L300*AK300</f>
        <v>0</v>
      </c>
      <c r="BS300" s="23">
        <f>$L300*AL300</f>
        <v>0</v>
      </c>
      <c r="BT300" s="23">
        <f>$L300*AM300</f>
        <v>0</v>
      </c>
      <c r="BU300" s="23">
        <f>$L300*AN300</f>
        <v>0</v>
      </c>
      <c r="BV300" s="23">
        <f>$L300*AO300</f>
        <v>0</v>
      </c>
      <c r="BW300" s="23">
        <f>$L300*AP300</f>
        <v>0</v>
      </c>
      <c r="BX300" s="23">
        <f>$L300*AQ300</f>
        <v>0</v>
      </c>
      <c r="BY300" s="23">
        <f>$L300*AR300</f>
        <v>0</v>
      </c>
      <c r="BZ300" s="23">
        <f>$L300*AS300</f>
        <v>0</v>
      </c>
      <c r="CA300" s="23">
        <f>$L300*AT300</f>
        <v>0</v>
      </c>
      <c r="CB300" s="23">
        <f>$L300*AU300</f>
        <v>0</v>
      </c>
      <c r="CC300" s="23">
        <f>$L300*AV300</f>
        <v>0</v>
      </c>
      <c r="CD300" s="23">
        <f>$L300*AW300</f>
        <v>0</v>
      </c>
      <c r="CE300" s="23">
        <f>$L300*AX300</f>
        <v>0</v>
      </c>
      <c r="CF300" s="23">
        <f>$L300*AY300</f>
        <v>0</v>
      </c>
      <c r="CG300" s="23">
        <f>$L300*AZ300</f>
        <v>0</v>
      </c>
      <c r="CH300" s="23">
        <f>$L300*BA300</f>
        <v>0</v>
      </c>
      <c r="CI300" s="23">
        <f>$L300*BB300</f>
        <v>0</v>
      </c>
      <c r="CJ300" s="23">
        <f>$L300*BC300</f>
        <v>0</v>
      </c>
      <c r="CK300" s="23">
        <f>$L300*BD300</f>
        <v>0</v>
      </c>
      <c r="CL300" s="23">
        <f>$L300*BE300</f>
        <v>0</v>
      </c>
      <c r="CM300" s="23">
        <f>$L300*BF300</f>
        <v>0</v>
      </c>
      <c r="CN300" s="23">
        <f>$L300*BG300</f>
        <v>1</v>
      </c>
      <c r="CO300" s="23">
        <f>$L300*BH300</f>
        <v>1</v>
      </c>
      <c r="CP300" s="23">
        <f>$L300*BI300</f>
        <v>1</v>
      </c>
      <c r="CQ300" s="23">
        <f>$L300*BJ300</f>
        <v>1</v>
      </c>
      <c r="CR300" s="23">
        <f>$L300*BK300</f>
        <v>1</v>
      </c>
      <c r="CS300" s="23">
        <f>$L300*BL300</f>
        <v>1</v>
      </c>
      <c r="CT300" s="23">
        <f>$L300*BM300</f>
        <v>1</v>
      </c>
      <c r="CU300" s="23">
        <f>$L300*BN300</f>
        <v>1</v>
      </c>
      <c r="CV300" s="23">
        <f>$L300*BO300</f>
        <v>1</v>
      </c>
    </row>
    <row r="301" spans="1:100" ht="13.5" x14ac:dyDescent="0.15">
      <c r="A301" s="15">
        <v>181</v>
      </c>
      <c r="B301" s="28" t="s">
        <v>684</v>
      </c>
      <c r="C301" t="s">
        <v>414</v>
      </c>
      <c r="E301" t="s">
        <v>140</v>
      </c>
      <c r="F301" t="s">
        <v>415</v>
      </c>
      <c r="G301" t="s">
        <v>140</v>
      </c>
      <c r="H301" t="s">
        <v>141</v>
      </c>
      <c r="I301" s="6" t="s">
        <v>136</v>
      </c>
      <c r="J301" s="6">
        <v>0</v>
      </c>
      <c r="L301" s="15">
        <v>1</v>
      </c>
      <c r="M301" s="7">
        <v>46135</v>
      </c>
      <c r="N301" s="7">
        <v>46164</v>
      </c>
      <c r="O301" s="7">
        <v>46157</v>
      </c>
      <c r="P301" s="7">
        <v>46160</v>
      </c>
      <c r="S301" s="6" t="s">
        <v>140</v>
      </c>
      <c r="U301" s="6" t="s">
        <v>413</v>
      </c>
      <c r="V301" s="6" t="str">
        <f>TEXT(N301,"YY/MM")</f>
        <v>26/05</v>
      </c>
      <c r="W301">
        <v>1673</v>
      </c>
      <c r="AA301">
        <v>1027</v>
      </c>
      <c r="AC301">
        <v>1080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>$L301*AI301</f>
        <v>0</v>
      </c>
      <c r="BQ301" s="23">
        <f>$L301*AJ301</f>
        <v>0</v>
      </c>
      <c r="BR301" s="23">
        <f>$L301*AK301</f>
        <v>0</v>
      </c>
      <c r="BS301" s="23">
        <f>$L301*AL301</f>
        <v>0</v>
      </c>
      <c r="BT301" s="23">
        <f>$L301*AM301</f>
        <v>0</v>
      </c>
      <c r="BU301" s="23">
        <f>$L301*AN301</f>
        <v>0</v>
      </c>
      <c r="BV301" s="23">
        <f>$L301*AO301</f>
        <v>0</v>
      </c>
      <c r="BW301" s="23">
        <f>$L301*AP301</f>
        <v>0</v>
      </c>
      <c r="BX301" s="23">
        <f>$L301*AQ301</f>
        <v>0</v>
      </c>
      <c r="BY301" s="23">
        <f>$L301*AR301</f>
        <v>0</v>
      </c>
      <c r="BZ301" s="23">
        <f>$L301*AS301</f>
        <v>0</v>
      </c>
      <c r="CA301" s="23">
        <f>$L301*AT301</f>
        <v>0</v>
      </c>
      <c r="CB301" s="23">
        <f>$L301*AU301</f>
        <v>0</v>
      </c>
      <c r="CC301" s="23">
        <f>$L301*AV301</f>
        <v>0</v>
      </c>
      <c r="CD301" s="23">
        <f>$L301*AW301</f>
        <v>0</v>
      </c>
      <c r="CE301" s="23">
        <f>$L301*AX301</f>
        <v>0</v>
      </c>
      <c r="CF301" s="23">
        <f>$L301*AY301</f>
        <v>0</v>
      </c>
      <c r="CG301" s="23">
        <f>$L301*AZ301</f>
        <v>0</v>
      </c>
      <c r="CH301" s="23">
        <f>$L301*BA301</f>
        <v>0</v>
      </c>
      <c r="CI301" s="23">
        <f>$L301*BB301</f>
        <v>0</v>
      </c>
      <c r="CJ301" s="23">
        <f>$L301*BC301</f>
        <v>0</v>
      </c>
      <c r="CK301" s="23">
        <f>$L301*BD301</f>
        <v>0</v>
      </c>
      <c r="CL301" s="23">
        <f>$L301*BE301</f>
        <v>0</v>
      </c>
      <c r="CM301" s="23">
        <f>$L301*BF301</f>
        <v>0</v>
      </c>
      <c r="CN301" s="23">
        <f>$L301*BG301</f>
        <v>1</v>
      </c>
      <c r="CO301" s="23">
        <f>$L301*BH301</f>
        <v>1</v>
      </c>
      <c r="CP301" s="23">
        <f>$L301*BI301</f>
        <v>1</v>
      </c>
      <c r="CQ301" s="23">
        <f>$L301*BJ301</f>
        <v>1</v>
      </c>
      <c r="CR301" s="23">
        <f>$L301*BK301</f>
        <v>1</v>
      </c>
      <c r="CS301" s="23">
        <f>$L301*BL301</f>
        <v>1</v>
      </c>
      <c r="CT301" s="23">
        <f>$L301*BM301</f>
        <v>1</v>
      </c>
      <c r="CU301" s="23">
        <f>$L301*BN301</f>
        <v>1</v>
      </c>
      <c r="CV301" s="23">
        <f>$L301*BO301</f>
        <v>1</v>
      </c>
    </row>
    <row r="302" spans="1:100" ht="13.5" x14ac:dyDescent="0.15">
      <c r="A302" s="15">
        <v>181</v>
      </c>
      <c r="B302" s="28" t="s">
        <v>685</v>
      </c>
      <c r="C302" t="s">
        <v>414</v>
      </c>
      <c r="E302" t="s">
        <v>140</v>
      </c>
      <c r="F302" t="s">
        <v>415</v>
      </c>
      <c r="G302" t="s">
        <v>140</v>
      </c>
      <c r="H302" t="s">
        <v>141</v>
      </c>
      <c r="I302" s="6" t="s">
        <v>136</v>
      </c>
      <c r="J302" s="6">
        <v>0</v>
      </c>
      <c r="L302" s="15">
        <v>1</v>
      </c>
      <c r="M302" s="7">
        <v>46135</v>
      </c>
      <c r="N302" s="7">
        <v>46164</v>
      </c>
      <c r="O302" s="7">
        <v>46157</v>
      </c>
      <c r="P302" s="7">
        <v>46160</v>
      </c>
      <c r="S302" s="6" t="s">
        <v>140</v>
      </c>
      <c r="U302" s="6" t="s">
        <v>413</v>
      </c>
      <c r="V302" s="6" t="str">
        <f>TEXT(N302,"YY/MM")</f>
        <v>26/05</v>
      </c>
      <c r="W302">
        <v>1674</v>
      </c>
      <c r="AA302">
        <v>1028</v>
      </c>
      <c r="AC302">
        <v>1081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>$L302*AI302</f>
        <v>0</v>
      </c>
      <c r="BQ302" s="23">
        <f>$L302*AJ302</f>
        <v>0</v>
      </c>
      <c r="BR302" s="23">
        <f>$L302*AK302</f>
        <v>0</v>
      </c>
      <c r="BS302" s="23">
        <f>$L302*AL302</f>
        <v>0</v>
      </c>
      <c r="BT302" s="23">
        <f>$L302*AM302</f>
        <v>0</v>
      </c>
      <c r="BU302" s="23">
        <f>$L302*AN302</f>
        <v>0</v>
      </c>
      <c r="BV302" s="23">
        <f>$L302*AO302</f>
        <v>0</v>
      </c>
      <c r="BW302" s="23">
        <f>$L302*AP302</f>
        <v>0</v>
      </c>
      <c r="BX302" s="23">
        <f>$L302*AQ302</f>
        <v>0</v>
      </c>
      <c r="BY302" s="23">
        <f>$L302*AR302</f>
        <v>0</v>
      </c>
      <c r="BZ302" s="23">
        <f>$L302*AS302</f>
        <v>0</v>
      </c>
      <c r="CA302" s="23">
        <f>$L302*AT302</f>
        <v>0</v>
      </c>
      <c r="CB302" s="23">
        <f>$L302*AU302</f>
        <v>0</v>
      </c>
      <c r="CC302" s="23">
        <f>$L302*AV302</f>
        <v>0</v>
      </c>
      <c r="CD302" s="23">
        <f>$L302*AW302</f>
        <v>0</v>
      </c>
      <c r="CE302" s="23">
        <f>$L302*AX302</f>
        <v>0</v>
      </c>
      <c r="CF302" s="23">
        <f>$L302*AY302</f>
        <v>0</v>
      </c>
      <c r="CG302" s="23">
        <f>$L302*AZ302</f>
        <v>0</v>
      </c>
      <c r="CH302" s="23">
        <f>$L302*BA302</f>
        <v>0</v>
      </c>
      <c r="CI302" s="23">
        <f>$L302*BB302</f>
        <v>0</v>
      </c>
      <c r="CJ302" s="23">
        <f>$L302*BC302</f>
        <v>0</v>
      </c>
      <c r="CK302" s="23">
        <f>$L302*BD302</f>
        <v>0</v>
      </c>
      <c r="CL302" s="23">
        <f>$L302*BE302</f>
        <v>0</v>
      </c>
      <c r="CM302" s="23">
        <f>$L302*BF302</f>
        <v>0</v>
      </c>
      <c r="CN302" s="23">
        <f>$L302*BG302</f>
        <v>1</v>
      </c>
      <c r="CO302" s="23">
        <f>$L302*BH302</f>
        <v>1</v>
      </c>
      <c r="CP302" s="23">
        <f>$L302*BI302</f>
        <v>1</v>
      </c>
      <c r="CQ302" s="23">
        <f>$L302*BJ302</f>
        <v>1</v>
      </c>
      <c r="CR302" s="23">
        <f>$L302*BK302</f>
        <v>1</v>
      </c>
      <c r="CS302" s="23">
        <f>$L302*BL302</f>
        <v>1</v>
      </c>
      <c r="CT302" s="23">
        <f>$L302*BM302</f>
        <v>1</v>
      </c>
      <c r="CU302" s="23">
        <f>$L302*BN302</f>
        <v>1</v>
      </c>
      <c r="CV302" s="23">
        <f>$L302*BO302</f>
        <v>1</v>
      </c>
    </row>
    <row r="303" spans="1:100" ht="13.5" x14ac:dyDescent="0.15">
      <c r="A303" s="15">
        <v>181</v>
      </c>
      <c r="B303" s="28" t="s">
        <v>686</v>
      </c>
      <c r="C303" t="s">
        <v>414</v>
      </c>
      <c r="E303" t="s">
        <v>140</v>
      </c>
      <c r="F303" t="s">
        <v>415</v>
      </c>
      <c r="G303" t="s">
        <v>140</v>
      </c>
      <c r="H303" t="s">
        <v>141</v>
      </c>
      <c r="I303" s="6" t="s">
        <v>136</v>
      </c>
      <c r="J303" s="6">
        <v>0</v>
      </c>
      <c r="L303" s="15">
        <v>1</v>
      </c>
      <c r="M303" s="7">
        <v>46135</v>
      </c>
      <c r="N303" s="7">
        <v>46164</v>
      </c>
      <c r="O303" s="7">
        <v>46157</v>
      </c>
      <c r="P303" s="7">
        <v>46160</v>
      </c>
      <c r="S303" s="6" t="s">
        <v>140</v>
      </c>
      <c r="U303" s="6" t="s">
        <v>413</v>
      </c>
      <c r="V303" s="6" t="str">
        <f>TEXT(N303,"YY/MM")</f>
        <v>26/05</v>
      </c>
      <c r="W303">
        <v>1675</v>
      </c>
      <c r="AA303">
        <v>1029</v>
      </c>
      <c r="AC303">
        <v>1082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>$L303*AI303</f>
        <v>0</v>
      </c>
      <c r="BQ303" s="23">
        <f>$L303*AJ303</f>
        <v>0</v>
      </c>
      <c r="BR303" s="23">
        <f>$L303*AK303</f>
        <v>0</v>
      </c>
      <c r="BS303" s="23">
        <f>$L303*AL303</f>
        <v>0</v>
      </c>
      <c r="BT303" s="23">
        <f>$L303*AM303</f>
        <v>0</v>
      </c>
      <c r="BU303" s="23">
        <f>$L303*AN303</f>
        <v>0</v>
      </c>
      <c r="BV303" s="23">
        <f>$L303*AO303</f>
        <v>0</v>
      </c>
      <c r="BW303" s="23">
        <f>$L303*AP303</f>
        <v>0</v>
      </c>
      <c r="BX303" s="23">
        <f>$L303*AQ303</f>
        <v>0</v>
      </c>
      <c r="BY303" s="23">
        <f>$L303*AR303</f>
        <v>0</v>
      </c>
      <c r="BZ303" s="23">
        <f>$L303*AS303</f>
        <v>0</v>
      </c>
      <c r="CA303" s="23">
        <f>$L303*AT303</f>
        <v>0</v>
      </c>
      <c r="CB303" s="23">
        <f>$L303*AU303</f>
        <v>0</v>
      </c>
      <c r="CC303" s="23">
        <f>$L303*AV303</f>
        <v>0</v>
      </c>
      <c r="CD303" s="23">
        <f>$L303*AW303</f>
        <v>0</v>
      </c>
      <c r="CE303" s="23">
        <f>$L303*AX303</f>
        <v>0</v>
      </c>
      <c r="CF303" s="23">
        <f>$L303*AY303</f>
        <v>0</v>
      </c>
      <c r="CG303" s="23">
        <f>$L303*AZ303</f>
        <v>0</v>
      </c>
      <c r="CH303" s="23">
        <f>$L303*BA303</f>
        <v>0</v>
      </c>
      <c r="CI303" s="23">
        <f>$L303*BB303</f>
        <v>0</v>
      </c>
      <c r="CJ303" s="23">
        <f>$L303*BC303</f>
        <v>0</v>
      </c>
      <c r="CK303" s="23">
        <f>$L303*BD303</f>
        <v>0</v>
      </c>
      <c r="CL303" s="23">
        <f>$L303*BE303</f>
        <v>0</v>
      </c>
      <c r="CM303" s="23">
        <f>$L303*BF303</f>
        <v>0</v>
      </c>
      <c r="CN303" s="23">
        <f>$L303*BG303</f>
        <v>1</v>
      </c>
      <c r="CO303" s="23">
        <f>$L303*BH303</f>
        <v>1</v>
      </c>
      <c r="CP303" s="23">
        <f>$L303*BI303</f>
        <v>1</v>
      </c>
      <c r="CQ303" s="23">
        <f>$L303*BJ303</f>
        <v>1</v>
      </c>
      <c r="CR303" s="23">
        <f>$L303*BK303</f>
        <v>1</v>
      </c>
      <c r="CS303" s="23">
        <f>$L303*BL303</f>
        <v>1</v>
      </c>
      <c r="CT303" s="23">
        <f>$L303*BM303</f>
        <v>1</v>
      </c>
      <c r="CU303" s="23">
        <f>$L303*BN303</f>
        <v>1</v>
      </c>
      <c r="CV303" s="23">
        <f>$L303*BO303</f>
        <v>1</v>
      </c>
    </row>
    <row r="304" spans="1:100" ht="13.5" x14ac:dyDescent="0.15">
      <c r="A304" s="15">
        <v>181</v>
      </c>
      <c r="B304" s="28" t="s">
        <v>687</v>
      </c>
      <c r="C304" t="s">
        <v>414</v>
      </c>
      <c r="E304" t="s">
        <v>140</v>
      </c>
      <c r="F304" t="s">
        <v>415</v>
      </c>
      <c r="G304" t="s">
        <v>140</v>
      </c>
      <c r="H304" t="s">
        <v>141</v>
      </c>
      <c r="I304" s="6" t="s">
        <v>136</v>
      </c>
      <c r="J304" s="6">
        <v>0</v>
      </c>
      <c r="L304" s="15">
        <v>1</v>
      </c>
      <c r="M304" s="7">
        <v>46135</v>
      </c>
      <c r="N304" s="7">
        <v>46167</v>
      </c>
      <c r="O304" s="7">
        <v>46157</v>
      </c>
      <c r="P304" s="7">
        <v>46160</v>
      </c>
      <c r="S304" s="6" t="s">
        <v>140</v>
      </c>
      <c r="U304" s="6" t="s">
        <v>413</v>
      </c>
      <c r="V304" s="6" t="str">
        <f>TEXT(N304,"YY/MM")</f>
        <v>26/05</v>
      </c>
      <c r="W304">
        <v>1676</v>
      </c>
      <c r="AA304">
        <v>1030</v>
      </c>
      <c r="AC304">
        <v>1083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>$L304*AI304</f>
        <v>0</v>
      </c>
      <c r="BQ304" s="23">
        <f>$L304*AJ304</f>
        <v>0</v>
      </c>
      <c r="BR304" s="23">
        <f>$L304*AK304</f>
        <v>0</v>
      </c>
      <c r="BS304" s="23">
        <f>$L304*AL304</f>
        <v>0</v>
      </c>
      <c r="BT304" s="23">
        <f>$L304*AM304</f>
        <v>0</v>
      </c>
      <c r="BU304" s="23">
        <f>$L304*AN304</f>
        <v>0</v>
      </c>
      <c r="BV304" s="23">
        <f>$L304*AO304</f>
        <v>0</v>
      </c>
      <c r="BW304" s="23">
        <f>$L304*AP304</f>
        <v>0</v>
      </c>
      <c r="BX304" s="23">
        <f>$L304*AQ304</f>
        <v>0</v>
      </c>
      <c r="BY304" s="23">
        <f>$L304*AR304</f>
        <v>0</v>
      </c>
      <c r="BZ304" s="23">
        <f>$L304*AS304</f>
        <v>0</v>
      </c>
      <c r="CA304" s="23">
        <f>$L304*AT304</f>
        <v>0</v>
      </c>
      <c r="CB304" s="23">
        <f>$L304*AU304</f>
        <v>0</v>
      </c>
      <c r="CC304" s="23">
        <f>$L304*AV304</f>
        <v>0</v>
      </c>
      <c r="CD304" s="23">
        <f>$L304*AW304</f>
        <v>0</v>
      </c>
      <c r="CE304" s="23">
        <f>$L304*AX304</f>
        <v>0</v>
      </c>
      <c r="CF304" s="23">
        <f>$L304*AY304</f>
        <v>0</v>
      </c>
      <c r="CG304" s="23">
        <f>$L304*AZ304</f>
        <v>0</v>
      </c>
      <c r="CH304" s="23">
        <f>$L304*BA304</f>
        <v>0</v>
      </c>
      <c r="CI304" s="23">
        <f>$L304*BB304</f>
        <v>0</v>
      </c>
      <c r="CJ304" s="23">
        <f>$L304*BC304</f>
        <v>0</v>
      </c>
      <c r="CK304" s="23">
        <f>$L304*BD304</f>
        <v>0</v>
      </c>
      <c r="CL304" s="23">
        <f>$L304*BE304</f>
        <v>0</v>
      </c>
      <c r="CM304" s="23">
        <f>$L304*BF304</f>
        <v>0</v>
      </c>
      <c r="CN304" s="23">
        <f>$L304*BG304</f>
        <v>1</v>
      </c>
      <c r="CO304" s="23">
        <f>$L304*BH304</f>
        <v>1</v>
      </c>
      <c r="CP304" s="23">
        <f>$L304*BI304</f>
        <v>1</v>
      </c>
      <c r="CQ304" s="23">
        <f>$L304*BJ304</f>
        <v>1</v>
      </c>
      <c r="CR304" s="23">
        <f>$L304*BK304</f>
        <v>1</v>
      </c>
      <c r="CS304" s="23">
        <f>$L304*BL304</f>
        <v>1</v>
      </c>
      <c r="CT304" s="23">
        <f>$L304*BM304</f>
        <v>1</v>
      </c>
      <c r="CU304" s="23">
        <f>$L304*BN304</f>
        <v>1</v>
      </c>
      <c r="CV304" s="23">
        <f>$L304*BO304</f>
        <v>1</v>
      </c>
    </row>
    <row r="305" spans="1:100" ht="13.5" x14ac:dyDescent="0.15">
      <c r="A305" s="15">
        <v>181</v>
      </c>
      <c r="B305" s="28" t="s">
        <v>688</v>
      </c>
      <c r="C305" t="s">
        <v>414</v>
      </c>
      <c r="E305" t="s">
        <v>140</v>
      </c>
      <c r="F305" t="s">
        <v>415</v>
      </c>
      <c r="G305" t="s">
        <v>140</v>
      </c>
      <c r="H305" t="s">
        <v>141</v>
      </c>
      <c r="I305" s="6" t="s">
        <v>136</v>
      </c>
      <c r="J305" s="6">
        <v>0</v>
      </c>
      <c r="L305" s="15">
        <v>1</v>
      </c>
      <c r="M305" s="7">
        <v>46135</v>
      </c>
      <c r="N305" s="7">
        <v>46167</v>
      </c>
      <c r="O305" s="7">
        <v>46157</v>
      </c>
      <c r="P305" s="7">
        <v>46160</v>
      </c>
      <c r="S305" s="6" t="s">
        <v>140</v>
      </c>
      <c r="U305" s="6" t="s">
        <v>413</v>
      </c>
      <c r="V305" s="6" t="str">
        <f>TEXT(N305,"YY/MM")</f>
        <v>26/05</v>
      </c>
      <c r="W305">
        <v>1677</v>
      </c>
      <c r="AA305">
        <v>1031</v>
      </c>
      <c r="AC305">
        <v>1084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>$L305*AI305</f>
        <v>0</v>
      </c>
      <c r="BQ305" s="23">
        <f>$L305*AJ305</f>
        <v>0</v>
      </c>
      <c r="BR305" s="23">
        <f>$L305*AK305</f>
        <v>0</v>
      </c>
      <c r="BS305" s="23">
        <f>$L305*AL305</f>
        <v>0</v>
      </c>
      <c r="BT305" s="23">
        <f>$L305*AM305</f>
        <v>0</v>
      </c>
      <c r="BU305" s="23">
        <f>$L305*AN305</f>
        <v>0</v>
      </c>
      <c r="BV305" s="23">
        <f>$L305*AO305</f>
        <v>0</v>
      </c>
      <c r="BW305" s="23">
        <f>$L305*AP305</f>
        <v>0</v>
      </c>
      <c r="BX305" s="23">
        <f>$L305*AQ305</f>
        <v>0</v>
      </c>
      <c r="BY305" s="23">
        <f>$L305*AR305</f>
        <v>0</v>
      </c>
      <c r="BZ305" s="23">
        <f>$L305*AS305</f>
        <v>0</v>
      </c>
      <c r="CA305" s="23">
        <f>$L305*AT305</f>
        <v>0</v>
      </c>
      <c r="CB305" s="23">
        <f>$L305*AU305</f>
        <v>0</v>
      </c>
      <c r="CC305" s="23">
        <f>$L305*AV305</f>
        <v>0</v>
      </c>
      <c r="CD305" s="23">
        <f>$L305*AW305</f>
        <v>0</v>
      </c>
      <c r="CE305" s="23">
        <f>$L305*AX305</f>
        <v>0</v>
      </c>
      <c r="CF305" s="23">
        <f>$L305*AY305</f>
        <v>0</v>
      </c>
      <c r="CG305" s="23">
        <f>$L305*AZ305</f>
        <v>0</v>
      </c>
      <c r="CH305" s="23">
        <f>$L305*BA305</f>
        <v>0</v>
      </c>
      <c r="CI305" s="23">
        <f>$L305*BB305</f>
        <v>0</v>
      </c>
      <c r="CJ305" s="23">
        <f>$L305*BC305</f>
        <v>0</v>
      </c>
      <c r="CK305" s="23">
        <f>$L305*BD305</f>
        <v>0</v>
      </c>
      <c r="CL305" s="23">
        <f>$L305*BE305</f>
        <v>0</v>
      </c>
      <c r="CM305" s="23">
        <f>$L305*BF305</f>
        <v>0</v>
      </c>
      <c r="CN305" s="23">
        <f>$L305*BG305</f>
        <v>1</v>
      </c>
      <c r="CO305" s="23">
        <f>$L305*BH305</f>
        <v>1</v>
      </c>
      <c r="CP305" s="23">
        <f>$L305*BI305</f>
        <v>1</v>
      </c>
      <c r="CQ305" s="23">
        <f>$L305*BJ305</f>
        <v>1</v>
      </c>
      <c r="CR305" s="23">
        <f>$L305*BK305</f>
        <v>1</v>
      </c>
      <c r="CS305" s="23">
        <f>$L305*BL305</f>
        <v>1</v>
      </c>
      <c r="CT305" s="23">
        <f>$L305*BM305</f>
        <v>1</v>
      </c>
      <c r="CU305" s="23">
        <f>$L305*BN305</f>
        <v>1</v>
      </c>
      <c r="CV305" s="23">
        <f>$L305*BO305</f>
        <v>1</v>
      </c>
    </row>
    <row r="306" spans="1:100" ht="13.5" x14ac:dyDescent="0.15">
      <c r="A306" s="15">
        <v>181</v>
      </c>
      <c r="B306" s="28" t="s">
        <v>689</v>
      </c>
      <c r="C306" t="s">
        <v>414</v>
      </c>
      <c r="E306" t="s">
        <v>140</v>
      </c>
      <c r="F306" t="s">
        <v>415</v>
      </c>
      <c r="G306" t="s">
        <v>140</v>
      </c>
      <c r="H306" t="s">
        <v>141</v>
      </c>
      <c r="I306" s="6" t="s">
        <v>136</v>
      </c>
      <c r="J306" s="6">
        <v>0</v>
      </c>
      <c r="L306" s="15">
        <v>1</v>
      </c>
      <c r="M306" s="7">
        <v>46135</v>
      </c>
      <c r="N306" s="7">
        <v>46167</v>
      </c>
      <c r="O306" s="7">
        <v>46157</v>
      </c>
      <c r="P306" s="7">
        <v>46160</v>
      </c>
      <c r="S306" s="6" t="s">
        <v>140</v>
      </c>
      <c r="U306" s="6" t="s">
        <v>413</v>
      </c>
      <c r="V306" s="6" t="str">
        <f>TEXT(N306,"YY/MM")</f>
        <v>26/05</v>
      </c>
      <c r="W306">
        <v>1678</v>
      </c>
      <c r="AA306">
        <v>1032</v>
      </c>
      <c r="AC306">
        <v>1085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>$L306*AI306</f>
        <v>0</v>
      </c>
      <c r="BQ306" s="23">
        <f>$L306*AJ306</f>
        <v>0</v>
      </c>
      <c r="BR306" s="23">
        <f>$L306*AK306</f>
        <v>0</v>
      </c>
      <c r="BS306" s="23">
        <f>$L306*AL306</f>
        <v>0</v>
      </c>
      <c r="BT306" s="23">
        <f>$L306*AM306</f>
        <v>0</v>
      </c>
      <c r="BU306" s="23">
        <f>$L306*AN306</f>
        <v>0</v>
      </c>
      <c r="BV306" s="23">
        <f>$L306*AO306</f>
        <v>0</v>
      </c>
      <c r="BW306" s="23">
        <f>$L306*AP306</f>
        <v>0</v>
      </c>
      <c r="BX306" s="23">
        <f>$L306*AQ306</f>
        <v>0</v>
      </c>
      <c r="BY306" s="23">
        <f>$L306*AR306</f>
        <v>0</v>
      </c>
      <c r="BZ306" s="23">
        <f>$L306*AS306</f>
        <v>0</v>
      </c>
      <c r="CA306" s="23">
        <f>$L306*AT306</f>
        <v>0</v>
      </c>
      <c r="CB306" s="23">
        <f>$L306*AU306</f>
        <v>0</v>
      </c>
      <c r="CC306" s="23">
        <f>$L306*AV306</f>
        <v>0</v>
      </c>
      <c r="CD306" s="23">
        <f>$L306*AW306</f>
        <v>0</v>
      </c>
      <c r="CE306" s="23">
        <f>$L306*AX306</f>
        <v>0</v>
      </c>
      <c r="CF306" s="23">
        <f>$L306*AY306</f>
        <v>0</v>
      </c>
      <c r="CG306" s="23">
        <f>$L306*AZ306</f>
        <v>0</v>
      </c>
      <c r="CH306" s="23">
        <f>$L306*BA306</f>
        <v>0</v>
      </c>
      <c r="CI306" s="23">
        <f>$L306*BB306</f>
        <v>0</v>
      </c>
      <c r="CJ306" s="23">
        <f>$L306*BC306</f>
        <v>0</v>
      </c>
      <c r="CK306" s="23">
        <f>$L306*BD306</f>
        <v>0</v>
      </c>
      <c r="CL306" s="23">
        <f>$L306*BE306</f>
        <v>0</v>
      </c>
      <c r="CM306" s="23">
        <f>$L306*BF306</f>
        <v>0</v>
      </c>
      <c r="CN306" s="23">
        <f>$L306*BG306</f>
        <v>1</v>
      </c>
      <c r="CO306" s="23">
        <f>$L306*BH306</f>
        <v>1</v>
      </c>
      <c r="CP306" s="23">
        <f>$L306*BI306</f>
        <v>1</v>
      </c>
      <c r="CQ306" s="23">
        <f>$L306*BJ306</f>
        <v>1</v>
      </c>
      <c r="CR306" s="23">
        <f>$L306*BK306</f>
        <v>1</v>
      </c>
      <c r="CS306" s="23">
        <f>$L306*BL306</f>
        <v>1</v>
      </c>
      <c r="CT306" s="23">
        <f>$L306*BM306</f>
        <v>1</v>
      </c>
      <c r="CU306" s="23">
        <f>$L306*BN306</f>
        <v>1</v>
      </c>
      <c r="CV306" s="23">
        <f>$L306*BO306</f>
        <v>1</v>
      </c>
    </row>
    <row r="307" spans="1:100" ht="13.5" x14ac:dyDescent="0.15">
      <c r="A307" s="15">
        <v>181</v>
      </c>
      <c r="B307" s="28" t="s">
        <v>690</v>
      </c>
      <c r="C307" t="s">
        <v>414</v>
      </c>
      <c r="E307" t="s">
        <v>140</v>
      </c>
      <c r="F307" t="s">
        <v>415</v>
      </c>
      <c r="G307" t="s">
        <v>140</v>
      </c>
      <c r="H307" t="s">
        <v>141</v>
      </c>
      <c r="I307" s="6" t="s">
        <v>136</v>
      </c>
      <c r="J307" s="6">
        <v>0</v>
      </c>
      <c r="L307" s="15">
        <v>1</v>
      </c>
      <c r="M307" s="7">
        <v>46135</v>
      </c>
      <c r="N307" s="7">
        <v>46167</v>
      </c>
      <c r="O307" s="7">
        <v>46157</v>
      </c>
      <c r="P307" s="7">
        <v>46160</v>
      </c>
      <c r="S307" s="6" t="s">
        <v>140</v>
      </c>
      <c r="U307" s="6" t="s">
        <v>413</v>
      </c>
      <c r="V307" s="6" t="str">
        <f>TEXT(N307,"YY/MM")</f>
        <v>26/05</v>
      </c>
      <c r="W307">
        <v>1679</v>
      </c>
      <c r="AA307">
        <v>1033</v>
      </c>
      <c r="AC307">
        <v>1086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>$L307*AI307</f>
        <v>0</v>
      </c>
      <c r="BQ307" s="23">
        <f>$L307*AJ307</f>
        <v>0</v>
      </c>
      <c r="BR307" s="23">
        <f>$L307*AK307</f>
        <v>0</v>
      </c>
      <c r="BS307" s="23">
        <f>$L307*AL307</f>
        <v>0</v>
      </c>
      <c r="BT307" s="23">
        <f>$L307*AM307</f>
        <v>0</v>
      </c>
      <c r="BU307" s="23">
        <f>$L307*AN307</f>
        <v>0</v>
      </c>
      <c r="BV307" s="23">
        <f>$L307*AO307</f>
        <v>0</v>
      </c>
      <c r="BW307" s="23">
        <f>$L307*AP307</f>
        <v>0</v>
      </c>
      <c r="BX307" s="23">
        <f>$L307*AQ307</f>
        <v>0</v>
      </c>
      <c r="BY307" s="23">
        <f>$L307*AR307</f>
        <v>0</v>
      </c>
      <c r="BZ307" s="23">
        <f>$L307*AS307</f>
        <v>0</v>
      </c>
      <c r="CA307" s="23">
        <f>$L307*AT307</f>
        <v>0</v>
      </c>
      <c r="CB307" s="23">
        <f>$L307*AU307</f>
        <v>0</v>
      </c>
      <c r="CC307" s="23">
        <f>$L307*AV307</f>
        <v>0</v>
      </c>
      <c r="CD307" s="23">
        <f>$L307*AW307</f>
        <v>0</v>
      </c>
      <c r="CE307" s="23">
        <f>$L307*AX307</f>
        <v>0</v>
      </c>
      <c r="CF307" s="23">
        <f>$L307*AY307</f>
        <v>0</v>
      </c>
      <c r="CG307" s="23">
        <f>$L307*AZ307</f>
        <v>0</v>
      </c>
      <c r="CH307" s="23">
        <f>$L307*BA307</f>
        <v>0</v>
      </c>
      <c r="CI307" s="23">
        <f>$L307*BB307</f>
        <v>0</v>
      </c>
      <c r="CJ307" s="23">
        <f>$L307*BC307</f>
        <v>0</v>
      </c>
      <c r="CK307" s="23">
        <f>$L307*BD307</f>
        <v>0</v>
      </c>
      <c r="CL307" s="23">
        <f>$L307*BE307</f>
        <v>0</v>
      </c>
      <c r="CM307" s="23">
        <f>$L307*BF307</f>
        <v>0</v>
      </c>
      <c r="CN307" s="23">
        <f>$L307*BG307</f>
        <v>1</v>
      </c>
      <c r="CO307" s="23">
        <f>$L307*BH307</f>
        <v>1</v>
      </c>
      <c r="CP307" s="23">
        <f>$L307*BI307</f>
        <v>1</v>
      </c>
      <c r="CQ307" s="23">
        <f>$L307*BJ307</f>
        <v>1</v>
      </c>
      <c r="CR307" s="23">
        <f>$L307*BK307</f>
        <v>1</v>
      </c>
      <c r="CS307" s="23">
        <f>$L307*BL307</f>
        <v>1</v>
      </c>
      <c r="CT307" s="23">
        <f>$L307*BM307</f>
        <v>1</v>
      </c>
      <c r="CU307" s="23">
        <f>$L307*BN307</f>
        <v>1</v>
      </c>
      <c r="CV307" s="23">
        <f>$L307*BO307</f>
        <v>1</v>
      </c>
    </row>
    <row r="308" spans="1:100" ht="13.5" x14ac:dyDescent="0.15">
      <c r="A308" s="15">
        <v>181</v>
      </c>
      <c r="B308" s="28" t="s">
        <v>691</v>
      </c>
      <c r="C308" t="s">
        <v>414</v>
      </c>
      <c r="E308" t="s">
        <v>140</v>
      </c>
      <c r="F308" t="s">
        <v>415</v>
      </c>
      <c r="G308" t="s">
        <v>140</v>
      </c>
      <c r="H308" t="s">
        <v>141</v>
      </c>
      <c r="I308" s="6" t="s">
        <v>136</v>
      </c>
      <c r="J308" s="6">
        <v>0</v>
      </c>
      <c r="L308" s="15">
        <v>1</v>
      </c>
      <c r="M308" s="7">
        <v>46135</v>
      </c>
      <c r="N308" s="7">
        <v>46167</v>
      </c>
      <c r="O308" s="7">
        <v>46157</v>
      </c>
      <c r="P308" s="7">
        <v>46160</v>
      </c>
      <c r="S308" s="6" t="s">
        <v>140</v>
      </c>
      <c r="U308" s="6" t="s">
        <v>413</v>
      </c>
      <c r="V308" s="6" t="str">
        <f>TEXT(N308,"YY/MM")</f>
        <v>26/05</v>
      </c>
      <c r="W308">
        <v>1680</v>
      </c>
      <c r="AA308">
        <v>1034</v>
      </c>
      <c r="AC308">
        <v>1087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>$L308*AI308</f>
        <v>0</v>
      </c>
      <c r="BQ308" s="23">
        <f>$L308*AJ308</f>
        <v>0</v>
      </c>
      <c r="BR308" s="23">
        <f>$L308*AK308</f>
        <v>0</v>
      </c>
      <c r="BS308" s="23">
        <f>$L308*AL308</f>
        <v>0</v>
      </c>
      <c r="BT308" s="23">
        <f>$L308*AM308</f>
        <v>0</v>
      </c>
      <c r="BU308" s="23">
        <f>$L308*AN308</f>
        <v>0</v>
      </c>
      <c r="BV308" s="23">
        <f>$L308*AO308</f>
        <v>0</v>
      </c>
      <c r="BW308" s="23">
        <f>$L308*AP308</f>
        <v>0</v>
      </c>
      <c r="BX308" s="23">
        <f>$L308*AQ308</f>
        <v>0</v>
      </c>
      <c r="BY308" s="23">
        <f>$L308*AR308</f>
        <v>0</v>
      </c>
      <c r="BZ308" s="23">
        <f>$L308*AS308</f>
        <v>0</v>
      </c>
      <c r="CA308" s="23">
        <f>$L308*AT308</f>
        <v>0</v>
      </c>
      <c r="CB308" s="23">
        <f>$L308*AU308</f>
        <v>0</v>
      </c>
      <c r="CC308" s="23">
        <f>$L308*AV308</f>
        <v>0</v>
      </c>
      <c r="CD308" s="23">
        <f>$L308*AW308</f>
        <v>0</v>
      </c>
      <c r="CE308" s="23">
        <f>$L308*AX308</f>
        <v>0</v>
      </c>
      <c r="CF308" s="23">
        <f>$L308*AY308</f>
        <v>0</v>
      </c>
      <c r="CG308" s="23">
        <f>$L308*AZ308</f>
        <v>0</v>
      </c>
      <c r="CH308" s="23">
        <f>$L308*BA308</f>
        <v>0</v>
      </c>
      <c r="CI308" s="23">
        <f>$L308*BB308</f>
        <v>0</v>
      </c>
      <c r="CJ308" s="23">
        <f>$L308*BC308</f>
        <v>0</v>
      </c>
      <c r="CK308" s="23">
        <f>$L308*BD308</f>
        <v>0</v>
      </c>
      <c r="CL308" s="23">
        <f>$L308*BE308</f>
        <v>0</v>
      </c>
      <c r="CM308" s="23">
        <f>$L308*BF308</f>
        <v>0</v>
      </c>
      <c r="CN308" s="23">
        <f>$L308*BG308</f>
        <v>1</v>
      </c>
      <c r="CO308" s="23">
        <f>$L308*BH308</f>
        <v>1</v>
      </c>
      <c r="CP308" s="23">
        <f>$L308*BI308</f>
        <v>1</v>
      </c>
      <c r="CQ308" s="23">
        <f>$L308*BJ308</f>
        <v>1</v>
      </c>
      <c r="CR308" s="23">
        <f>$L308*BK308</f>
        <v>1</v>
      </c>
      <c r="CS308" s="23">
        <f>$L308*BL308</f>
        <v>1</v>
      </c>
      <c r="CT308" s="23">
        <f>$L308*BM308</f>
        <v>1</v>
      </c>
      <c r="CU308" s="23">
        <f>$L308*BN308</f>
        <v>1</v>
      </c>
      <c r="CV308" s="23">
        <f>$L308*BO308</f>
        <v>1</v>
      </c>
    </row>
    <row r="309" spans="1:100" ht="13.5" x14ac:dyDescent="0.15">
      <c r="A309" s="15">
        <v>181</v>
      </c>
      <c r="B309" s="28" t="s">
        <v>692</v>
      </c>
      <c r="C309" t="s">
        <v>414</v>
      </c>
      <c r="E309" t="s">
        <v>140</v>
      </c>
      <c r="F309" t="s">
        <v>415</v>
      </c>
      <c r="G309" t="s">
        <v>140</v>
      </c>
      <c r="H309" t="s">
        <v>141</v>
      </c>
      <c r="I309" s="6" t="s">
        <v>136</v>
      </c>
      <c r="J309" s="6">
        <v>0</v>
      </c>
      <c r="L309" s="15">
        <v>1</v>
      </c>
      <c r="M309" s="7">
        <v>46135</v>
      </c>
      <c r="N309" s="7">
        <v>46168</v>
      </c>
      <c r="O309" s="7">
        <v>46157</v>
      </c>
      <c r="P309" s="7">
        <v>46160</v>
      </c>
      <c r="S309" s="6" t="s">
        <v>140</v>
      </c>
      <c r="U309" s="6" t="s">
        <v>413</v>
      </c>
      <c r="V309" s="6" t="str">
        <f>TEXT(N309,"YY/MM")</f>
        <v>26/05</v>
      </c>
      <c r="W309">
        <v>1681</v>
      </c>
      <c r="AA309">
        <v>1035</v>
      </c>
      <c r="AC309">
        <v>1088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>$L309*AI309</f>
        <v>0</v>
      </c>
      <c r="BQ309" s="23">
        <f>$L309*AJ309</f>
        <v>0</v>
      </c>
      <c r="BR309" s="23">
        <f>$L309*AK309</f>
        <v>0</v>
      </c>
      <c r="BS309" s="23">
        <f>$L309*AL309</f>
        <v>0</v>
      </c>
      <c r="BT309" s="23">
        <f>$L309*AM309</f>
        <v>0</v>
      </c>
      <c r="BU309" s="23">
        <f>$L309*AN309</f>
        <v>0</v>
      </c>
      <c r="BV309" s="23">
        <f>$L309*AO309</f>
        <v>0</v>
      </c>
      <c r="BW309" s="23">
        <f>$L309*AP309</f>
        <v>0</v>
      </c>
      <c r="BX309" s="23">
        <f>$L309*AQ309</f>
        <v>0</v>
      </c>
      <c r="BY309" s="23">
        <f>$L309*AR309</f>
        <v>0</v>
      </c>
      <c r="BZ309" s="23">
        <f>$L309*AS309</f>
        <v>0</v>
      </c>
      <c r="CA309" s="23">
        <f>$L309*AT309</f>
        <v>0</v>
      </c>
      <c r="CB309" s="23">
        <f>$L309*AU309</f>
        <v>0</v>
      </c>
      <c r="CC309" s="23">
        <f>$L309*AV309</f>
        <v>0</v>
      </c>
      <c r="CD309" s="23">
        <f>$L309*AW309</f>
        <v>0</v>
      </c>
      <c r="CE309" s="23">
        <f>$L309*AX309</f>
        <v>0</v>
      </c>
      <c r="CF309" s="23">
        <f>$L309*AY309</f>
        <v>0</v>
      </c>
      <c r="CG309" s="23">
        <f>$L309*AZ309</f>
        <v>0</v>
      </c>
      <c r="CH309" s="23">
        <f>$L309*BA309</f>
        <v>0</v>
      </c>
      <c r="CI309" s="23">
        <f>$L309*BB309</f>
        <v>0</v>
      </c>
      <c r="CJ309" s="23">
        <f>$L309*BC309</f>
        <v>0</v>
      </c>
      <c r="CK309" s="23">
        <f>$L309*BD309</f>
        <v>0</v>
      </c>
      <c r="CL309" s="23">
        <f>$L309*BE309</f>
        <v>0</v>
      </c>
      <c r="CM309" s="23">
        <f>$L309*BF309</f>
        <v>0</v>
      </c>
      <c r="CN309" s="23">
        <f>$L309*BG309</f>
        <v>1</v>
      </c>
      <c r="CO309" s="23">
        <f>$L309*BH309</f>
        <v>1</v>
      </c>
      <c r="CP309" s="23">
        <f>$L309*BI309</f>
        <v>1</v>
      </c>
      <c r="CQ309" s="23">
        <f>$L309*BJ309</f>
        <v>1</v>
      </c>
      <c r="CR309" s="23">
        <f>$L309*BK309</f>
        <v>1</v>
      </c>
      <c r="CS309" s="23">
        <f>$L309*BL309</f>
        <v>1</v>
      </c>
      <c r="CT309" s="23">
        <f>$L309*BM309</f>
        <v>1</v>
      </c>
      <c r="CU309" s="23">
        <f>$L309*BN309</f>
        <v>1</v>
      </c>
      <c r="CV309" s="23">
        <f>$L309*BO309</f>
        <v>1</v>
      </c>
    </row>
    <row r="310" spans="1:100" ht="13.5" x14ac:dyDescent="0.15">
      <c r="A310" s="15">
        <v>181</v>
      </c>
      <c r="B310" s="28" t="s">
        <v>693</v>
      </c>
      <c r="C310" t="s">
        <v>414</v>
      </c>
      <c r="E310" t="s">
        <v>140</v>
      </c>
      <c r="F310" t="s">
        <v>415</v>
      </c>
      <c r="G310" t="s">
        <v>140</v>
      </c>
      <c r="H310" t="s">
        <v>141</v>
      </c>
      <c r="I310" s="6" t="s">
        <v>136</v>
      </c>
      <c r="J310" s="6">
        <v>0</v>
      </c>
      <c r="L310" s="15">
        <v>1</v>
      </c>
      <c r="M310" s="7">
        <v>46135</v>
      </c>
      <c r="N310" s="7">
        <v>46168</v>
      </c>
      <c r="O310" s="7">
        <v>46157</v>
      </c>
      <c r="P310" s="7">
        <v>46160</v>
      </c>
      <c r="S310" s="6" t="s">
        <v>140</v>
      </c>
      <c r="U310" s="6" t="s">
        <v>413</v>
      </c>
      <c r="V310" s="6" t="str">
        <f>TEXT(N310,"YY/MM")</f>
        <v>26/05</v>
      </c>
      <c r="W310">
        <v>1682</v>
      </c>
      <c r="AA310">
        <v>1036</v>
      </c>
      <c r="AC310">
        <v>1089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>$L310*AI310</f>
        <v>0</v>
      </c>
      <c r="BQ310" s="23">
        <f>$L310*AJ310</f>
        <v>0</v>
      </c>
      <c r="BR310" s="23">
        <f>$L310*AK310</f>
        <v>0</v>
      </c>
      <c r="BS310" s="23">
        <f>$L310*AL310</f>
        <v>0</v>
      </c>
      <c r="BT310" s="23">
        <f>$L310*AM310</f>
        <v>0</v>
      </c>
      <c r="BU310" s="23">
        <f>$L310*AN310</f>
        <v>0</v>
      </c>
      <c r="BV310" s="23">
        <f>$L310*AO310</f>
        <v>0</v>
      </c>
      <c r="BW310" s="23">
        <f>$L310*AP310</f>
        <v>0</v>
      </c>
      <c r="BX310" s="23">
        <f>$L310*AQ310</f>
        <v>0</v>
      </c>
      <c r="BY310" s="23">
        <f>$L310*AR310</f>
        <v>0</v>
      </c>
      <c r="BZ310" s="23">
        <f>$L310*AS310</f>
        <v>0</v>
      </c>
      <c r="CA310" s="23">
        <f>$L310*AT310</f>
        <v>0</v>
      </c>
      <c r="CB310" s="23">
        <f>$L310*AU310</f>
        <v>0</v>
      </c>
      <c r="CC310" s="23">
        <f>$L310*AV310</f>
        <v>0</v>
      </c>
      <c r="CD310" s="23">
        <f>$L310*AW310</f>
        <v>0</v>
      </c>
      <c r="CE310" s="23">
        <f>$L310*AX310</f>
        <v>0</v>
      </c>
      <c r="CF310" s="23">
        <f>$L310*AY310</f>
        <v>0</v>
      </c>
      <c r="CG310" s="23">
        <f>$L310*AZ310</f>
        <v>0</v>
      </c>
      <c r="CH310" s="23">
        <f>$L310*BA310</f>
        <v>0</v>
      </c>
      <c r="CI310" s="23">
        <f>$L310*BB310</f>
        <v>0</v>
      </c>
      <c r="CJ310" s="23">
        <f>$L310*BC310</f>
        <v>0</v>
      </c>
      <c r="CK310" s="23">
        <f>$L310*BD310</f>
        <v>0</v>
      </c>
      <c r="CL310" s="23">
        <f>$L310*BE310</f>
        <v>0</v>
      </c>
      <c r="CM310" s="23">
        <f>$L310*BF310</f>
        <v>0</v>
      </c>
      <c r="CN310" s="23">
        <f>$L310*BG310</f>
        <v>1</v>
      </c>
      <c r="CO310" s="23">
        <f>$L310*BH310</f>
        <v>1</v>
      </c>
      <c r="CP310" s="23">
        <f>$L310*BI310</f>
        <v>1</v>
      </c>
      <c r="CQ310" s="23">
        <f>$L310*BJ310</f>
        <v>1</v>
      </c>
      <c r="CR310" s="23">
        <f>$L310*BK310</f>
        <v>1</v>
      </c>
      <c r="CS310" s="23">
        <f>$L310*BL310</f>
        <v>1</v>
      </c>
      <c r="CT310" s="23">
        <f>$L310*BM310</f>
        <v>1</v>
      </c>
      <c r="CU310" s="23">
        <f>$L310*BN310</f>
        <v>1</v>
      </c>
      <c r="CV310" s="23">
        <f>$L310*BO310</f>
        <v>1</v>
      </c>
    </row>
    <row r="311" spans="1:100" ht="13.5" x14ac:dyDescent="0.15">
      <c r="A311" s="15">
        <v>181</v>
      </c>
      <c r="B311" s="28" t="s">
        <v>694</v>
      </c>
      <c r="C311" t="s">
        <v>414</v>
      </c>
      <c r="E311" t="s">
        <v>140</v>
      </c>
      <c r="F311" t="s">
        <v>415</v>
      </c>
      <c r="G311" t="s">
        <v>140</v>
      </c>
      <c r="H311" t="s">
        <v>141</v>
      </c>
      <c r="I311" s="6" t="s">
        <v>136</v>
      </c>
      <c r="J311" s="6">
        <v>0</v>
      </c>
      <c r="L311" s="15">
        <v>1</v>
      </c>
      <c r="M311" s="7">
        <v>46135</v>
      </c>
      <c r="N311" s="7">
        <v>46168</v>
      </c>
      <c r="O311" s="7">
        <v>46157</v>
      </c>
      <c r="P311" s="7">
        <v>46160</v>
      </c>
      <c r="S311" s="6" t="s">
        <v>140</v>
      </c>
      <c r="U311" s="6" t="s">
        <v>413</v>
      </c>
      <c r="V311" s="6" t="str">
        <f>TEXT(N311,"YY/MM")</f>
        <v>26/05</v>
      </c>
      <c r="W311">
        <v>1683</v>
      </c>
      <c r="AA311">
        <v>1037</v>
      </c>
      <c r="AC311">
        <v>1090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>$L311*AI311</f>
        <v>0</v>
      </c>
      <c r="BQ311" s="23">
        <f>$L311*AJ311</f>
        <v>0</v>
      </c>
      <c r="BR311" s="23">
        <f>$L311*AK311</f>
        <v>0</v>
      </c>
      <c r="BS311" s="23">
        <f>$L311*AL311</f>
        <v>0</v>
      </c>
      <c r="BT311" s="23">
        <f>$L311*AM311</f>
        <v>0</v>
      </c>
      <c r="BU311" s="23">
        <f>$L311*AN311</f>
        <v>0</v>
      </c>
      <c r="BV311" s="23">
        <f>$L311*AO311</f>
        <v>0</v>
      </c>
      <c r="BW311" s="23">
        <f>$L311*AP311</f>
        <v>0</v>
      </c>
      <c r="BX311" s="23">
        <f>$L311*AQ311</f>
        <v>0</v>
      </c>
      <c r="BY311" s="23">
        <f>$L311*AR311</f>
        <v>0</v>
      </c>
      <c r="BZ311" s="23">
        <f>$L311*AS311</f>
        <v>0</v>
      </c>
      <c r="CA311" s="23">
        <f>$L311*AT311</f>
        <v>0</v>
      </c>
      <c r="CB311" s="23">
        <f>$L311*AU311</f>
        <v>0</v>
      </c>
      <c r="CC311" s="23">
        <f>$L311*AV311</f>
        <v>0</v>
      </c>
      <c r="CD311" s="23">
        <f>$L311*AW311</f>
        <v>0</v>
      </c>
      <c r="CE311" s="23">
        <f>$L311*AX311</f>
        <v>0</v>
      </c>
      <c r="CF311" s="23">
        <f>$L311*AY311</f>
        <v>0</v>
      </c>
      <c r="CG311" s="23">
        <f>$L311*AZ311</f>
        <v>0</v>
      </c>
      <c r="CH311" s="23">
        <f>$L311*BA311</f>
        <v>0</v>
      </c>
      <c r="CI311" s="23">
        <f>$L311*BB311</f>
        <v>0</v>
      </c>
      <c r="CJ311" s="23">
        <f>$L311*BC311</f>
        <v>0</v>
      </c>
      <c r="CK311" s="23">
        <f>$L311*BD311</f>
        <v>0</v>
      </c>
      <c r="CL311" s="23">
        <f>$L311*BE311</f>
        <v>0</v>
      </c>
      <c r="CM311" s="23">
        <f>$L311*BF311</f>
        <v>0</v>
      </c>
      <c r="CN311" s="23">
        <f>$L311*BG311</f>
        <v>1</v>
      </c>
      <c r="CO311" s="23">
        <f>$L311*BH311</f>
        <v>1</v>
      </c>
      <c r="CP311" s="23">
        <f>$L311*BI311</f>
        <v>1</v>
      </c>
      <c r="CQ311" s="23">
        <f>$L311*BJ311</f>
        <v>1</v>
      </c>
      <c r="CR311" s="23">
        <f>$L311*BK311</f>
        <v>1</v>
      </c>
      <c r="CS311" s="23">
        <f>$L311*BL311</f>
        <v>1</v>
      </c>
      <c r="CT311" s="23">
        <f>$L311*BM311</f>
        <v>1</v>
      </c>
      <c r="CU311" s="23">
        <f>$L311*BN311</f>
        <v>1</v>
      </c>
      <c r="CV311" s="23">
        <f>$L311*BO311</f>
        <v>1</v>
      </c>
    </row>
    <row r="312" spans="1:100" ht="13.5" x14ac:dyDescent="0.15">
      <c r="A312" s="15">
        <v>181</v>
      </c>
      <c r="B312" s="28" t="s">
        <v>695</v>
      </c>
      <c r="C312" t="s">
        <v>414</v>
      </c>
      <c r="E312" t="s">
        <v>140</v>
      </c>
      <c r="F312" t="s">
        <v>415</v>
      </c>
      <c r="G312" t="s">
        <v>140</v>
      </c>
      <c r="H312" t="s">
        <v>141</v>
      </c>
      <c r="I312" s="6" t="s">
        <v>136</v>
      </c>
      <c r="J312" s="6">
        <v>0</v>
      </c>
      <c r="L312" s="15">
        <v>1</v>
      </c>
      <c r="M312" s="7">
        <v>46135</v>
      </c>
      <c r="N312" s="7">
        <v>46168</v>
      </c>
      <c r="O312" s="7">
        <v>46157</v>
      </c>
      <c r="P312" s="7">
        <v>46160</v>
      </c>
      <c r="S312" s="6" t="s">
        <v>140</v>
      </c>
      <c r="U312" s="6" t="s">
        <v>413</v>
      </c>
      <c r="V312" s="6" t="str">
        <f>TEXT(N312,"YY/MM")</f>
        <v>26/05</v>
      </c>
      <c r="W312">
        <v>1684</v>
      </c>
      <c r="AA312">
        <v>1038</v>
      </c>
      <c r="AC312">
        <v>1091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>$L312*AI312</f>
        <v>0</v>
      </c>
      <c r="BQ312" s="23">
        <f>$L312*AJ312</f>
        <v>0</v>
      </c>
      <c r="BR312" s="23">
        <f>$L312*AK312</f>
        <v>0</v>
      </c>
      <c r="BS312" s="23">
        <f>$L312*AL312</f>
        <v>0</v>
      </c>
      <c r="BT312" s="23">
        <f>$L312*AM312</f>
        <v>0</v>
      </c>
      <c r="BU312" s="23">
        <f>$L312*AN312</f>
        <v>0</v>
      </c>
      <c r="BV312" s="23">
        <f>$L312*AO312</f>
        <v>0</v>
      </c>
      <c r="BW312" s="23">
        <f>$L312*AP312</f>
        <v>0</v>
      </c>
      <c r="BX312" s="23">
        <f>$L312*AQ312</f>
        <v>0</v>
      </c>
      <c r="BY312" s="23">
        <f>$L312*AR312</f>
        <v>0</v>
      </c>
      <c r="BZ312" s="23">
        <f>$L312*AS312</f>
        <v>0</v>
      </c>
      <c r="CA312" s="23">
        <f>$L312*AT312</f>
        <v>0</v>
      </c>
      <c r="CB312" s="23">
        <f>$L312*AU312</f>
        <v>0</v>
      </c>
      <c r="CC312" s="23">
        <f>$L312*AV312</f>
        <v>0</v>
      </c>
      <c r="CD312" s="23">
        <f>$L312*AW312</f>
        <v>0</v>
      </c>
      <c r="CE312" s="23">
        <f>$L312*AX312</f>
        <v>0</v>
      </c>
      <c r="CF312" s="23">
        <f>$L312*AY312</f>
        <v>0</v>
      </c>
      <c r="CG312" s="23">
        <f>$L312*AZ312</f>
        <v>0</v>
      </c>
      <c r="CH312" s="23">
        <f>$L312*BA312</f>
        <v>0</v>
      </c>
      <c r="CI312" s="23">
        <f>$L312*BB312</f>
        <v>0</v>
      </c>
      <c r="CJ312" s="23">
        <f>$L312*BC312</f>
        <v>0</v>
      </c>
      <c r="CK312" s="23">
        <f>$L312*BD312</f>
        <v>0</v>
      </c>
      <c r="CL312" s="23">
        <f>$L312*BE312</f>
        <v>0</v>
      </c>
      <c r="CM312" s="23">
        <f>$L312*BF312</f>
        <v>0</v>
      </c>
      <c r="CN312" s="23">
        <f>$L312*BG312</f>
        <v>1</v>
      </c>
      <c r="CO312" s="23">
        <f>$L312*BH312</f>
        <v>1</v>
      </c>
      <c r="CP312" s="23">
        <f>$L312*BI312</f>
        <v>1</v>
      </c>
      <c r="CQ312" s="23">
        <f>$L312*BJ312</f>
        <v>1</v>
      </c>
      <c r="CR312" s="23">
        <f>$L312*BK312</f>
        <v>1</v>
      </c>
      <c r="CS312" s="23">
        <f>$L312*BL312</f>
        <v>1</v>
      </c>
      <c r="CT312" s="23">
        <f>$L312*BM312</f>
        <v>1</v>
      </c>
      <c r="CU312" s="23">
        <f>$L312*BN312</f>
        <v>1</v>
      </c>
      <c r="CV312" s="23">
        <f>$L312*BO312</f>
        <v>1</v>
      </c>
    </row>
    <row r="313" spans="1:100" ht="13.5" x14ac:dyDescent="0.15">
      <c r="A313" s="15">
        <v>181</v>
      </c>
      <c r="B313" s="28" t="s">
        <v>696</v>
      </c>
      <c r="C313" t="s">
        <v>414</v>
      </c>
      <c r="E313" t="s">
        <v>140</v>
      </c>
      <c r="F313" t="s">
        <v>415</v>
      </c>
      <c r="G313" t="s">
        <v>140</v>
      </c>
      <c r="H313" t="s">
        <v>141</v>
      </c>
      <c r="I313" s="6" t="s">
        <v>136</v>
      </c>
      <c r="J313" s="6">
        <v>0</v>
      </c>
      <c r="L313" s="15">
        <v>1</v>
      </c>
      <c r="M313" s="7">
        <v>46135</v>
      </c>
      <c r="N313" s="7">
        <v>46168</v>
      </c>
      <c r="O313" s="7">
        <v>46157</v>
      </c>
      <c r="P313" s="7">
        <v>46160</v>
      </c>
      <c r="S313" s="6" t="s">
        <v>140</v>
      </c>
      <c r="U313" s="6" t="s">
        <v>413</v>
      </c>
      <c r="V313" s="6" t="str">
        <f>TEXT(N313,"YY/MM")</f>
        <v>26/05</v>
      </c>
      <c r="W313">
        <v>1685</v>
      </c>
      <c r="AA313">
        <v>1039</v>
      </c>
      <c r="AC313">
        <v>1092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>$L313*AI313</f>
        <v>0</v>
      </c>
      <c r="BQ313" s="23">
        <f>$L313*AJ313</f>
        <v>0</v>
      </c>
      <c r="BR313" s="23">
        <f>$L313*AK313</f>
        <v>0</v>
      </c>
      <c r="BS313" s="23">
        <f>$L313*AL313</f>
        <v>0</v>
      </c>
      <c r="BT313" s="23">
        <f>$L313*AM313</f>
        <v>0</v>
      </c>
      <c r="BU313" s="23">
        <f>$L313*AN313</f>
        <v>0</v>
      </c>
      <c r="BV313" s="23">
        <f>$L313*AO313</f>
        <v>0</v>
      </c>
      <c r="BW313" s="23">
        <f>$L313*AP313</f>
        <v>0</v>
      </c>
      <c r="BX313" s="23">
        <f>$L313*AQ313</f>
        <v>0</v>
      </c>
      <c r="BY313" s="23">
        <f>$L313*AR313</f>
        <v>0</v>
      </c>
      <c r="BZ313" s="23">
        <f>$L313*AS313</f>
        <v>0</v>
      </c>
      <c r="CA313" s="23">
        <f>$L313*AT313</f>
        <v>0</v>
      </c>
      <c r="CB313" s="23">
        <f>$L313*AU313</f>
        <v>0</v>
      </c>
      <c r="CC313" s="23">
        <f>$L313*AV313</f>
        <v>0</v>
      </c>
      <c r="CD313" s="23">
        <f>$L313*AW313</f>
        <v>0</v>
      </c>
      <c r="CE313" s="23">
        <f>$L313*AX313</f>
        <v>0</v>
      </c>
      <c r="CF313" s="23">
        <f>$L313*AY313</f>
        <v>0</v>
      </c>
      <c r="CG313" s="23">
        <f>$L313*AZ313</f>
        <v>0</v>
      </c>
      <c r="CH313" s="23">
        <f>$L313*BA313</f>
        <v>0</v>
      </c>
      <c r="CI313" s="23">
        <f>$L313*BB313</f>
        <v>0</v>
      </c>
      <c r="CJ313" s="23">
        <f>$L313*BC313</f>
        <v>0</v>
      </c>
      <c r="CK313" s="23">
        <f>$L313*BD313</f>
        <v>0</v>
      </c>
      <c r="CL313" s="23">
        <f>$L313*BE313</f>
        <v>0</v>
      </c>
      <c r="CM313" s="23">
        <f>$L313*BF313</f>
        <v>0</v>
      </c>
      <c r="CN313" s="23">
        <f>$L313*BG313</f>
        <v>1</v>
      </c>
      <c r="CO313" s="23">
        <f>$L313*BH313</f>
        <v>1</v>
      </c>
      <c r="CP313" s="23">
        <f>$L313*BI313</f>
        <v>1</v>
      </c>
      <c r="CQ313" s="23">
        <f>$L313*BJ313</f>
        <v>1</v>
      </c>
      <c r="CR313" s="23">
        <f>$L313*BK313</f>
        <v>1</v>
      </c>
      <c r="CS313" s="23">
        <f>$L313*BL313</f>
        <v>1</v>
      </c>
      <c r="CT313" s="23">
        <f>$L313*BM313</f>
        <v>1</v>
      </c>
      <c r="CU313" s="23">
        <f>$L313*BN313</f>
        <v>1</v>
      </c>
      <c r="CV313" s="23">
        <f>$L313*BO313</f>
        <v>1</v>
      </c>
    </row>
    <row r="314" spans="1:100" ht="13.5" x14ac:dyDescent="0.15">
      <c r="A314" s="15">
        <v>221</v>
      </c>
      <c r="B314" s="28" t="s">
        <v>697</v>
      </c>
      <c r="C314" t="s">
        <v>414</v>
      </c>
      <c r="E314" t="s">
        <v>140</v>
      </c>
      <c r="F314" t="s">
        <v>415</v>
      </c>
      <c r="G314" t="s">
        <v>140</v>
      </c>
      <c r="H314" t="s">
        <v>141</v>
      </c>
      <c r="I314" s="6" t="s">
        <v>136</v>
      </c>
      <c r="J314" s="6">
        <v>0</v>
      </c>
      <c r="L314" s="15">
        <v>1</v>
      </c>
      <c r="M314" s="7">
        <v>46135</v>
      </c>
      <c r="N314" s="7">
        <v>46169</v>
      </c>
      <c r="O314" s="7">
        <v>46167</v>
      </c>
      <c r="P314" s="7">
        <v>46168</v>
      </c>
      <c r="S314" s="6" t="s">
        <v>140</v>
      </c>
      <c r="U314" s="6" t="s">
        <v>413</v>
      </c>
      <c r="V314" s="6" t="str">
        <f>TEXT(N314,"YY/MM")</f>
        <v>26/05</v>
      </c>
      <c r="W314">
        <v>1686</v>
      </c>
      <c r="AA314">
        <v>1040</v>
      </c>
      <c r="AC314">
        <v>1093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>$L314*AI314</f>
        <v>0</v>
      </c>
      <c r="BQ314" s="23">
        <f>$L314*AJ314</f>
        <v>0</v>
      </c>
      <c r="BR314" s="23">
        <f>$L314*AK314</f>
        <v>0</v>
      </c>
      <c r="BS314" s="23">
        <f>$L314*AL314</f>
        <v>0</v>
      </c>
      <c r="BT314" s="23">
        <f>$L314*AM314</f>
        <v>0</v>
      </c>
      <c r="BU314" s="23">
        <f>$L314*AN314</f>
        <v>0</v>
      </c>
      <c r="BV314" s="23">
        <f>$L314*AO314</f>
        <v>0</v>
      </c>
      <c r="BW314" s="23">
        <f>$L314*AP314</f>
        <v>0</v>
      </c>
      <c r="BX314" s="23">
        <f>$L314*AQ314</f>
        <v>0</v>
      </c>
      <c r="BY314" s="23">
        <f>$L314*AR314</f>
        <v>0</v>
      </c>
      <c r="BZ314" s="23">
        <f>$L314*AS314</f>
        <v>0</v>
      </c>
      <c r="CA314" s="23">
        <f>$L314*AT314</f>
        <v>0</v>
      </c>
      <c r="CB314" s="23">
        <f>$L314*AU314</f>
        <v>0</v>
      </c>
      <c r="CC314" s="23">
        <f>$L314*AV314</f>
        <v>0</v>
      </c>
      <c r="CD314" s="23">
        <f>$L314*AW314</f>
        <v>0</v>
      </c>
      <c r="CE314" s="23">
        <f>$L314*AX314</f>
        <v>0</v>
      </c>
      <c r="CF314" s="23">
        <f>$L314*AY314</f>
        <v>0</v>
      </c>
      <c r="CG314" s="23">
        <f>$L314*AZ314</f>
        <v>0</v>
      </c>
      <c r="CH314" s="23">
        <f>$L314*BA314</f>
        <v>0</v>
      </c>
      <c r="CI314" s="23">
        <f>$L314*BB314</f>
        <v>0</v>
      </c>
      <c r="CJ314" s="23">
        <f>$L314*BC314</f>
        <v>0</v>
      </c>
      <c r="CK314" s="23">
        <f>$L314*BD314</f>
        <v>0</v>
      </c>
      <c r="CL314" s="23">
        <f>$L314*BE314</f>
        <v>0</v>
      </c>
      <c r="CM314" s="23">
        <f>$L314*BF314</f>
        <v>0</v>
      </c>
      <c r="CN314" s="23">
        <f>$L314*BG314</f>
        <v>1</v>
      </c>
      <c r="CO314" s="23">
        <f>$L314*BH314</f>
        <v>1</v>
      </c>
      <c r="CP314" s="23">
        <f>$L314*BI314</f>
        <v>1</v>
      </c>
      <c r="CQ314" s="23">
        <f>$L314*BJ314</f>
        <v>1</v>
      </c>
      <c r="CR314" s="23">
        <f>$L314*BK314</f>
        <v>1</v>
      </c>
      <c r="CS314" s="23">
        <f>$L314*BL314</f>
        <v>1</v>
      </c>
      <c r="CT314" s="23">
        <f>$L314*BM314</f>
        <v>1</v>
      </c>
      <c r="CU314" s="23">
        <f>$L314*BN314</f>
        <v>1</v>
      </c>
      <c r="CV314" s="23">
        <f>$L314*BO314</f>
        <v>1</v>
      </c>
    </row>
    <row r="315" spans="1:100" ht="13.5" x14ac:dyDescent="0.15">
      <c r="A315" s="15">
        <v>221</v>
      </c>
      <c r="B315" s="28" t="s">
        <v>698</v>
      </c>
      <c r="C315" t="s">
        <v>414</v>
      </c>
      <c r="E315" t="s">
        <v>140</v>
      </c>
      <c r="F315" t="s">
        <v>415</v>
      </c>
      <c r="G315" t="s">
        <v>140</v>
      </c>
      <c r="H315" t="s">
        <v>141</v>
      </c>
      <c r="I315" s="6" t="s">
        <v>136</v>
      </c>
      <c r="J315" s="6">
        <v>0</v>
      </c>
      <c r="L315" s="15">
        <v>1</v>
      </c>
      <c r="M315" s="7">
        <v>46135</v>
      </c>
      <c r="N315" s="7">
        <v>46169</v>
      </c>
      <c r="O315" s="7">
        <v>46167</v>
      </c>
      <c r="P315" s="7">
        <v>46168</v>
      </c>
      <c r="S315" s="6" t="s">
        <v>140</v>
      </c>
      <c r="U315" s="6" t="s">
        <v>413</v>
      </c>
      <c r="V315" s="6" t="str">
        <f>TEXT(N315,"YY/MM")</f>
        <v>26/05</v>
      </c>
      <c r="W315">
        <v>1687</v>
      </c>
      <c r="AA315">
        <v>1041</v>
      </c>
      <c r="AC315">
        <v>1094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>$L315*AI315</f>
        <v>0</v>
      </c>
      <c r="BQ315" s="23">
        <f>$L315*AJ315</f>
        <v>0</v>
      </c>
      <c r="BR315" s="23">
        <f>$L315*AK315</f>
        <v>0</v>
      </c>
      <c r="BS315" s="23">
        <f>$L315*AL315</f>
        <v>0</v>
      </c>
      <c r="BT315" s="23">
        <f>$L315*AM315</f>
        <v>0</v>
      </c>
      <c r="BU315" s="23">
        <f>$L315*AN315</f>
        <v>0</v>
      </c>
      <c r="BV315" s="23">
        <f>$L315*AO315</f>
        <v>0</v>
      </c>
      <c r="BW315" s="23">
        <f>$L315*AP315</f>
        <v>0</v>
      </c>
      <c r="BX315" s="23">
        <f>$L315*AQ315</f>
        <v>0</v>
      </c>
      <c r="BY315" s="23">
        <f>$L315*AR315</f>
        <v>0</v>
      </c>
      <c r="BZ315" s="23">
        <f>$L315*AS315</f>
        <v>0</v>
      </c>
      <c r="CA315" s="23">
        <f>$L315*AT315</f>
        <v>0</v>
      </c>
      <c r="CB315" s="23">
        <f>$L315*AU315</f>
        <v>0</v>
      </c>
      <c r="CC315" s="23">
        <f>$L315*AV315</f>
        <v>0</v>
      </c>
      <c r="CD315" s="23">
        <f>$L315*AW315</f>
        <v>0</v>
      </c>
      <c r="CE315" s="23">
        <f>$L315*AX315</f>
        <v>0</v>
      </c>
      <c r="CF315" s="23">
        <f>$L315*AY315</f>
        <v>0</v>
      </c>
      <c r="CG315" s="23">
        <f>$L315*AZ315</f>
        <v>0</v>
      </c>
      <c r="CH315" s="23">
        <f>$L315*BA315</f>
        <v>0</v>
      </c>
      <c r="CI315" s="23">
        <f>$L315*BB315</f>
        <v>0</v>
      </c>
      <c r="CJ315" s="23">
        <f>$L315*BC315</f>
        <v>0</v>
      </c>
      <c r="CK315" s="23">
        <f>$L315*BD315</f>
        <v>0</v>
      </c>
      <c r="CL315" s="23">
        <f>$L315*BE315</f>
        <v>0</v>
      </c>
      <c r="CM315" s="23">
        <f>$L315*BF315</f>
        <v>0</v>
      </c>
      <c r="CN315" s="23">
        <f>$L315*BG315</f>
        <v>1</v>
      </c>
      <c r="CO315" s="23">
        <f>$L315*BH315</f>
        <v>1</v>
      </c>
      <c r="CP315" s="23">
        <f>$L315*BI315</f>
        <v>1</v>
      </c>
      <c r="CQ315" s="23">
        <f>$L315*BJ315</f>
        <v>1</v>
      </c>
      <c r="CR315" s="23">
        <f>$L315*BK315</f>
        <v>1</v>
      </c>
      <c r="CS315" s="23">
        <f>$L315*BL315</f>
        <v>1</v>
      </c>
      <c r="CT315" s="23">
        <f>$L315*BM315</f>
        <v>1</v>
      </c>
      <c r="CU315" s="23">
        <f>$L315*BN315</f>
        <v>1</v>
      </c>
      <c r="CV315" s="23">
        <f>$L315*BO315</f>
        <v>1</v>
      </c>
    </row>
    <row r="316" spans="1:100" ht="13.5" x14ac:dyDescent="0.15">
      <c r="A316" s="15">
        <v>221</v>
      </c>
      <c r="B316" s="28" t="s">
        <v>699</v>
      </c>
      <c r="C316" t="s">
        <v>414</v>
      </c>
      <c r="E316" t="s">
        <v>140</v>
      </c>
      <c r="F316" t="s">
        <v>415</v>
      </c>
      <c r="G316" t="s">
        <v>140</v>
      </c>
      <c r="H316" t="s">
        <v>141</v>
      </c>
      <c r="I316" s="6" t="s">
        <v>136</v>
      </c>
      <c r="J316" s="6">
        <v>0</v>
      </c>
      <c r="L316" s="15">
        <v>1</v>
      </c>
      <c r="M316" s="7">
        <v>46135</v>
      </c>
      <c r="N316" s="7">
        <v>46169</v>
      </c>
      <c r="O316" s="7">
        <v>46167</v>
      </c>
      <c r="P316" s="7">
        <v>46168</v>
      </c>
      <c r="S316" s="6" t="s">
        <v>140</v>
      </c>
      <c r="U316" s="6" t="s">
        <v>413</v>
      </c>
      <c r="V316" s="6" t="str">
        <f>TEXT(N316,"YY/MM")</f>
        <v>26/05</v>
      </c>
      <c r="W316">
        <v>1688</v>
      </c>
      <c r="AA316">
        <v>1042</v>
      </c>
      <c r="AC316">
        <v>1095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>$L316*AI316</f>
        <v>0</v>
      </c>
      <c r="BQ316" s="23">
        <f>$L316*AJ316</f>
        <v>0</v>
      </c>
      <c r="BR316" s="23">
        <f>$L316*AK316</f>
        <v>0</v>
      </c>
      <c r="BS316" s="23">
        <f>$L316*AL316</f>
        <v>0</v>
      </c>
      <c r="BT316" s="23">
        <f>$L316*AM316</f>
        <v>0</v>
      </c>
      <c r="BU316" s="23">
        <f>$L316*AN316</f>
        <v>0</v>
      </c>
      <c r="BV316" s="23">
        <f>$L316*AO316</f>
        <v>0</v>
      </c>
      <c r="BW316" s="23">
        <f>$L316*AP316</f>
        <v>0</v>
      </c>
      <c r="BX316" s="23">
        <f>$L316*AQ316</f>
        <v>0</v>
      </c>
      <c r="BY316" s="23">
        <f>$L316*AR316</f>
        <v>0</v>
      </c>
      <c r="BZ316" s="23">
        <f>$L316*AS316</f>
        <v>0</v>
      </c>
      <c r="CA316" s="23">
        <f>$L316*AT316</f>
        <v>0</v>
      </c>
      <c r="CB316" s="23">
        <f>$L316*AU316</f>
        <v>0</v>
      </c>
      <c r="CC316" s="23">
        <f>$L316*AV316</f>
        <v>0</v>
      </c>
      <c r="CD316" s="23">
        <f>$L316*AW316</f>
        <v>0</v>
      </c>
      <c r="CE316" s="23">
        <f>$L316*AX316</f>
        <v>0</v>
      </c>
      <c r="CF316" s="23">
        <f>$L316*AY316</f>
        <v>0</v>
      </c>
      <c r="CG316" s="23">
        <f>$L316*AZ316</f>
        <v>0</v>
      </c>
      <c r="CH316" s="23">
        <f>$L316*BA316</f>
        <v>0</v>
      </c>
      <c r="CI316" s="23">
        <f>$L316*BB316</f>
        <v>0</v>
      </c>
      <c r="CJ316" s="23">
        <f>$L316*BC316</f>
        <v>0</v>
      </c>
      <c r="CK316" s="23">
        <f>$L316*BD316</f>
        <v>0</v>
      </c>
      <c r="CL316" s="23">
        <f>$L316*BE316</f>
        <v>0</v>
      </c>
      <c r="CM316" s="23">
        <f>$L316*BF316</f>
        <v>0</v>
      </c>
      <c r="CN316" s="23">
        <f>$L316*BG316</f>
        <v>1</v>
      </c>
      <c r="CO316" s="23">
        <f>$L316*BH316</f>
        <v>1</v>
      </c>
      <c r="CP316" s="23">
        <f>$L316*BI316</f>
        <v>1</v>
      </c>
      <c r="CQ316" s="23">
        <f>$L316*BJ316</f>
        <v>1</v>
      </c>
      <c r="CR316" s="23">
        <f>$L316*BK316</f>
        <v>1</v>
      </c>
      <c r="CS316" s="23">
        <f>$L316*BL316</f>
        <v>1</v>
      </c>
      <c r="CT316" s="23">
        <f>$L316*BM316</f>
        <v>1</v>
      </c>
      <c r="CU316" s="23">
        <f>$L316*BN316</f>
        <v>1</v>
      </c>
      <c r="CV316" s="23">
        <f>$L316*BO316</f>
        <v>1</v>
      </c>
    </row>
    <row r="317" spans="1:100" ht="13.5" x14ac:dyDescent="0.15">
      <c r="A317" s="15">
        <v>221</v>
      </c>
      <c r="B317" s="28" t="s">
        <v>700</v>
      </c>
      <c r="C317" t="s">
        <v>414</v>
      </c>
      <c r="E317" t="s">
        <v>140</v>
      </c>
      <c r="F317" t="s">
        <v>415</v>
      </c>
      <c r="G317" t="s">
        <v>140</v>
      </c>
      <c r="H317" t="s">
        <v>141</v>
      </c>
      <c r="I317" s="6" t="s">
        <v>136</v>
      </c>
      <c r="J317" s="6">
        <v>0</v>
      </c>
      <c r="L317" s="15">
        <v>1</v>
      </c>
      <c r="M317" s="7">
        <v>46135</v>
      </c>
      <c r="N317" s="7">
        <v>46169</v>
      </c>
      <c r="O317" s="7">
        <v>46167</v>
      </c>
      <c r="P317" s="7">
        <v>46168</v>
      </c>
      <c r="S317" s="6" t="s">
        <v>140</v>
      </c>
      <c r="U317" s="6" t="s">
        <v>413</v>
      </c>
      <c r="V317" s="6" t="str">
        <f>TEXT(N317,"YY/MM")</f>
        <v>26/05</v>
      </c>
      <c r="W317">
        <v>1689</v>
      </c>
      <c r="AA317">
        <v>1043</v>
      </c>
      <c r="AC317">
        <v>1096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>$L317*AI317</f>
        <v>0</v>
      </c>
      <c r="BQ317" s="23">
        <f>$L317*AJ317</f>
        <v>0</v>
      </c>
      <c r="BR317" s="23">
        <f>$L317*AK317</f>
        <v>0</v>
      </c>
      <c r="BS317" s="23">
        <f>$L317*AL317</f>
        <v>0</v>
      </c>
      <c r="BT317" s="23">
        <f>$L317*AM317</f>
        <v>0</v>
      </c>
      <c r="BU317" s="23">
        <f>$L317*AN317</f>
        <v>0</v>
      </c>
      <c r="BV317" s="23">
        <f>$L317*AO317</f>
        <v>0</v>
      </c>
      <c r="BW317" s="23">
        <f>$L317*AP317</f>
        <v>0</v>
      </c>
      <c r="BX317" s="23">
        <f>$L317*AQ317</f>
        <v>0</v>
      </c>
      <c r="BY317" s="23">
        <f>$L317*AR317</f>
        <v>0</v>
      </c>
      <c r="BZ317" s="23">
        <f>$L317*AS317</f>
        <v>0</v>
      </c>
      <c r="CA317" s="23">
        <f>$L317*AT317</f>
        <v>0</v>
      </c>
      <c r="CB317" s="23">
        <f>$L317*AU317</f>
        <v>0</v>
      </c>
      <c r="CC317" s="23">
        <f>$L317*AV317</f>
        <v>0</v>
      </c>
      <c r="CD317" s="23">
        <f>$L317*AW317</f>
        <v>0</v>
      </c>
      <c r="CE317" s="23">
        <f>$L317*AX317</f>
        <v>0</v>
      </c>
      <c r="CF317" s="23">
        <f>$L317*AY317</f>
        <v>0</v>
      </c>
      <c r="CG317" s="23">
        <f>$L317*AZ317</f>
        <v>0</v>
      </c>
      <c r="CH317" s="23">
        <f>$L317*BA317</f>
        <v>0</v>
      </c>
      <c r="CI317" s="23">
        <f>$L317*BB317</f>
        <v>0</v>
      </c>
      <c r="CJ317" s="23">
        <f>$L317*BC317</f>
        <v>0</v>
      </c>
      <c r="CK317" s="23">
        <f>$L317*BD317</f>
        <v>0</v>
      </c>
      <c r="CL317" s="23">
        <f>$L317*BE317</f>
        <v>0</v>
      </c>
      <c r="CM317" s="23">
        <f>$L317*BF317</f>
        <v>0</v>
      </c>
      <c r="CN317" s="23">
        <f>$L317*BG317</f>
        <v>1</v>
      </c>
      <c r="CO317" s="23">
        <f>$L317*BH317</f>
        <v>1</v>
      </c>
      <c r="CP317" s="23">
        <f>$L317*BI317</f>
        <v>1</v>
      </c>
      <c r="CQ317" s="23">
        <f>$L317*BJ317</f>
        <v>1</v>
      </c>
      <c r="CR317" s="23">
        <f>$L317*BK317</f>
        <v>1</v>
      </c>
      <c r="CS317" s="23">
        <f>$L317*BL317</f>
        <v>1</v>
      </c>
      <c r="CT317" s="23">
        <f>$L317*BM317</f>
        <v>1</v>
      </c>
      <c r="CU317" s="23">
        <f>$L317*BN317</f>
        <v>1</v>
      </c>
      <c r="CV317" s="23">
        <f>$L317*BO317</f>
        <v>1</v>
      </c>
    </row>
    <row r="318" spans="1:100" ht="13.5" x14ac:dyDescent="0.15">
      <c r="A318" s="15">
        <v>221</v>
      </c>
      <c r="B318" s="28" t="s">
        <v>701</v>
      </c>
      <c r="C318" t="s">
        <v>414</v>
      </c>
      <c r="E318" t="s">
        <v>140</v>
      </c>
      <c r="F318" t="s">
        <v>415</v>
      </c>
      <c r="G318" t="s">
        <v>140</v>
      </c>
      <c r="H318" t="s">
        <v>141</v>
      </c>
      <c r="I318" s="6" t="s">
        <v>136</v>
      </c>
      <c r="J318" s="6">
        <v>0</v>
      </c>
      <c r="L318" s="15">
        <v>1</v>
      </c>
      <c r="M318" s="7">
        <v>46135</v>
      </c>
      <c r="N318" s="7">
        <v>46169</v>
      </c>
      <c r="O318" s="7">
        <v>46167</v>
      </c>
      <c r="P318" s="7">
        <v>46168</v>
      </c>
      <c r="S318" s="6" t="s">
        <v>140</v>
      </c>
      <c r="U318" s="6" t="s">
        <v>413</v>
      </c>
      <c r="V318" s="6" t="str">
        <f>TEXT(N318,"YY/MM")</f>
        <v>26/05</v>
      </c>
      <c r="W318">
        <v>1690</v>
      </c>
      <c r="AA318">
        <v>1044</v>
      </c>
      <c r="AC318">
        <v>1097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>$L318*AI318</f>
        <v>0</v>
      </c>
      <c r="BQ318" s="23">
        <f>$L318*AJ318</f>
        <v>0</v>
      </c>
      <c r="BR318" s="23">
        <f>$L318*AK318</f>
        <v>0</v>
      </c>
      <c r="BS318" s="23">
        <f>$L318*AL318</f>
        <v>0</v>
      </c>
      <c r="BT318" s="23">
        <f>$L318*AM318</f>
        <v>0</v>
      </c>
      <c r="BU318" s="23">
        <f>$L318*AN318</f>
        <v>0</v>
      </c>
      <c r="BV318" s="23">
        <f>$L318*AO318</f>
        <v>0</v>
      </c>
      <c r="BW318" s="23">
        <f>$L318*AP318</f>
        <v>0</v>
      </c>
      <c r="BX318" s="23">
        <f>$L318*AQ318</f>
        <v>0</v>
      </c>
      <c r="BY318" s="23">
        <f>$L318*AR318</f>
        <v>0</v>
      </c>
      <c r="BZ318" s="23">
        <f>$L318*AS318</f>
        <v>0</v>
      </c>
      <c r="CA318" s="23">
        <f>$L318*AT318</f>
        <v>0</v>
      </c>
      <c r="CB318" s="23">
        <f>$L318*AU318</f>
        <v>0</v>
      </c>
      <c r="CC318" s="23">
        <f>$L318*AV318</f>
        <v>0</v>
      </c>
      <c r="CD318" s="23">
        <f>$L318*AW318</f>
        <v>0</v>
      </c>
      <c r="CE318" s="23">
        <f>$L318*AX318</f>
        <v>0</v>
      </c>
      <c r="CF318" s="23">
        <f>$L318*AY318</f>
        <v>0</v>
      </c>
      <c r="CG318" s="23">
        <f>$L318*AZ318</f>
        <v>0</v>
      </c>
      <c r="CH318" s="23">
        <f>$L318*BA318</f>
        <v>0</v>
      </c>
      <c r="CI318" s="23">
        <f>$L318*BB318</f>
        <v>0</v>
      </c>
      <c r="CJ318" s="23">
        <f>$L318*BC318</f>
        <v>0</v>
      </c>
      <c r="CK318" s="23">
        <f>$L318*BD318</f>
        <v>0</v>
      </c>
      <c r="CL318" s="23">
        <f>$L318*BE318</f>
        <v>0</v>
      </c>
      <c r="CM318" s="23">
        <f>$L318*BF318</f>
        <v>0</v>
      </c>
      <c r="CN318" s="23">
        <f>$L318*BG318</f>
        <v>1</v>
      </c>
      <c r="CO318" s="23">
        <f>$L318*BH318</f>
        <v>1</v>
      </c>
      <c r="CP318" s="23">
        <f>$L318*BI318</f>
        <v>1</v>
      </c>
      <c r="CQ318" s="23">
        <f>$L318*BJ318</f>
        <v>1</v>
      </c>
      <c r="CR318" s="23">
        <f>$L318*BK318</f>
        <v>1</v>
      </c>
      <c r="CS318" s="23">
        <f>$L318*BL318</f>
        <v>1</v>
      </c>
      <c r="CT318" s="23">
        <f>$L318*BM318</f>
        <v>1</v>
      </c>
      <c r="CU318" s="23">
        <f>$L318*BN318</f>
        <v>1</v>
      </c>
      <c r="CV318" s="23">
        <f>$L318*BO318</f>
        <v>1</v>
      </c>
    </row>
    <row r="319" spans="1:100" ht="13.5" x14ac:dyDescent="0.15">
      <c r="A319" s="15">
        <v>221</v>
      </c>
      <c r="B319" s="28" t="s">
        <v>702</v>
      </c>
      <c r="C319" t="s">
        <v>414</v>
      </c>
      <c r="E319" t="s">
        <v>140</v>
      </c>
      <c r="F319" t="s">
        <v>415</v>
      </c>
      <c r="G319" t="s">
        <v>140</v>
      </c>
      <c r="H319" t="s">
        <v>141</v>
      </c>
      <c r="I319" s="6" t="s">
        <v>136</v>
      </c>
      <c r="J319" s="6">
        <v>0</v>
      </c>
      <c r="L319" s="15">
        <v>1</v>
      </c>
      <c r="M319" s="7">
        <v>46135</v>
      </c>
      <c r="N319" s="7">
        <v>46169</v>
      </c>
      <c r="O319" s="7">
        <v>46167</v>
      </c>
      <c r="P319" s="7">
        <v>46168</v>
      </c>
      <c r="S319" s="6" t="s">
        <v>140</v>
      </c>
      <c r="U319" s="6" t="s">
        <v>413</v>
      </c>
      <c r="V319" s="6" t="str">
        <f>TEXT(N319,"YY/MM")</f>
        <v>26/05</v>
      </c>
      <c r="W319">
        <v>1691</v>
      </c>
      <c r="AA319">
        <v>1045</v>
      </c>
      <c r="AC319">
        <v>1098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>$L319*AI319</f>
        <v>0</v>
      </c>
      <c r="BQ319" s="23">
        <f>$L319*AJ319</f>
        <v>0</v>
      </c>
      <c r="BR319" s="23">
        <f>$L319*AK319</f>
        <v>0</v>
      </c>
      <c r="BS319" s="23">
        <f>$L319*AL319</f>
        <v>0</v>
      </c>
      <c r="BT319" s="23">
        <f>$L319*AM319</f>
        <v>0</v>
      </c>
      <c r="BU319" s="23">
        <f>$L319*AN319</f>
        <v>0</v>
      </c>
      <c r="BV319" s="23">
        <f>$L319*AO319</f>
        <v>0</v>
      </c>
      <c r="BW319" s="23">
        <f>$L319*AP319</f>
        <v>0</v>
      </c>
      <c r="BX319" s="23">
        <f>$L319*AQ319</f>
        <v>0</v>
      </c>
      <c r="BY319" s="23">
        <f>$L319*AR319</f>
        <v>0</v>
      </c>
      <c r="BZ319" s="23">
        <f>$L319*AS319</f>
        <v>0</v>
      </c>
      <c r="CA319" s="23">
        <f>$L319*AT319</f>
        <v>0</v>
      </c>
      <c r="CB319" s="23">
        <f>$L319*AU319</f>
        <v>0</v>
      </c>
      <c r="CC319" s="23">
        <f>$L319*AV319</f>
        <v>0</v>
      </c>
      <c r="CD319" s="23">
        <f>$L319*AW319</f>
        <v>0</v>
      </c>
      <c r="CE319" s="23">
        <f>$L319*AX319</f>
        <v>0</v>
      </c>
      <c r="CF319" s="23">
        <f>$L319*AY319</f>
        <v>0</v>
      </c>
      <c r="CG319" s="23">
        <f>$L319*AZ319</f>
        <v>0</v>
      </c>
      <c r="CH319" s="23">
        <f>$L319*BA319</f>
        <v>0</v>
      </c>
      <c r="CI319" s="23">
        <f>$L319*BB319</f>
        <v>0</v>
      </c>
      <c r="CJ319" s="23">
        <f>$L319*BC319</f>
        <v>0</v>
      </c>
      <c r="CK319" s="23">
        <f>$L319*BD319</f>
        <v>0</v>
      </c>
      <c r="CL319" s="23">
        <f>$L319*BE319</f>
        <v>0</v>
      </c>
      <c r="CM319" s="23">
        <f>$L319*BF319</f>
        <v>0</v>
      </c>
      <c r="CN319" s="23">
        <f>$L319*BG319</f>
        <v>1</v>
      </c>
      <c r="CO319" s="23">
        <f>$L319*BH319</f>
        <v>1</v>
      </c>
      <c r="CP319" s="23">
        <f>$L319*BI319</f>
        <v>1</v>
      </c>
      <c r="CQ319" s="23">
        <f>$L319*BJ319</f>
        <v>1</v>
      </c>
      <c r="CR319" s="23">
        <f>$L319*BK319</f>
        <v>1</v>
      </c>
      <c r="CS319" s="23">
        <f>$L319*BL319</f>
        <v>1</v>
      </c>
      <c r="CT319" s="23">
        <f>$L319*BM319</f>
        <v>1</v>
      </c>
      <c r="CU319" s="23">
        <f>$L319*BN319</f>
        <v>1</v>
      </c>
      <c r="CV319" s="23">
        <f>$L319*BO319</f>
        <v>1</v>
      </c>
    </row>
    <row r="320" spans="1:100" ht="13.5" x14ac:dyDescent="0.15">
      <c r="A320" s="15">
        <v>221</v>
      </c>
      <c r="B320" s="28" t="s">
        <v>703</v>
      </c>
      <c r="C320" t="s">
        <v>414</v>
      </c>
      <c r="E320" t="s">
        <v>140</v>
      </c>
      <c r="F320" t="s">
        <v>415</v>
      </c>
      <c r="G320" t="s">
        <v>140</v>
      </c>
      <c r="H320" t="s">
        <v>141</v>
      </c>
      <c r="I320" s="6" t="s">
        <v>136</v>
      </c>
      <c r="J320" s="6">
        <v>0</v>
      </c>
      <c r="L320" s="15">
        <v>1</v>
      </c>
      <c r="M320" s="7">
        <v>46135</v>
      </c>
      <c r="N320" s="7">
        <v>46170</v>
      </c>
      <c r="O320" s="7">
        <v>46167</v>
      </c>
      <c r="P320" s="7">
        <v>46168</v>
      </c>
      <c r="S320" s="6" t="s">
        <v>140</v>
      </c>
      <c r="U320" s="6" t="s">
        <v>413</v>
      </c>
      <c r="V320" s="6" t="str">
        <f>TEXT(N320,"YY/MM")</f>
        <v>26/05</v>
      </c>
      <c r="W320">
        <v>1692</v>
      </c>
      <c r="AA320">
        <v>1046</v>
      </c>
      <c r="AC320">
        <v>1099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>$L320*AI320</f>
        <v>0</v>
      </c>
      <c r="BQ320" s="23">
        <f>$L320*AJ320</f>
        <v>0</v>
      </c>
      <c r="BR320" s="23">
        <f>$L320*AK320</f>
        <v>0</v>
      </c>
      <c r="BS320" s="23">
        <f>$L320*AL320</f>
        <v>0</v>
      </c>
      <c r="BT320" s="23">
        <f>$L320*AM320</f>
        <v>0</v>
      </c>
      <c r="BU320" s="23">
        <f>$L320*AN320</f>
        <v>0</v>
      </c>
      <c r="BV320" s="23">
        <f>$L320*AO320</f>
        <v>0</v>
      </c>
      <c r="BW320" s="23">
        <f>$L320*AP320</f>
        <v>0</v>
      </c>
      <c r="BX320" s="23">
        <f>$L320*AQ320</f>
        <v>0</v>
      </c>
      <c r="BY320" s="23">
        <f>$L320*AR320</f>
        <v>0</v>
      </c>
      <c r="BZ320" s="23">
        <f>$L320*AS320</f>
        <v>0</v>
      </c>
      <c r="CA320" s="23">
        <f>$L320*AT320</f>
        <v>0</v>
      </c>
      <c r="CB320" s="23">
        <f>$L320*AU320</f>
        <v>0</v>
      </c>
      <c r="CC320" s="23">
        <f>$L320*AV320</f>
        <v>0</v>
      </c>
      <c r="CD320" s="23">
        <f>$L320*AW320</f>
        <v>0</v>
      </c>
      <c r="CE320" s="23">
        <f>$L320*AX320</f>
        <v>0</v>
      </c>
      <c r="CF320" s="23">
        <f>$L320*AY320</f>
        <v>0</v>
      </c>
      <c r="CG320" s="23">
        <f>$L320*AZ320</f>
        <v>0</v>
      </c>
      <c r="CH320" s="23">
        <f>$L320*BA320</f>
        <v>0</v>
      </c>
      <c r="CI320" s="23">
        <f>$L320*BB320</f>
        <v>0</v>
      </c>
      <c r="CJ320" s="23">
        <f>$L320*BC320</f>
        <v>0</v>
      </c>
      <c r="CK320" s="23">
        <f>$L320*BD320</f>
        <v>0</v>
      </c>
      <c r="CL320" s="23">
        <f>$L320*BE320</f>
        <v>0</v>
      </c>
      <c r="CM320" s="23">
        <f>$L320*BF320</f>
        <v>0</v>
      </c>
      <c r="CN320" s="23">
        <f>$L320*BG320</f>
        <v>1</v>
      </c>
      <c r="CO320" s="23">
        <f>$L320*BH320</f>
        <v>1</v>
      </c>
      <c r="CP320" s="23">
        <f>$L320*BI320</f>
        <v>1</v>
      </c>
      <c r="CQ320" s="23">
        <f>$L320*BJ320</f>
        <v>1</v>
      </c>
      <c r="CR320" s="23">
        <f>$L320*BK320</f>
        <v>1</v>
      </c>
      <c r="CS320" s="23">
        <f>$L320*BL320</f>
        <v>1</v>
      </c>
      <c r="CT320" s="23">
        <f>$L320*BM320</f>
        <v>1</v>
      </c>
      <c r="CU320" s="23">
        <f>$L320*BN320</f>
        <v>1</v>
      </c>
      <c r="CV320" s="23">
        <f>$L320*BO320</f>
        <v>1</v>
      </c>
    </row>
    <row r="321" spans="1:100" ht="13.5" x14ac:dyDescent="0.15">
      <c r="A321" s="15">
        <v>221</v>
      </c>
      <c r="B321" s="28" t="s">
        <v>704</v>
      </c>
      <c r="C321" t="s">
        <v>414</v>
      </c>
      <c r="E321" t="s">
        <v>140</v>
      </c>
      <c r="F321" t="s">
        <v>415</v>
      </c>
      <c r="G321" t="s">
        <v>140</v>
      </c>
      <c r="H321" t="s">
        <v>141</v>
      </c>
      <c r="I321" s="6" t="s">
        <v>136</v>
      </c>
      <c r="J321" s="6">
        <v>0</v>
      </c>
      <c r="L321" s="15">
        <v>1</v>
      </c>
      <c r="M321" s="7">
        <v>46135</v>
      </c>
      <c r="N321" s="7">
        <v>46170</v>
      </c>
      <c r="O321" s="7">
        <v>46167</v>
      </c>
      <c r="P321" s="7">
        <v>46168</v>
      </c>
      <c r="S321" s="6" t="s">
        <v>140</v>
      </c>
      <c r="U321" s="6" t="s">
        <v>413</v>
      </c>
      <c r="V321" s="6" t="str">
        <f>TEXT(N321,"YY/MM")</f>
        <v>26/05</v>
      </c>
      <c r="W321">
        <v>1693</v>
      </c>
      <c r="AA321">
        <v>1047</v>
      </c>
      <c r="AC321">
        <v>1100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>$L321*AI321</f>
        <v>0</v>
      </c>
      <c r="BQ321" s="23">
        <f>$L321*AJ321</f>
        <v>0</v>
      </c>
      <c r="BR321" s="23">
        <f>$L321*AK321</f>
        <v>0</v>
      </c>
      <c r="BS321" s="23">
        <f>$L321*AL321</f>
        <v>0</v>
      </c>
      <c r="BT321" s="23">
        <f>$L321*AM321</f>
        <v>0</v>
      </c>
      <c r="BU321" s="23">
        <f>$L321*AN321</f>
        <v>0</v>
      </c>
      <c r="BV321" s="23">
        <f>$L321*AO321</f>
        <v>0</v>
      </c>
      <c r="BW321" s="23">
        <f>$L321*AP321</f>
        <v>0</v>
      </c>
      <c r="BX321" s="23">
        <f>$L321*AQ321</f>
        <v>0</v>
      </c>
      <c r="BY321" s="23">
        <f>$L321*AR321</f>
        <v>0</v>
      </c>
      <c r="BZ321" s="23">
        <f>$L321*AS321</f>
        <v>0</v>
      </c>
      <c r="CA321" s="23">
        <f>$L321*AT321</f>
        <v>0</v>
      </c>
      <c r="CB321" s="23">
        <f>$L321*AU321</f>
        <v>0</v>
      </c>
      <c r="CC321" s="23">
        <f>$L321*AV321</f>
        <v>0</v>
      </c>
      <c r="CD321" s="23">
        <f>$L321*AW321</f>
        <v>0</v>
      </c>
      <c r="CE321" s="23">
        <f>$L321*AX321</f>
        <v>0</v>
      </c>
      <c r="CF321" s="23">
        <f>$L321*AY321</f>
        <v>0</v>
      </c>
      <c r="CG321" s="23">
        <f>$L321*AZ321</f>
        <v>0</v>
      </c>
      <c r="CH321" s="23">
        <f>$L321*BA321</f>
        <v>0</v>
      </c>
      <c r="CI321" s="23">
        <f>$L321*BB321</f>
        <v>0</v>
      </c>
      <c r="CJ321" s="23">
        <f>$L321*BC321</f>
        <v>0</v>
      </c>
      <c r="CK321" s="23">
        <f>$L321*BD321</f>
        <v>0</v>
      </c>
      <c r="CL321" s="23">
        <f>$L321*BE321</f>
        <v>0</v>
      </c>
      <c r="CM321" s="23">
        <f>$L321*BF321</f>
        <v>0</v>
      </c>
      <c r="CN321" s="23">
        <f>$L321*BG321</f>
        <v>1</v>
      </c>
      <c r="CO321" s="23">
        <f>$L321*BH321</f>
        <v>1</v>
      </c>
      <c r="CP321" s="23">
        <f>$L321*BI321</f>
        <v>1</v>
      </c>
      <c r="CQ321" s="23">
        <f>$L321*BJ321</f>
        <v>1</v>
      </c>
      <c r="CR321" s="23">
        <f>$L321*BK321</f>
        <v>1</v>
      </c>
      <c r="CS321" s="23">
        <f>$L321*BL321</f>
        <v>1</v>
      </c>
      <c r="CT321" s="23">
        <f>$L321*BM321</f>
        <v>1</v>
      </c>
      <c r="CU321" s="23">
        <f>$L321*BN321</f>
        <v>1</v>
      </c>
      <c r="CV321" s="23">
        <f>$L321*BO321</f>
        <v>1</v>
      </c>
    </row>
    <row r="322" spans="1:100" ht="13.5" x14ac:dyDescent="0.15">
      <c r="A322" s="15">
        <v>221</v>
      </c>
      <c r="B322" s="28" t="s">
        <v>705</v>
      </c>
      <c r="C322" t="s">
        <v>414</v>
      </c>
      <c r="E322" t="s">
        <v>140</v>
      </c>
      <c r="F322" t="s">
        <v>415</v>
      </c>
      <c r="G322" t="s">
        <v>140</v>
      </c>
      <c r="H322" t="s">
        <v>141</v>
      </c>
      <c r="I322" s="6" t="s">
        <v>136</v>
      </c>
      <c r="J322" s="6">
        <v>0</v>
      </c>
      <c r="L322" s="15">
        <v>1</v>
      </c>
      <c r="M322" s="7">
        <v>46135</v>
      </c>
      <c r="N322" s="7">
        <v>46170</v>
      </c>
      <c r="O322" s="7">
        <v>46167</v>
      </c>
      <c r="P322" s="7">
        <v>46168</v>
      </c>
      <c r="S322" s="6" t="s">
        <v>140</v>
      </c>
      <c r="U322" s="6" t="s">
        <v>413</v>
      </c>
      <c r="V322" s="6" t="str">
        <f>TEXT(N322,"YY/MM")</f>
        <v>26/05</v>
      </c>
      <c r="W322">
        <v>1694</v>
      </c>
      <c r="AA322">
        <v>1048</v>
      </c>
      <c r="AC322">
        <v>1101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>$L322*AI322</f>
        <v>0</v>
      </c>
      <c r="BQ322" s="23">
        <f>$L322*AJ322</f>
        <v>0</v>
      </c>
      <c r="BR322" s="23">
        <f>$L322*AK322</f>
        <v>0</v>
      </c>
      <c r="BS322" s="23">
        <f>$L322*AL322</f>
        <v>0</v>
      </c>
      <c r="BT322" s="23">
        <f>$L322*AM322</f>
        <v>0</v>
      </c>
      <c r="BU322" s="23">
        <f>$L322*AN322</f>
        <v>0</v>
      </c>
      <c r="BV322" s="23">
        <f>$L322*AO322</f>
        <v>0</v>
      </c>
      <c r="BW322" s="23">
        <f>$L322*AP322</f>
        <v>0</v>
      </c>
      <c r="BX322" s="23">
        <f>$L322*AQ322</f>
        <v>0</v>
      </c>
      <c r="BY322" s="23">
        <f>$L322*AR322</f>
        <v>0</v>
      </c>
      <c r="BZ322" s="23">
        <f>$L322*AS322</f>
        <v>0</v>
      </c>
      <c r="CA322" s="23">
        <f>$L322*AT322</f>
        <v>0</v>
      </c>
      <c r="CB322" s="23">
        <f>$L322*AU322</f>
        <v>0</v>
      </c>
      <c r="CC322" s="23">
        <f>$L322*AV322</f>
        <v>0</v>
      </c>
      <c r="CD322" s="23">
        <f>$L322*AW322</f>
        <v>0</v>
      </c>
      <c r="CE322" s="23">
        <f>$L322*AX322</f>
        <v>0</v>
      </c>
      <c r="CF322" s="23">
        <f>$L322*AY322</f>
        <v>0</v>
      </c>
      <c r="CG322" s="23">
        <f>$L322*AZ322</f>
        <v>0</v>
      </c>
      <c r="CH322" s="23">
        <f>$L322*BA322</f>
        <v>0</v>
      </c>
      <c r="CI322" s="23">
        <f>$L322*BB322</f>
        <v>0</v>
      </c>
      <c r="CJ322" s="23">
        <f>$L322*BC322</f>
        <v>0</v>
      </c>
      <c r="CK322" s="23">
        <f>$L322*BD322</f>
        <v>0</v>
      </c>
      <c r="CL322" s="23">
        <f>$L322*BE322</f>
        <v>0</v>
      </c>
      <c r="CM322" s="23">
        <f>$L322*BF322</f>
        <v>0</v>
      </c>
      <c r="CN322" s="23">
        <f>$L322*BG322</f>
        <v>1</v>
      </c>
      <c r="CO322" s="23">
        <f>$L322*BH322</f>
        <v>1</v>
      </c>
      <c r="CP322" s="23">
        <f>$L322*BI322</f>
        <v>1</v>
      </c>
      <c r="CQ322" s="23">
        <f>$L322*BJ322</f>
        <v>1</v>
      </c>
      <c r="CR322" s="23">
        <f>$L322*BK322</f>
        <v>1</v>
      </c>
      <c r="CS322" s="23">
        <f>$L322*BL322</f>
        <v>1</v>
      </c>
      <c r="CT322" s="23">
        <f>$L322*BM322</f>
        <v>1</v>
      </c>
      <c r="CU322" s="23">
        <f>$L322*BN322</f>
        <v>1</v>
      </c>
      <c r="CV322" s="23">
        <f>$L322*BO322</f>
        <v>1</v>
      </c>
    </row>
    <row r="323" spans="1:100" ht="13.5" x14ac:dyDescent="0.15">
      <c r="A323" s="15">
        <v>221</v>
      </c>
      <c r="B323" s="28" t="s">
        <v>706</v>
      </c>
      <c r="C323" t="s">
        <v>414</v>
      </c>
      <c r="E323" t="s">
        <v>140</v>
      </c>
      <c r="F323" t="s">
        <v>415</v>
      </c>
      <c r="G323" t="s">
        <v>140</v>
      </c>
      <c r="H323" t="s">
        <v>141</v>
      </c>
      <c r="I323" s="6" t="s">
        <v>136</v>
      </c>
      <c r="J323" s="6">
        <v>0</v>
      </c>
      <c r="L323" s="15">
        <v>1</v>
      </c>
      <c r="M323" s="7">
        <v>46135</v>
      </c>
      <c r="N323" s="7">
        <v>46170</v>
      </c>
      <c r="O323" s="7">
        <v>46167</v>
      </c>
      <c r="P323" s="7">
        <v>46168</v>
      </c>
      <c r="S323" s="6" t="s">
        <v>140</v>
      </c>
      <c r="U323" s="6" t="s">
        <v>413</v>
      </c>
      <c r="V323" s="6" t="str">
        <f>TEXT(N323,"YY/MM")</f>
        <v>26/05</v>
      </c>
      <c r="W323">
        <v>1695</v>
      </c>
      <c r="AA323">
        <v>1049</v>
      </c>
      <c r="AC323">
        <v>1102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>$L323*AI323</f>
        <v>0</v>
      </c>
      <c r="BQ323" s="23">
        <f>$L323*AJ323</f>
        <v>0</v>
      </c>
      <c r="BR323" s="23">
        <f>$L323*AK323</f>
        <v>0</v>
      </c>
      <c r="BS323" s="23">
        <f>$L323*AL323</f>
        <v>0</v>
      </c>
      <c r="BT323" s="23">
        <f>$L323*AM323</f>
        <v>0</v>
      </c>
      <c r="BU323" s="23">
        <f>$L323*AN323</f>
        <v>0</v>
      </c>
      <c r="BV323" s="23">
        <f>$L323*AO323</f>
        <v>0</v>
      </c>
      <c r="BW323" s="23">
        <f>$L323*AP323</f>
        <v>0</v>
      </c>
      <c r="BX323" s="23">
        <f>$L323*AQ323</f>
        <v>0</v>
      </c>
      <c r="BY323" s="23">
        <f>$L323*AR323</f>
        <v>0</v>
      </c>
      <c r="BZ323" s="23">
        <f>$L323*AS323</f>
        <v>0</v>
      </c>
      <c r="CA323" s="23">
        <f>$L323*AT323</f>
        <v>0</v>
      </c>
      <c r="CB323" s="23">
        <f>$L323*AU323</f>
        <v>0</v>
      </c>
      <c r="CC323" s="23">
        <f>$L323*AV323</f>
        <v>0</v>
      </c>
      <c r="CD323" s="23">
        <f>$L323*AW323</f>
        <v>0</v>
      </c>
      <c r="CE323" s="23">
        <f>$L323*AX323</f>
        <v>0</v>
      </c>
      <c r="CF323" s="23">
        <f>$L323*AY323</f>
        <v>0</v>
      </c>
      <c r="CG323" s="23">
        <f>$L323*AZ323</f>
        <v>0</v>
      </c>
      <c r="CH323" s="23">
        <f>$L323*BA323</f>
        <v>0</v>
      </c>
      <c r="CI323" s="23">
        <f>$L323*BB323</f>
        <v>0</v>
      </c>
      <c r="CJ323" s="23">
        <f>$L323*BC323</f>
        <v>0</v>
      </c>
      <c r="CK323" s="23">
        <f>$L323*BD323</f>
        <v>0</v>
      </c>
      <c r="CL323" s="23">
        <f>$L323*BE323</f>
        <v>0</v>
      </c>
      <c r="CM323" s="23">
        <f>$L323*BF323</f>
        <v>0</v>
      </c>
      <c r="CN323" s="23">
        <f>$L323*BG323</f>
        <v>1</v>
      </c>
      <c r="CO323" s="23">
        <f>$L323*BH323</f>
        <v>1</v>
      </c>
      <c r="CP323" s="23">
        <f>$L323*BI323</f>
        <v>1</v>
      </c>
      <c r="CQ323" s="23">
        <f>$L323*BJ323</f>
        <v>1</v>
      </c>
      <c r="CR323" s="23">
        <f>$L323*BK323</f>
        <v>1</v>
      </c>
      <c r="CS323" s="23">
        <f>$L323*BL323</f>
        <v>1</v>
      </c>
      <c r="CT323" s="23">
        <f>$L323*BM323</f>
        <v>1</v>
      </c>
      <c r="CU323" s="23">
        <f>$L323*BN323</f>
        <v>1</v>
      </c>
      <c r="CV323" s="23">
        <f>$L323*BO323</f>
        <v>1</v>
      </c>
    </row>
    <row r="324" spans="1:100" ht="13.5" x14ac:dyDescent="0.15">
      <c r="A324" s="15">
        <v>221</v>
      </c>
      <c r="B324" s="28" t="s">
        <v>707</v>
      </c>
      <c r="C324" t="s">
        <v>414</v>
      </c>
      <c r="E324" t="s">
        <v>140</v>
      </c>
      <c r="F324" t="s">
        <v>415</v>
      </c>
      <c r="G324" t="s">
        <v>140</v>
      </c>
      <c r="H324" t="s">
        <v>141</v>
      </c>
      <c r="I324" s="6" t="s">
        <v>136</v>
      </c>
      <c r="J324" s="6">
        <v>0</v>
      </c>
      <c r="L324" s="15">
        <v>1</v>
      </c>
      <c r="M324" s="7">
        <v>46135</v>
      </c>
      <c r="N324" s="7">
        <v>46170</v>
      </c>
      <c r="O324" s="7">
        <v>46167</v>
      </c>
      <c r="P324" s="7">
        <v>46168</v>
      </c>
      <c r="S324" s="6" t="s">
        <v>140</v>
      </c>
      <c r="U324" s="6" t="s">
        <v>413</v>
      </c>
      <c r="V324" s="6" t="str">
        <f>TEXT(N324,"YY/MM")</f>
        <v>26/05</v>
      </c>
      <c r="W324">
        <v>1696</v>
      </c>
      <c r="AA324">
        <v>1050</v>
      </c>
      <c r="AC324">
        <v>1103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>$L324*AI324</f>
        <v>0</v>
      </c>
      <c r="BQ324" s="23">
        <f>$L324*AJ324</f>
        <v>0</v>
      </c>
      <c r="BR324" s="23">
        <f>$L324*AK324</f>
        <v>0</v>
      </c>
      <c r="BS324" s="23">
        <f>$L324*AL324</f>
        <v>0</v>
      </c>
      <c r="BT324" s="23">
        <f>$L324*AM324</f>
        <v>0</v>
      </c>
      <c r="BU324" s="23">
        <f>$L324*AN324</f>
        <v>0</v>
      </c>
      <c r="BV324" s="23">
        <f>$L324*AO324</f>
        <v>0</v>
      </c>
      <c r="BW324" s="23">
        <f>$L324*AP324</f>
        <v>0</v>
      </c>
      <c r="BX324" s="23">
        <f>$L324*AQ324</f>
        <v>0</v>
      </c>
      <c r="BY324" s="23">
        <f>$L324*AR324</f>
        <v>0</v>
      </c>
      <c r="BZ324" s="23">
        <f>$L324*AS324</f>
        <v>0</v>
      </c>
      <c r="CA324" s="23">
        <f>$L324*AT324</f>
        <v>0</v>
      </c>
      <c r="CB324" s="23">
        <f>$L324*AU324</f>
        <v>0</v>
      </c>
      <c r="CC324" s="23">
        <f>$L324*AV324</f>
        <v>0</v>
      </c>
      <c r="CD324" s="23">
        <f>$L324*AW324</f>
        <v>0</v>
      </c>
      <c r="CE324" s="23">
        <f>$L324*AX324</f>
        <v>0</v>
      </c>
      <c r="CF324" s="23">
        <f>$L324*AY324</f>
        <v>0</v>
      </c>
      <c r="CG324" s="23">
        <f>$L324*AZ324</f>
        <v>0</v>
      </c>
      <c r="CH324" s="23">
        <f>$L324*BA324</f>
        <v>0</v>
      </c>
      <c r="CI324" s="23">
        <f>$L324*BB324</f>
        <v>0</v>
      </c>
      <c r="CJ324" s="23">
        <f>$L324*BC324</f>
        <v>0</v>
      </c>
      <c r="CK324" s="23">
        <f>$L324*BD324</f>
        <v>0</v>
      </c>
      <c r="CL324" s="23">
        <f>$L324*BE324</f>
        <v>0</v>
      </c>
      <c r="CM324" s="23">
        <f>$L324*BF324</f>
        <v>0</v>
      </c>
      <c r="CN324" s="23">
        <f>$L324*BG324</f>
        <v>1</v>
      </c>
      <c r="CO324" s="23">
        <f>$L324*BH324</f>
        <v>1</v>
      </c>
      <c r="CP324" s="23">
        <f>$L324*BI324</f>
        <v>1</v>
      </c>
      <c r="CQ324" s="23">
        <f>$L324*BJ324</f>
        <v>1</v>
      </c>
      <c r="CR324" s="23">
        <f>$L324*BK324</f>
        <v>1</v>
      </c>
      <c r="CS324" s="23">
        <f>$L324*BL324</f>
        <v>1</v>
      </c>
      <c r="CT324" s="23">
        <f>$L324*BM324</f>
        <v>1</v>
      </c>
      <c r="CU324" s="23">
        <f>$L324*BN324</f>
        <v>1</v>
      </c>
      <c r="CV324" s="23">
        <f>$L324*BO324</f>
        <v>1</v>
      </c>
    </row>
    <row r="325" spans="1:100" ht="13.5" x14ac:dyDescent="0.15">
      <c r="A325" s="15">
        <v>221</v>
      </c>
      <c r="B325" s="28" t="s">
        <v>708</v>
      </c>
      <c r="C325" t="s">
        <v>414</v>
      </c>
      <c r="E325" t="s">
        <v>140</v>
      </c>
      <c r="F325" t="s">
        <v>415</v>
      </c>
      <c r="G325" t="s">
        <v>140</v>
      </c>
      <c r="H325" t="s">
        <v>141</v>
      </c>
      <c r="I325" s="6" t="s">
        <v>136</v>
      </c>
      <c r="J325" s="6">
        <v>0</v>
      </c>
      <c r="L325" s="15">
        <v>1</v>
      </c>
      <c r="M325" s="7">
        <v>46135</v>
      </c>
      <c r="N325" s="7">
        <v>46170</v>
      </c>
      <c r="O325" s="7">
        <v>46167</v>
      </c>
      <c r="P325" s="7">
        <v>46168</v>
      </c>
      <c r="S325" s="6" t="s">
        <v>140</v>
      </c>
      <c r="U325" s="6" t="s">
        <v>413</v>
      </c>
      <c r="V325" s="6" t="str">
        <f>TEXT(N325,"YY/MM")</f>
        <v>26/05</v>
      </c>
      <c r="W325">
        <v>1697</v>
      </c>
      <c r="AA325">
        <v>1051</v>
      </c>
      <c r="AC325">
        <v>1104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>$L325*AI325</f>
        <v>0</v>
      </c>
      <c r="BQ325" s="23">
        <f>$L325*AJ325</f>
        <v>0</v>
      </c>
      <c r="BR325" s="23">
        <f>$L325*AK325</f>
        <v>0</v>
      </c>
      <c r="BS325" s="23">
        <f>$L325*AL325</f>
        <v>0</v>
      </c>
      <c r="BT325" s="23">
        <f>$L325*AM325</f>
        <v>0</v>
      </c>
      <c r="BU325" s="23">
        <f>$L325*AN325</f>
        <v>0</v>
      </c>
      <c r="BV325" s="23">
        <f>$L325*AO325</f>
        <v>0</v>
      </c>
      <c r="BW325" s="23">
        <f>$L325*AP325</f>
        <v>0</v>
      </c>
      <c r="BX325" s="23">
        <f>$L325*AQ325</f>
        <v>0</v>
      </c>
      <c r="BY325" s="23">
        <f>$L325*AR325</f>
        <v>0</v>
      </c>
      <c r="BZ325" s="23">
        <f>$L325*AS325</f>
        <v>0</v>
      </c>
      <c r="CA325" s="23">
        <f>$L325*AT325</f>
        <v>0</v>
      </c>
      <c r="CB325" s="23">
        <f>$L325*AU325</f>
        <v>0</v>
      </c>
      <c r="CC325" s="23">
        <f>$L325*AV325</f>
        <v>0</v>
      </c>
      <c r="CD325" s="23">
        <f>$L325*AW325</f>
        <v>0</v>
      </c>
      <c r="CE325" s="23">
        <f>$L325*AX325</f>
        <v>0</v>
      </c>
      <c r="CF325" s="23">
        <f>$L325*AY325</f>
        <v>0</v>
      </c>
      <c r="CG325" s="23">
        <f>$L325*AZ325</f>
        <v>0</v>
      </c>
      <c r="CH325" s="23">
        <f>$L325*BA325</f>
        <v>0</v>
      </c>
      <c r="CI325" s="23">
        <f>$L325*BB325</f>
        <v>0</v>
      </c>
      <c r="CJ325" s="23">
        <f>$L325*BC325</f>
        <v>0</v>
      </c>
      <c r="CK325" s="23">
        <f>$L325*BD325</f>
        <v>0</v>
      </c>
      <c r="CL325" s="23">
        <f>$L325*BE325</f>
        <v>0</v>
      </c>
      <c r="CM325" s="23">
        <f>$L325*BF325</f>
        <v>0</v>
      </c>
      <c r="CN325" s="23">
        <f>$L325*BG325</f>
        <v>1</v>
      </c>
      <c r="CO325" s="23">
        <f>$L325*BH325</f>
        <v>1</v>
      </c>
      <c r="CP325" s="23">
        <f>$L325*BI325</f>
        <v>1</v>
      </c>
      <c r="CQ325" s="23">
        <f>$L325*BJ325</f>
        <v>1</v>
      </c>
      <c r="CR325" s="23">
        <f>$L325*BK325</f>
        <v>1</v>
      </c>
      <c r="CS325" s="23">
        <f>$L325*BL325</f>
        <v>1</v>
      </c>
      <c r="CT325" s="23">
        <f>$L325*BM325</f>
        <v>1</v>
      </c>
      <c r="CU325" s="23">
        <f>$L325*BN325</f>
        <v>1</v>
      </c>
      <c r="CV325" s="23">
        <f>$L325*BO325</f>
        <v>1</v>
      </c>
    </row>
    <row r="326" spans="1:100" ht="13.5" x14ac:dyDescent="0.15">
      <c r="A326" s="15">
        <v>221</v>
      </c>
      <c r="B326" s="28" t="s">
        <v>709</v>
      </c>
      <c r="C326" t="s">
        <v>414</v>
      </c>
      <c r="E326" t="s">
        <v>140</v>
      </c>
      <c r="F326" t="s">
        <v>415</v>
      </c>
      <c r="G326" t="s">
        <v>140</v>
      </c>
      <c r="H326" t="s">
        <v>141</v>
      </c>
      <c r="I326" s="6" t="s">
        <v>136</v>
      </c>
      <c r="J326" s="6">
        <v>0</v>
      </c>
      <c r="L326" s="15">
        <v>1</v>
      </c>
      <c r="M326" s="7">
        <v>46135</v>
      </c>
      <c r="N326" s="7">
        <v>46171</v>
      </c>
      <c r="O326" s="7">
        <v>46167</v>
      </c>
      <c r="P326" s="7">
        <v>46168</v>
      </c>
      <c r="S326" s="6" t="s">
        <v>140</v>
      </c>
      <c r="U326" s="6" t="s">
        <v>413</v>
      </c>
      <c r="V326" s="6" t="str">
        <f>TEXT(N326,"YY/MM")</f>
        <v>26/05</v>
      </c>
      <c r="W326">
        <v>1698</v>
      </c>
      <c r="AA326">
        <v>1052</v>
      </c>
      <c r="AC326">
        <v>1105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>$L326*AI326</f>
        <v>0</v>
      </c>
      <c r="BQ326" s="23">
        <f>$L326*AJ326</f>
        <v>0</v>
      </c>
      <c r="BR326" s="23">
        <f>$L326*AK326</f>
        <v>0</v>
      </c>
      <c r="BS326" s="23">
        <f>$L326*AL326</f>
        <v>0</v>
      </c>
      <c r="BT326" s="23">
        <f>$L326*AM326</f>
        <v>0</v>
      </c>
      <c r="BU326" s="23">
        <f>$L326*AN326</f>
        <v>0</v>
      </c>
      <c r="BV326" s="23">
        <f>$L326*AO326</f>
        <v>0</v>
      </c>
      <c r="BW326" s="23">
        <f>$L326*AP326</f>
        <v>0</v>
      </c>
      <c r="BX326" s="23">
        <f>$L326*AQ326</f>
        <v>0</v>
      </c>
      <c r="BY326" s="23">
        <f>$L326*AR326</f>
        <v>0</v>
      </c>
      <c r="BZ326" s="23">
        <f>$L326*AS326</f>
        <v>0</v>
      </c>
      <c r="CA326" s="23">
        <f>$L326*AT326</f>
        <v>0</v>
      </c>
      <c r="CB326" s="23">
        <f>$L326*AU326</f>
        <v>0</v>
      </c>
      <c r="CC326" s="23">
        <f>$L326*AV326</f>
        <v>0</v>
      </c>
      <c r="CD326" s="23">
        <f>$L326*AW326</f>
        <v>0</v>
      </c>
      <c r="CE326" s="23">
        <f>$L326*AX326</f>
        <v>0</v>
      </c>
      <c r="CF326" s="23">
        <f>$L326*AY326</f>
        <v>0</v>
      </c>
      <c r="CG326" s="23">
        <f>$L326*AZ326</f>
        <v>0</v>
      </c>
      <c r="CH326" s="23">
        <f>$L326*BA326</f>
        <v>0</v>
      </c>
      <c r="CI326" s="23">
        <f>$L326*BB326</f>
        <v>0</v>
      </c>
      <c r="CJ326" s="23">
        <f>$L326*BC326</f>
        <v>0</v>
      </c>
      <c r="CK326" s="23">
        <f>$L326*BD326</f>
        <v>0</v>
      </c>
      <c r="CL326" s="23">
        <f>$L326*BE326</f>
        <v>0</v>
      </c>
      <c r="CM326" s="23">
        <f>$L326*BF326</f>
        <v>0</v>
      </c>
      <c r="CN326" s="23">
        <f>$L326*BG326</f>
        <v>1</v>
      </c>
      <c r="CO326" s="23">
        <f>$L326*BH326</f>
        <v>1</v>
      </c>
      <c r="CP326" s="23">
        <f>$L326*BI326</f>
        <v>1</v>
      </c>
      <c r="CQ326" s="23">
        <f>$L326*BJ326</f>
        <v>1</v>
      </c>
      <c r="CR326" s="23">
        <f>$L326*BK326</f>
        <v>1</v>
      </c>
      <c r="CS326" s="23">
        <f>$L326*BL326</f>
        <v>1</v>
      </c>
      <c r="CT326" s="23">
        <f>$L326*BM326</f>
        <v>1</v>
      </c>
      <c r="CU326" s="23">
        <f>$L326*BN326</f>
        <v>1</v>
      </c>
      <c r="CV326" s="23">
        <f>$L326*BO326</f>
        <v>1</v>
      </c>
    </row>
    <row r="327" spans="1:100" ht="13.5" x14ac:dyDescent="0.15">
      <c r="A327" s="15">
        <v>221</v>
      </c>
      <c r="B327" s="28" t="s">
        <v>710</v>
      </c>
      <c r="C327" t="s">
        <v>414</v>
      </c>
      <c r="E327" t="s">
        <v>140</v>
      </c>
      <c r="F327" t="s">
        <v>415</v>
      </c>
      <c r="G327" t="s">
        <v>140</v>
      </c>
      <c r="H327" t="s">
        <v>141</v>
      </c>
      <c r="I327" s="6" t="s">
        <v>136</v>
      </c>
      <c r="J327" s="6">
        <v>0</v>
      </c>
      <c r="L327" s="15">
        <v>1</v>
      </c>
      <c r="M327" s="7">
        <v>46135</v>
      </c>
      <c r="N327" s="7">
        <v>46171</v>
      </c>
      <c r="O327" s="7">
        <v>46167</v>
      </c>
      <c r="P327" s="7">
        <v>46168</v>
      </c>
      <c r="S327" s="6" t="s">
        <v>140</v>
      </c>
      <c r="U327" s="6" t="s">
        <v>413</v>
      </c>
      <c r="V327" s="6" t="str">
        <f>TEXT(N327,"YY/MM")</f>
        <v>26/05</v>
      </c>
      <c r="W327">
        <v>1699</v>
      </c>
      <c r="AA327">
        <v>1053</v>
      </c>
      <c r="AC327">
        <v>1106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>$L327*AI327</f>
        <v>0</v>
      </c>
      <c r="BQ327" s="23">
        <f>$L327*AJ327</f>
        <v>0</v>
      </c>
      <c r="BR327" s="23">
        <f>$L327*AK327</f>
        <v>0</v>
      </c>
      <c r="BS327" s="23">
        <f>$L327*AL327</f>
        <v>0</v>
      </c>
      <c r="BT327" s="23">
        <f>$L327*AM327</f>
        <v>0</v>
      </c>
      <c r="BU327" s="23">
        <f>$L327*AN327</f>
        <v>0</v>
      </c>
      <c r="BV327" s="23">
        <f>$L327*AO327</f>
        <v>0</v>
      </c>
      <c r="BW327" s="23">
        <f>$L327*AP327</f>
        <v>0</v>
      </c>
      <c r="BX327" s="23">
        <f>$L327*AQ327</f>
        <v>0</v>
      </c>
      <c r="BY327" s="23">
        <f>$L327*AR327</f>
        <v>0</v>
      </c>
      <c r="BZ327" s="23">
        <f>$L327*AS327</f>
        <v>0</v>
      </c>
      <c r="CA327" s="23">
        <f>$L327*AT327</f>
        <v>0</v>
      </c>
      <c r="CB327" s="23">
        <f>$L327*AU327</f>
        <v>0</v>
      </c>
      <c r="CC327" s="23">
        <f>$L327*AV327</f>
        <v>0</v>
      </c>
      <c r="CD327" s="23">
        <f>$L327*AW327</f>
        <v>0</v>
      </c>
      <c r="CE327" s="23">
        <f>$L327*AX327</f>
        <v>0</v>
      </c>
      <c r="CF327" s="23">
        <f>$L327*AY327</f>
        <v>0</v>
      </c>
      <c r="CG327" s="23">
        <f>$L327*AZ327</f>
        <v>0</v>
      </c>
      <c r="CH327" s="23">
        <f>$L327*BA327</f>
        <v>0</v>
      </c>
      <c r="CI327" s="23">
        <f>$L327*BB327</f>
        <v>0</v>
      </c>
      <c r="CJ327" s="23">
        <f>$L327*BC327</f>
        <v>0</v>
      </c>
      <c r="CK327" s="23">
        <f>$L327*BD327</f>
        <v>0</v>
      </c>
      <c r="CL327" s="23">
        <f>$L327*BE327</f>
        <v>0</v>
      </c>
      <c r="CM327" s="23">
        <f>$L327*BF327</f>
        <v>0</v>
      </c>
      <c r="CN327" s="23">
        <f>$L327*BG327</f>
        <v>1</v>
      </c>
      <c r="CO327" s="23">
        <f>$L327*BH327</f>
        <v>1</v>
      </c>
      <c r="CP327" s="23">
        <f>$L327*BI327</f>
        <v>1</v>
      </c>
      <c r="CQ327" s="23">
        <f>$L327*BJ327</f>
        <v>1</v>
      </c>
      <c r="CR327" s="23">
        <f>$L327*BK327</f>
        <v>1</v>
      </c>
      <c r="CS327" s="23">
        <f>$L327*BL327</f>
        <v>1</v>
      </c>
      <c r="CT327" s="23">
        <f>$L327*BM327</f>
        <v>1</v>
      </c>
      <c r="CU327" s="23">
        <f>$L327*BN327</f>
        <v>1</v>
      </c>
      <c r="CV327" s="23">
        <f>$L327*BO327</f>
        <v>1</v>
      </c>
    </row>
    <row r="328" spans="1:100" ht="13.5" x14ac:dyDescent="0.15">
      <c r="A328" s="15">
        <v>221</v>
      </c>
      <c r="B328" s="28" t="s">
        <v>711</v>
      </c>
      <c r="C328" t="s">
        <v>414</v>
      </c>
      <c r="E328" t="s">
        <v>140</v>
      </c>
      <c r="F328" t="s">
        <v>415</v>
      </c>
      <c r="G328" t="s">
        <v>140</v>
      </c>
      <c r="H328" t="s">
        <v>141</v>
      </c>
      <c r="I328" s="6" t="s">
        <v>136</v>
      </c>
      <c r="J328" s="6">
        <v>0</v>
      </c>
      <c r="L328" s="15">
        <v>1</v>
      </c>
      <c r="M328" s="7">
        <v>46135</v>
      </c>
      <c r="N328" s="7">
        <v>46171</v>
      </c>
      <c r="O328" s="7">
        <v>46167</v>
      </c>
      <c r="P328" s="7">
        <v>46168</v>
      </c>
      <c r="S328" s="6" t="s">
        <v>140</v>
      </c>
      <c r="U328" s="6" t="s">
        <v>413</v>
      </c>
      <c r="V328" s="6" t="str">
        <f>TEXT(N328,"YY/MM")</f>
        <v>26/05</v>
      </c>
      <c r="W328">
        <v>1700</v>
      </c>
      <c r="AA328">
        <v>1054</v>
      </c>
      <c r="AC328">
        <v>1107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>$L328*AI328</f>
        <v>0</v>
      </c>
      <c r="BQ328" s="23">
        <f>$L328*AJ328</f>
        <v>0</v>
      </c>
      <c r="BR328" s="23">
        <f>$L328*AK328</f>
        <v>0</v>
      </c>
      <c r="BS328" s="23">
        <f>$L328*AL328</f>
        <v>0</v>
      </c>
      <c r="BT328" s="23">
        <f>$L328*AM328</f>
        <v>0</v>
      </c>
      <c r="BU328" s="23">
        <f>$L328*AN328</f>
        <v>0</v>
      </c>
      <c r="BV328" s="23">
        <f>$L328*AO328</f>
        <v>0</v>
      </c>
      <c r="BW328" s="23">
        <f>$L328*AP328</f>
        <v>0</v>
      </c>
      <c r="BX328" s="23">
        <f>$L328*AQ328</f>
        <v>0</v>
      </c>
      <c r="BY328" s="23">
        <f>$L328*AR328</f>
        <v>0</v>
      </c>
      <c r="BZ328" s="23">
        <f>$L328*AS328</f>
        <v>0</v>
      </c>
      <c r="CA328" s="23">
        <f>$L328*AT328</f>
        <v>0</v>
      </c>
      <c r="CB328" s="23">
        <f>$L328*AU328</f>
        <v>0</v>
      </c>
      <c r="CC328" s="23">
        <f>$L328*AV328</f>
        <v>0</v>
      </c>
      <c r="CD328" s="23">
        <f>$L328*AW328</f>
        <v>0</v>
      </c>
      <c r="CE328" s="23">
        <f>$L328*AX328</f>
        <v>0</v>
      </c>
      <c r="CF328" s="23">
        <f>$L328*AY328</f>
        <v>0</v>
      </c>
      <c r="CG328" s="23">
        <f>$L328*AZ328</f>
        <v>0</v>
      </c>
      <c r="CH328" s="23">
        <f>$L328*BA328</f>
        <v>0</v>
      </c>
      <c r="CI328" s="23">
        <f>$L328*BB328</f>
        <v>0</v>
      </c>
      <c r="CJ328" s="23">
        <f>$L328*BC328</f>
        <v>0</v>
      </c>
      <c r="CK328" s="23">
        <f>$L328*BD328</f>
        <v>0</v>
      </c>
      <c r="CL328" s="23">
        <f>$L328*BE328</f>
        <v>0</v>
      </c>
      <c r="CM328" s="23">
        <f>$L328*BF328</f>
        <v>0</v>
      </c>
      <c r="CN328" s="23">
        <f>$L328*BG328</f>
        <v>1</v>
      </c>
      <c r="CO328" s="23">
        <f>$L328*BH328</f>
        <v>1</v>
      </c>
      <c r="CP328" s="23">
        <f>$L328*BI328</f>
        <v>1</v>
      </c>
      <c r="CQ328" s="23">
        <f>$L328*BJ328</f>
        <v>1</v>
      </c>
      <c r="CR328" s="23">
        <f>$L328*BK328</f>
        <v>1</v>
      </c>
      <c r="CS328" s="23">
        <f>$L328*BL328</f>
        <v>1</v>
      </c>
      <c r="CT328" s="23">
        <f>$L328*BM328</f>
        <v>1</v>
      </c>
      <c r="CU328" s="23">
        <f>$L328*BN328</f>
        <v>1</v>
      </c>
      <c r="CV328" s="23">
        <f>$L328*BO328</f>
        <v>1</v>
      </c>
    </row>
    <row r="329" spans="1:100" ht="13.5" x14ac:dyDescent="0.15">
      <c r="A329" s="15">
        <v>221</v>
      </c>
      <c r="B329" s="28" t="s">
        <v>712</v>
      </c>
      <c r="C329" t="s">
        <v>414</v>
      </c>
      <c r="E329" t="s">
        <v>140</v>
      </c>
      <c r="F329" t="s">
        <v>415</v>
      </c>
      <c r="G329" t="s">
        <v>140</v>
      </c>
      <c r="H329" t="s">
        <v>141</v>
      </c>
      <c r="I329" s="6" t="s">
        <v>136</v>
      </c>
      <c r="J329" s="6">
        <v>0</v>
      </c>
      <c r="L329" s="15">
        <v>1</v>
      </c>
      <c r="M329" s="7">
        <v>46135</v>
      </c>
      <c r="N329" s="7">
        <v>46171</v>
      </c>
      <c r="O329" s="7">
        <v>46167</v>
      </c>
      <c r="P329" s="7">
        <v>46168</v>
      </c>
      <c r="S329" s="6" t="s">
        <v>140</v>
      </c>
      <c r="U329" s="6" t="s">
        <v>413</v>
      </c>
      <c r="V329" s="6" t="str">
        <f>TEXT(N329,"YY/MM")</f>
        <v>26/05</v>
      </c>
      <c r="W329">
        <v>1701</v>
      </c>
      <c r="AA329">
        <v>1055</v>
      </c>
      <c r="AC329">
        <v>1108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>$L329*AI329</f>
        <v>0</v>
      </c>
      <c r="BQ329" s="23">
        <f>$L329*AJ329</f>
        <v>0</v>
      </c>
      <c r="BR329" s="23">
        <f>$L329*AK329</f>
        <v>0</v>
      </c>
      <c r="BS329" s="23">
        <f>$L329*AL329</f>
        <v>0</v>
      </c>
      <c r="BT329" s="23">
        <f>$L329*AM329</f>
        <v>0</v>
      </c>
      <c r="BU329" s="23">
        <f>$L329*AN329</f>
        <v>0</v>
      </c>
      <c r="BV329" s="23">
        <f>$L329*AO329</f>
        <v>0</v>
      </c>
      <c r="BW329" s="23">
        <f>$L329*AP329</f>
        <v>0</v>
      </c>
      <c r="BX329" s="23">
        <f>$L329*AQ329</f>
        <v>0</v>
      </c>
      <c r="BY329" s="23">
        <f>$L329*AR329</f>
        <v>0</v>
      </c>
      <c r="BZ329" s="23">
        <f>$L329*AS329</f>
        <v>0</v>
      </c>
      <c r="CA329" s="23">
        <f>$L329*AT329</f>
        <v>0</v>
      </c>
      <c r="CB329" s="23">
        <f>$L329*AU329</f>
        <v>0</v>
      </c>
      <c r="CC329" s="23">
        <f>$L329*AV329</f>
        <v>0</v>
      </c>
      <c r="CD329" s="23">
        <f>$L329*AW329</f>
        <v>0</v>
      </c>
      <c r="CE329" s="23">
        <f>$L329*AX329</f>
        <v>0</v>
      </c>
      <c r="CF329" s="23">
        <f>$L329*AY329</f>
        <v>0</v>
      </c>
      <c r="CG329" s="23">
        <f>$L329*AZ329</f>
        <v>0</v>
      </c>
      <c r="CH329" s="23">
        <f>$L329*BA329</f>
        <v>0</v>
      </c>
      <c r="CI329" s="23">
        <f>$L329*BB329</f>
        <v>0</v>
      </c>
      <c r="CJ329" s="23">
        <f>$L329*BC329</f>
        <v>0</v>
      </c>
      <c r="CK329" s="23">
        <f>$L329*BD329</f>
        <v>0</v>
      </c>
      <c r="CL329" s="23">
        <f>$L329*BE329</f>
        <v>0</v>
      </c>
      <c r="CM329" s="23">
        <f>$L329*BF329</f>
        <v>0</v>
      </c>
      <c r="CN329" s="23">
        <f>$L329*BG329</f>
        <v>1</v>
      </c>
      <c r="CO329" s="23">
        <f>$L329*BH329</f>
        <v>1</v>
      </c>
      <c r="CP329" s="23">
        <f>$L329*BI329</f>
        <v>1</v>
      </c>
      <c r="CQ329" s="23">
        <f>$L329*BJ329</f>
        <v>1</v>
      </c>
      <c r="CR329" s="23">
        <f>$L329*BK329</f>
        <v>1</v>
      </c>
      <c r="CS329" s="23">
        <f>$L329*BL329</f>
        <v>1</v>
      </c>
      <c r="CT329" s="23">
        <f>$L329*BM329</f>
        <v>1</v>
      </c>
      <c r="CU329" s="23">
        <f>$L329*BN329</f>
        <v>1</v>
      </c>
      <c r="CV329" s="23">
        <f>$L329*BO329</f>
        <v>1</v>
      </c>
    </row>
    <row r="330" spans="1:100" ht="13.5" x14ac:dyDescent="0.15">
      <c r="A330" s="15">
        <v>221</v>
      </c>
      <c r="B330" s="28" t="s">
        <v>713</v>
      </c>
      <c r="C330" t="s">
        <v>414</v>
      </c>
      <c r="E330" t="s">
        <v>140</v>
      </c>
      <c r="F330" t="s">
        <v>415</v>
      </c>
      <c r="G330" t="s">
        <v>140</v>
      </c>
      <c r="H330" t="s">
        <v>141</v>
      </c>
      <c r="I330" s="6" t="s">
        <v>136</v>
      </c>
      <c r="J330" s="6">
        <v>0</v>
      </c>
      <c r="L330" s="15">
        <v>1</v>
      </c>
      <c r="M330" s="7">
        <v>46135</v>
      </c>
      <c r="N330" s="7">
        <v>46171</v>
      </c>
      <c r="O330" s="7">
        <v>46167</v>
      </c>
      <c r="P330" s="7">
        <v>46168</v>
      </c>
      <c r="S330" s="6" t="s">
        <v>140</v>
      </c>
      <c r="U330" s="6" t="s">
        <v>413</v>
      </c>
      <c r="V330" s="6" t="str">
        <f>TEXT(N330,"YY/MM")</f>
        <v>26/05</v>
      </c>
      <c r="W330">
        <v>1702</v>
      </c>
      <c r="AA330">
        <v>1056</v>
      </c>
      <c r="AC330">
        <v>1109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>$L330*AI330</f>
        <v>0</v>
      </c>
      <c r="BQ330" s="23">
        <f>$L330*AJ330</f>
        <v>0</v>
      </c>
      <c r="BR330" s="23">
        <f>$L330*AK330</f>
        <v>0</v>
      </c>
      <c r="BS330" s="23">
        <f>$L330*AL330</f>
        <v>0</v>
      </c>
      <c r="BT330" s="23">
        <f>$L330*AM330</f>
        <v>0</v>
      </c>
      <c r="BU330" s="23">
        <f>$L330*AN330</f>
        <v>0</v>
      </c>
      <c r="BV330" s="23">
        <f>$L330*AO330</f>
        <v>0</v>
      </c>
      <c r="BW330" s="23">
        <f>$L330*AP330</f>
        <v>0</v>
      </c>
      <c r="BX330" s="23">
        <f>$L330*AQ330</f>
        <v>0</v>
      </c>
      <c r="BY330" s="23">
        <f>$L330*AR330</f>
        <v>0</v>
      </c>
      <c r="BZ330" s="23">
        <f>$L330*AS330</f>
        <v>0</v>
      </c>
      <c r="CA330" s="23">
        <f>$L330*AT330</f>
        <v>0</v>
      </c>
      <c r="CB330" s="23">
        <f>$L330*AU330</f>
        <v>0</v>
      </c>
      <c r="CC330" s="23">
        <f>$L330*AV330</f>
        <v>0</v>
      </c>
      <c r="CD330" s="23">
        <f>$L330*AW330</f>
        <v>0</v>
      </c>
      <c r="CE330" s="23">
        <f>$L330*AX330</f>
        <v>0</v>
      </c>
      <c r="CF330" s="23">
        <f>$L330*AY330</f>
        <v>0</v>
      </c>
      <c r="CG330" s="23">
        <f>$L330*AZ330</f>
        <v>0</v>
      </c>
      <c r="CH330" s="23">
        <f>$L330*BA330</f>
        <v>0</v>
      </c>
      <c r="CI330" s="23">
        <f>$L330*BB330</f>
        <v>0</v>
      </c>
      <c r="CJ330" s="23">
        <f>$L330*BC330</f>
        <v>0</v>
      </c>
      <c r="CK330" s="23">
        <f>$L330*BD330</f>
        <v>0</v>
      </c>
      <c r="CL330" s="23">
        <f>$L330*BE330</f>
        <v>0</v>
      </c>
      <c r="CM330" s="23">
        <f>$L330*BF330</f>
        <v>0</v>
      </c>
      <c r="CN330" s="23">
        <f>$L330*BG330</f>
        <v>1</v>
      </c>
      <c r="CO330" s="23">
        <f>$L330*BH330</f>
        <v>1</v>
      </c>
      <c r="CP330" s="23">
        <f>$L330*BI330</f>
        <v>1</v>
      </c>
      <c r="CQ330" s="23">
        <f>$L330*BJ330</f>
        <v>1</v>
      </c>
      <c r="CR330" s="23">
        <f>$L330*BK330</f>
        <v>1</v>
      </c>
      <c r="CS330" s="23">
        <f>$L330*BL330</f>
        <v>1</v>
      </c>
      <c r="CT330" s="23">
        <f>$L330*BM330</f>
        <v>1</v>
      </c>
      <c r="CU330" s="23">
        <f>$L330*BN330</f>
        <v>1</v>
      </c>
      <c r="CV330" s="23">
        <f>$L330*BO330</f>
        <v>1</v>
      </c>
    </row>
    <row r="331" spans="1:100" ht="13.5" x14ac:dyDescent="0.15">
      <c r="A331" s="15">
        <v>221</v>
      </c>
      <c r="B331" s="28" t="s">
        <v>714</v>
      </c>
      <c r="C331" t="s">
        <v>414</v>
      </c>
      <c r="E331" t="s">
        <v>140</v>
      </c>
      <c r="F331" t="s">
        <v>415</v>
      </c>
      <c r="G331" t="s">
        <v>140</v>
      </c>
      <c r="H331" t="s">
        <v>141</v>
      </c>
      <c r="I331" s="6" t="s">
        <v>136</v>
      </c>
      <c r="J331" s="6">
        <v>0</v>
      </c>
      <c r="L331" s="15">
        <v>1</v>
      </c>
      <c r="M331" s="7">
        <v>46135</v>
      </c>
      <c r="N331" s="7">
        <v>46171</v>
      </c>
      <c r="O331" s="7">
        <v>46167</v>
      </c>
      <c r="P331" s="7">
        <v>46168</v>
      </c>
      <c r="S331" s="6" t="s">
        <v>140</v>
      </c>
      <c r="U331" s="6" t="s">
        <v>413</v>
      </c>
      <c r="V331" s="6" t="str">
        <f>TEXT(N331,"YY/MM")</f>
        <v>26/05</v>
      </c>
      <c r="W331">
        <v>1703</v>
      </c>
      <c r="AA331">
        <v>1057</v>
      </c>
      <c r="AC331">
        <v>1110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>$L331*AI331</f>
        <v>0</v>
      </c>
      <c r="BQ331" s="23">
        <f>$L331*AJ331</f>
        <v>0</v>
      </c>
      <c r="BR331" s="23">
        <f>$L331*AK331</f>
        <v>0</v>
      </c>
      <c r="BS331" s="23">
        <f>$L331*AL331</f>
        <v>0</v>
      </c>
      <c r="BT331" s="23">
        <f>$L331*AM331</f>
        <v>0</v>
      </c>
      <c r="BU331" s="23">
        <f>$L331*AN331</f>
        <v>0</v>
      </c>
      <c r="BV331" s="23">
        <f>$L331*AO331</f>
        <v>0</v>
      </c>
      <c r="BW331" s="23">
        <f>$L331*AP331</f>
        <v>0</v>
      </c>
      <c r="BX331" s="23">
        <f>$L331*AQ331</f>
        <v>0</v>
      </c>
      <c r="BY331" s="23">
        <f>$L331*AR331</f>
        <v>0</v>
      </c>
      <c r="BZ331" s="23">
        <f>$L331*AS331</f>
        <v>0</v>
      </c>
      <c r="CA331" s="23">
        <f>$L331*AT331</f>
        <v>0</v>
      </c>
      <c r="CB331" s="23">
        <f>$L331*AU331</f>
        <v>0</v>
      </c>
      <c r="CC331" s="23">
        <f>$L331*AV331</f>
        <v>0</v>
      </c>
      <c r="CD331" s="23">
        <f>$L331*AW331</f>
        <v>0</v>
      </c>
      <c r="CE331" s="23">
        <f>$L331*AX331</f>
        <v>0</v>
      </c>
      <c r="CF331" s="23">
        <f>$L331*AY331</f>
        <v>0</v>
      </c>
      <c r="CG331" s="23">
        <f>$L331*AZ331</f>
        <v>0</v>
      </c>
      <c r="CH331" s="23">
        <f>$L331*BA331</f>
        <v>0</v>
      </c>
      <c r="CI331" s="23">
        <f>$L331*BB331</f>
        <v>0</v>
      </c>
      <c r="CJ331" s="23">
        <f>$L331*BC331</f>
        <v>0</v>
      </c>
      <c r="CK331" s="23">
        <f>$L331*BD331</f>
        <v>0</v>
      </c>
      <c r="CL331" s="23">
        <f>$L331*BE331</f>
        <v>0</v>
      </c>
      <c r="CM331" s="23">
        <f>$L331*BF331</f>
        <v>0</v>
      </c>
      <c r="CN331" s="23">
        <f>$L331*BG331</f>
        <v>1</v>
      </c>
      <c r="CO331" s="23">
        <f>$L331*BH331</f>
        <v>1</v>
      </c>
      <c r="CP331" s="23">
        <f>$L331*BI331</f>
        <v>1</v>
      </c>
      <c r="CQ331" s="23">
        <f>$L331*BJ331</f>
        <v>1</v>
      </c>
      <c r="CR331" s="23">
        <f>$L331*BK331</f>
        <v>1</v>
      </c>
      <c r="CS331" s="23">
        <f>$L331*BL331</f>
        <v>1</v>
      </c>
      <c r="CT331" s="23">
        <f>$L331*BM331</f>
        <v>1</v>
      </c>
      <c r="CU331" s="23">
        <f>$L331*BN331</f>
        <v>1</v>
      </c>
      <c r="CV331" s="23">
        <f>$L331*BO331</f>
        <v>1</v>
      </c>
    </row>
    <row r="332" spans="1:100" ht="13.5" x14ac:dyDescent="0.15">
      <c r="A332" s="15">
        <v>221</v>
      </c>
      <c r="B332" s="28" t="s">
        <v>715</v>
      </c>
      <c r="C332" t="s">
        <v>414</v>
      </c>
      <c r="E332" t="s">
        <v>140</v>
      </c>
      <c r="F332" t="s">
        <v>415</v>
      </c>
      <c r="G332" t="s">
        <v>140</v>
      </c>
      <c r="H332" t="s">
        <v>141</v>
      </c>
      <c r="I332" s="6" t="s">
        <v>136</v>
      </c>
      <c r="J332" s="6">
        <v>0</v>
      </c>
      <c r="L332" s="15">
        <v>1</v>
      </c>
      <c r="M332" s="7">
        <v>46135</v>
      </c>
      <c r="N332" s="7">
        <v>46174</v>
      </c>
      <c r="O332" s="7">
        <v>46167</v>
      </c>
      <c r="P332" s="7">
        <v>46168</v>
      </c>
      <c r="S332" s="6" t="s">
        <v>140</v>
      </c>
      <c r="U332" s="6" t="s">
        <v>413</v>
      </c>
      <c r="V332" s="6" t="str">
        <f>TEXT(N332,"YY/MM")</f>
        <v>26/06</v>
      </c>
      <c r="W332">
        <v>1704</v>
      </c>
      <c r="AA332">
        <v>1058</v>
      </c>
      <c r="AC332">
        <v>1111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>$L332*AI332</f>
        <v>0</v>
      </c>
      <c r="BQ332" s="23">
        <f>$L332*AJ332</f>
        <v>0</v>
      </c>
      <c r="BR332" s="23">
        <f>$L332*AK332</f>
        <v>0</v>
      </c>
      <c r="BS332" s="23">
        <f>$L332*AL332</f>
        <v>0</v>
      </c>
      <c r="BT332" s="23">
        <f>$L332*AM332</f>
        <v>0</v>
      </c>
      <c r="BU332" s="23">
        <f>$L332*AN332</f>
        <v>0</v>
      </c>
      <c r="BV332" s="23">
        <f>$L332*AO332</f>
        <v>0</v>
      </c>
      <c r="BW332" s="23">
        <f>$L332*AP332</f>
        <v>0</v>
      </c>
      <c r="BX332" s="23">
        <f>$L332*AQ332</f>
        <v>0</v>
      </c>
      <c r="BY332" s="23">
        <f>$L332*AR332</f>
        <v>0</v>
      </c>
      <c r="BZ332" s="23">
        <f>$L332*AS332</f>
        <v>0</v>
      </c>
      <c r="CA332" s="23">
        <f>$L332*AT332</f>
        <v>0</v>
      </c>
      <c r="CB332" s="23">
        <f>$L332*AU332</f>
        <v>0</v>
      </c>
      <c r="CC332" s="23">
        <f>$L332*AV332</f>
        <v>0</v>
      </c>
      <c r="CD332" s="23">
        <f>$L332*AW332</f>
        <v>0</v>
      </c>
      <c r="CE332" s="23">
        <f>$L332*AX332</f>
        <v>0</v>
      </c>
      <c r="CF332" s="23">
        <f>$L332*AY332</f>
        <v>0</v>
      </c>
      <c r="CG332" s="23">
        <f>$L332*AZ332</f>
        <v>0</v>
      </c>
      <c r="CH332" s="23">
        <f>$L332*BA332</f>
        <v>0</v>
      </c>
      <c r="CI332" s="23">
        <f>$L332*BB332</f>
        <v>0</v>
      </c>
      <c r="CJ332" s="23">
        <f>$L332*BC332</f>
        <v>0</v>
      </c>
      <c r="CK332" s="23">
        <f>$L332*BD332</f>
        <v>0</v>
      </c>
      <c r="CL332" s="23">
        <f>$L332*BE332</f>
        <v>0</v>
      </c>
      <c r="CM332" s="23">
        <f>$L332*BF332</f>
        <v>0</v>
      </c>
      <c r="CN332" s="23">
        <f>$L332*BG332</f>
        <v>1</v>
      </c>
      <c r="CO332" s="23">
        <f>$L332*BH332</f>
        <v>1</v>
      </c>
      <c r="CP332" s="23">
        <f>$L332*BI332</f>
        <v>1</v>
      </c>
      <c r="CQ332" s="23">
        <f>$L332*BJ332</f>
        <v>1</v>
      </c>
      <c r="CR332" s="23">
        <f>$L332*BK332</f>
        <v>1</v>
      </c>
      <c r="CS332" s="23">
        <f>$L332*BL332</f>
        <v>1</v>
      </c>
      <c r="CT332" s="23">
        <f>$L332*BM332</f>
        <v>1</v>
      </c>
      <c r="CU332" s="23">
        <f>$L332*BN332</f>
        <v>1</v>
      </c>
      <c r="CV332" s="23">
        <f>$L332*BO332</f>
        <v>1</v>
      </c>
    </row>
    <row r="333" spans="1:100" ht="13.5" x14ac:dyDescent="0.15">
      <c r="A333" s="15">
        <v>221</v>
      </c>
      <c r="B333" s="28" t="s">
        <v>716</v>
      </c>
      <c r="C333" t="s">
        <v>414</v>
      </c>
      <c r="E333" t="s">
        <v>140</v>
      </c>
      <c r="F333" t="s">
        <v>415</v>
      </c>
      <c r="G333" t="s">
        <v>140</v>
      </c>
      <c r="H333" t="s">
        <v>141</v>
      </c>
      <c r="I333" s="6" t="s">
        <v>136</v>
      </c>
      <c r="J333" s="6">
        <v>0</v>
      </c>
      <c r="L333" s="15">
        <v>1</v>
      </c>
      <c r="M333" s="7">
        <v>46135</v>
      </c>
      <c r="N333" s="7">
        <v>46174</v>
      </c>
      <c r="O333" s="7">
        <v>46167</v>
      </c>
      <c r="P333" s="7">
        <v>46168</v>
      </c>
      <c r="S333" s="6" t="s">
        <v>140</v>
      </c>
      <c r="U333" s="6" t="s">
        <v>413</v>
      </c>
      <c r="V333" s="6" t="str">
        <f>TEXT(N333,"YY/MM")</f>
        <v>26/06</v>
      </c>
      <c r="W333">
        <v>1705</v>
      </c>
      <c r="AA333">
        <v>1059</v>
      </c>
      <c r="AC333">
        <v>1112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>$L333*AI333</f>
        <v>0</v>
      </c>
      <c r="BQ333" s="23">
        <f>$L333*AJ333</f>
        <v>0</v>
      </c>
      <c r="BR333" s="23">
        <f>$L333*AK333</f>
        <v>0</v>
      </c>
      <c r="BS333" s="23">
        <f>$L333*AL333</f>
        <v>0</v>
      </c>
      <c r="BT333" s="23">
        <f>$L333*AM333</f>
        <v>0</v>
      </c>
      <c r="BU333" s="23">
        <f>$L333*AN333</f>
        <v>0</v>
      </c>
      <c r="BV333" s="23">
        <f>$L333*AO333</f>
        <v>0</v>
      </c>
      <c r="BW333" s="23">
        <f>$L333*AP333</f>
        <v>0</v>
      </c>
      <c r="BX333" s="23">
        <f>$L333*AQ333</f>
        <v>0</v>
      </c>
      <c r="BY333" s="23">
        <f>$L333*AR333</f>
        <v>0</v>
      </c>
      <c r="BZ333" s="23">
        <f>$L333*AS333</f>
        <v>0</v>
      </c>
      <c r="CA333" s="23">
        <f>$L333*AT333</f>
        <v>0</v>
      </c>
      <c r="CB333" s="23">
        <f>$L333*AU333</f>
        <v>0</v>
      </c>
      <c r="CC333" s="23">
        <f>$L333*AV333</f>
        <v>0</v>
      </c>
      <c r="CD333" s="23">
        <f>$L333*AW333</f>
        <v>0</v>
      </c>
      <c r="CE333" s="23">
        <f>$L333*AX333</f>
        <v>0</v>
      </c>
      <c r="CF333" s="23">
        <f>$L333*AY333</f>
        <v>0</v>
      </c>
      <c r="CG333" s="23">
        <f>$L333*AZ333</f>
        <v>0</v>
      </c>
      <c r="CH333" s="23">
        <f>$L333*BA333</f>
        <v>0</v>
      </c>
      <c r="CI333" s="23">
        <f>$L333*BB333</f>
        <v>0</v>
      </c>
      <c r="CJ333" s="23">
        <f>$L333*BC333</f>
        <v>0</v>
      </c>
      <c r="CK333" s="23">
        <f>$L333*BD333</f>
        <v>0</v>
      </c>
      <c r="CL333" s="23">
        <f>$L333*BE333</f>
        <v>0</v>
      </c>
      <c r="CM333" s="23">
        <f>$L333*BF333</f>
        <v>0</v>
      </c>
      <c r="CN333" s="23">
        <f>$L333*BG333</f>
        <v>1</v>
      </c>
      <c r="CO333" s="23">
        <f>$L333*BH333</f>
        <v>1</v>
      </c>
      <c r="CP333" s="23">
        <f>$L333*BI333</f>
        <v>1</v>
      </c>
      <c r="CQ333" s="23">
        <f>$L333*BJ333</f>
        <v>1</v>
      </c>
      <c r="CR333" s="23">
        <f>$L333*BK333</f>
        <v>1</v>
      </c>
      <c r="CS333" s="23">
        <f>$L333*BL333</f>
        <v>1</v>
      </c>
      <c r="CT333" s="23">
        <f>$L333*BM333</f>
        <v>1</v>
      </c>
      <c r="CU333" s="23">
        <f>$L333*BN333</f>
        <v>1</v>
      </c>
      <c r="CV333" s="23">
        <f>$L333*BO333</f>
        <v>1</v>
      </c>
    </row>
    <row r="334" spans="1:100" ht="13.5" x14ac:dyDescent="0.15">
      <c r="A334" s="15">
        <v>221</v>
      </c>
      <c r="B334" s="28" t="s">
        <v>717</v>
      </c>
      <c r="C334" t="s">
        <v>414</v>
      </c>
      <c r="E334" t="s">
        <v>140</v>
      </c>
      <c r="F334" t="s">
        <v>415</v>
      </c>
      <c r="G334" t="s">
        <v>140</v>
      </c>
      <c r="H334" t="s">
        <v>141</v>
      </c>
      <c r="I334" s="6" t="s">
        <v>136</v>
      </c>
      <c r="J334" s="6">
        <v>0</v>
      </c>
      <c r="L334" s="15">
        <v>1</v>
      </c>
      <c r="M334" s="7">
        <v>46135</v>
      </c>
      <c r="N334" s="7">
        <v>46174</v>
      </c>
      <c r="O334" s="7">
        <v>46167</v>
      </c>
      <c r="P334" s="7">
        <v>46168</v>
      </c>
      <c r="S334" s="6" t="s">
        <v>140</v>
      </c>
      <c r="U334" s="6" t="s">
        <v>413</v>
      </c>
      <c r="V334" s="6" t="str">
        <f>TEXT(N334,"YY/MM")</f>
        <v>26/06</v>
      </c>
      <c r="W334">
        <v>1706</v>
      </c>
      <c r="AA334">
        <v>1060</v>
      </c>
      <c r="AC334">
        <v>1113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>$L334*AI334</f>
        <v>0</v>
      </c>
      <c r="BQ334" s="23">
        <f>$L334*AJ334</f>
        <v>0</v>
      </c>
      <c r="BR334" s="23">
        <f>$L334*AK334</f>
        <v>0</v>
      </c>
      <c r="BS334" s="23">
        <f>$L334*AL334</f>
        <v>0</v>
      </c>
      <c r="BT334" s="23">
        <f>$L334*AM334</f>
        <v>0</v>
      </c>
      <c r="BU334" s="23">
        <f>$L334*AN334</f>
        <v>0</v>
      </c>
      <c r="BV334" s="23">
        <f>$L334*AO334</f>
        <v>0</v>
      </c>
      <c r="BW334" s="23">
        <f>$L334*AP334</f>
        <v>0</v>
      </c>
      <c r="BX334" s="23">
        <f>$L334*AQ334</f>
        <v>0</v>
      </c>
      <c r="BY334" s="23">
        <f>$L334*AR334</f>
        <v>0</v>
      </c>
      <c r="BZ334" s="23">
        <f>$L334*AS334</f>
        <v>0</v>
      </c>
      <c r="CA334" s="23">
        <f>$L334*AT334</f>
        <v>0</v>
      </c>
      <c r="CB334" s="23">
        <f>$L334*AU334</f>
        <v>0</v>
      </c>
      <c r="CC334" s="23">
        <f>$L334*AV334</f>
        <v>0</v>
      </c>
      <c r="CD334" s="23">
        <f>$L334*AW334</f>
        <v>0</v>
      </c>
      <c r="CE334" s="23">
        <f>$L334*AX334</f>
        <v>0</v>
      </c>
      <c r="CF334" s="23">
        <f>$L334*AY334</f>
        <v>0</v>
      </c>
      <c r="CG334" s="23">
        <f>$L334*AZ334</f>
        <v>0</v>
      </c>
      <c r="CH334" s="23">
        <f>$L334*BA334</f>
        <v>0</v>
      </c>
      <c r="CI334" s="23">
        <f>$L334*BB334</f>
        <v>0</v>
      </c>
      <c r="CJ334" s="23">
        <f>$L334*BC334</f>
        <v>0</v>
      </c>
      <c r="CK334" s="23">
        <f>$L334*BD334</f>
        <v>0</v>
      </c>
      <c r="CL334" s="23">
        <f>$L334*BE334</f>
        <v>0</v>
      </c>
      <c r="CM334" s="23">
        <f>$L334*BF334</f>
        <v>0</v>
      </c>
      <c r="CN334" s="23">
        <f>$L334*BG334</f>
        <v>1</v>
      </c>
      <c r="CO334" s="23">
        <f>$L334*BH334</f>
        <v>1</v>
      </c>
      <c r="CP334" s="23">
        <f>$L334*BI334</f>
        <v>1</v>
      </c>
      <c r="CQ334" s="23">
        <f>$L334*BJ334</f>
        <v>1</v>
      </c>
      <c r="CR334" s="23">
        <f>$L334*BK334</f>
        <v>1</v>
      </c>
      <c r="CS334" s="23">
        <f>$L334*BL334</f>
        <v>1</v>
      </c>
      <c r="CT334" s="23">
        <f>$L334*BM334</f>
        <v>1</v>
      </c>
      <c r="CU334" s="23">
        <f>$L334*BN334</f>
        <v>1</v>
      </c>
      <c r="CV334" s="23">
        <f>$L334*BO334</f>
        <v>1</v>
      </c>
    </row>
    <row r="335" spans="1:100" ht="13.5" x14ac:dyDescent="0.15">
      <c r="A335" s="15">
        <v>221</v>
      </c>
      <c r="B335" s="28" t="s">
        <v>718</v>
      </c>
      <c r="C335" t="s">
        <v>414</v>
      </c>
      <c r="E335" t="s">
        <v>140</v>
      </c>
      <c r="F335" t="s">
        <v>415</v>
      </c>
      <c r="G335" t="s">
        <v>140</v>
      </c>
      <c r="H335" t="s">
        <v>141</v>
      </c>
      <c r="I335" s="6" t="s">
        <v>136</v>
      </c>
      <c r="J335" s="6">
        <v>0</v>
      </c>
      <c r="L335" s="15">
        <v>1</v>
      </c>
      <c r="M335" s="7">
        <v>46135</v>
      </c>
      <c r="N335" s="7">
        <v>46174</v>
      </c>
      <c r="O335" s="7">
        <v>46167</v>
      </c>
      <c r="P335" s="7">
        <v>46168</v>
      </c>
      <c r="S335" s="6" t="s">
        <v>140</v>
      </c>
      <c r="U335" s="6" t="s">
        <v>413</v>
      </c>
      <c r="V335" s="6" t="str">
        <f>TEXT(N335,"YY/MM")</f>
        <v>26/06</v>
      </c>
      <c r="W335">
        <v>1707</v>
      </c>
      <c r="AA335">
        <v>1061</v>
      </c>
      <c r="AC335">
        <v>1114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>$L335*AI335</f>
        <v>0</v>
      </c>
      <c r="BQ335" s="23">
        <f>$L335*AJ335</f>
        <v>0</v>
      </c>
      <c r="BR335" s="23">
        <f>$L335*AK335</f>
        <v>0</v>
      </c>
      <c r="BS335" s="23">
        <f>$L335*AL335</f>
        <v>0</v>
      </c>
      <c r="BT335" s="23">
        <f>$L335*AM335</f>
        <v>0</v>
      </c>
      <c r="BU335" s="23">
        <f>$L335*AN335</f>
        <v>0</v>
      </c>
      <c r="BV335" s="23">
        <f>$L335*AO335</f>
        <v>0</v>
      </c>
      <c r="BW335" s="23">
        <f>$L335*AP335</f>
        <v>0</v>
      </c>
      <c r="BX335" s="23">
        <f>$L335*AQ335</f>
        <v>0</v>
      </c>
      <c r="BY335" s="23">
        <f>$L335*AR335</f>
        <v>0</v>
      </c>
      <c r="BZ335" s="23">
        <f>$L335*AS335</f>
        <v>0</v>
      </c>
      <c r="CA335" s="23">
        <f>$L335*AT335</f>
        <v>0</v>
      </c>
      <c r="CB335" s="23">
        <f>$L335*AU335</f>
        <v>0</v>
      </c>
      <c r="CC335" s="23">
        <f>$L335*AV335</f>
        <v>0</v>
      </c>
      <c r="CD335" s="23">
        <f>$L335*AW335</f>
        <v>0</v>
      </c>
      <c r="CE335" s="23">
        <f>$L335*AX335</f>
        <v>0</v>
      </c>
      <c r="CF335" s="23">
        <f>$L335*AY335</f>
        <v>0</v>
      </c>
      <c r="CG335" s="23">
        <f>$L335*AZ335</f>
        <v>0</v>
      </c>
      <c r="CH335" s="23">
        <f>$L335*BA335</f>
        <v>0</v>
      </c>
      <c r="CI335" s="23">
        <f>$L335*BB335</f>
        <v>0</v>
      </c>
      <c r="CJ335" s="23">
        <f>$L335*BC335</f>
        <v>0</v>
      </c>
      <c r="CK335" s="23">
        <f>$L335*BD335</f>
        <v>0</v>
      </c>
      <c r="CL335" s="23">
        <f>$L335*BE335</f>
        <v>0</v>
      </c>
      <c r="CM335" s="23">
        <f>$L335*BF335</f>
        <v>0</v>
      </c>
      <c r="CN335" s="23">
        <f>$L335*BG335</f>
        <v>1</v>
      </c>
      <c r="CO335" s="23">
        <f>$L335*BH335</f>
        <v>1</v>
      </c>
      <c r="CP335" s="23">
        <f>$L335*BI335</f>
        <v>1</v>
      </c>
      <c r="CQ335" s="23">
        <f>$L335*BJ335</f>
        <v>1</v>
      </c>
      <c r="CR335" s="23">
        <f>$L335*BK335</f>
        <v>1</v>
      </c>
      <c r="CS335" s="23">
        <f>$L335*BL335</f>
        <v>1</v>
      </c>
      <c r="CT335" s="23">
        <f>$L335*BM335</f>
        <v>1</v>
      </c>
      <c r="CU335" s="23">
        <f>$L335*BN335</f>
        <v>1</v>
      </c>
      <c r="CV335" s="23">
        <f>$L335*BO335</f>
        <v>1</v>
      </c>
    </row>
    <row r="336" spans="1:100" ht="13.5" x14ac:dyDescent="0.15">
      <c r="A336" s="15">
        <v>221</v>
      </c>
      <c r="B336" s="28" t="s">
        <v>719</v>
      </c>
      <c r="C336" t="s">
        <v>414</v>
      </c>
      <c r="E336" t="s">
        <v>140</v>
      </c>
      <c r="F336" t="s">
        <v>415</v>
      </c>
      <c r="G336" t="s">
        <v>140</v>
      </c>
      <c r="H336" t="s">
        <v>141</v>
      </c>
      <c r="I336" s="6" t="s">
        <v>136</v>
      </c>
      <c r="J336" s="6">
        <v>0</v>
      </c>
      <c r="L336" s="15">
        <v>1</v>
      </c>
      <c r="M336" s="7">
        <v>46135</v>
      </c>
      <c r="N336" s="7">
        <v>46174</v>
      </c>
      <c r="O336" s="7">
        <v>46167</v>
      </c>
      <c r="P336" s="7">
        <v>46168</v>
      </c>
      <c r="S336" s="6" t="s">
        <v>140</v>
      </c>
      <c r="U336" s="6" t="s">
        <v>413</v>
      </c>
      <c r="V336" s="6" t="str">
        <f>TEXT(N336,"YY/MM")</f>
        <v>26/06</v>
      </c>
      <c r="W336">
        <v>1708</v>
      </c>
      <c r="AA336">
        <v>1062</v>
      </c>
      <c r="AC336">
        <v>1115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>$L336*AI336</f>
        <v>0</v>
      </c>
      <c r="BQ336" s="23">
        <f>$L336*AJ336</f>
        <v>0</v>
      </c>
      <c r="BR336" s="23">
        <f>$L336*AK336</f>
        <v>0</v>
      </c>
      <c r="BS336" s="23">
        <f>$L336*AL336</f>
        <v>0</v>
      </c>
      <c r="BT336" s="23">
        <f>$L336*AM336</f>
        <v>0</v>
      </c>
      <c r="BU336" s="23">
        <f>$L336*AN336</f>
        <v>0</v>
      </c>
      <c r="BV336" s="23">
        <f>$L336*AO336</f>
        <v>0</v>
      </c>
      <c r="BW336" s="23">
        <f>$L336*AP336</f>
        <v>0</v>
      </c>
      <c r="BX336" s="23">
        <f>$L336*AQ336</f>
        <v>0</v>
      </c>
      <c r="BY336" s="23">
        <f>$L336*AR336</f>
        <v>0</v>
      </c>
      <c r="BZ336" s="23">
        <f>$L336*AS336</f>
        <v>0</v>
      </c>
      <c r="CA336" s="23">
        <f>$L336*AT336</f>
        <v>0</v>
      </c>
      <c r="CB336" s="23">
        <f>$L336*AU336</f>
        <v>0</v>
      </c>
      <c r="CC336" s="23">
        <f>$L336*AV336</f>
        <v>0</v>
      </c>
      <c r="CD336" s="23">
        <f>$L336*AW336</f>
        <v>0</v>
      </c>
      <c r="CE336" s="23">
        <f>$L336*AX336</f>
        <v>0</v>
      </c>
      <c r="CF336" s="23">
        <f>$L336*AY336</f>
        <v>0</v>
      </c>
      <c r="CG336" s="23">
        <f>$L336*AZ336</f>
        <v>0</v>
      </c>
      <c r="CH336" s="23">
        <f>$L336*BA336</f>
        <v>0</v>
      </c>
      <c r="CI336" s="23">
        <f>$L336*BB336</f>
        <v>0</v>
      </c>
      <c r="CJ336" s="23">
        <f>$L336*BC336</f>
        <v>0</v>
      </c>
      <c r="CK336" s="23">
        <f>$L336*BD336</f>
        <v>0</v>
      </c>
      <c r="CL336" s="23">
        <f>$L336*BE336</f>
        <v>0</v>
      </c>
      <c r="CM336" s="23">
        <f>$L336*BF336</f>
        <v>0</v>
      </c>
      <c r="CN336" s="23">
        <f>$L336*BG336</f>
        <v>1</v>
      </c>
      <c r="CO336" s="23">
        <f>$L336*BH336</f>
        <v>1</v>
      </c>
      <c r="CP336" s="23">
        <f>$L336*BI336</f>
        <v>1</v>
      </c>
      <c r="CQ336" s="23">
        <f>$L336*BJ336</f>
        <v>1</v>
      </c>
      <c r="CR336" s="23">
        <f>$L336*BK336</f>
        <v>1</v>
      </c>
      <c r="CS336" s="23">
        <f>$L336*BL336</f>
        <v>1</v>
      </c>
      <c r="CT336" s="23">
        <f>$L336*BM336</f>
        <v>1</v>
      </c>
      <c r="CU336" s="23">
        <f>$L336*BN336</f>
        <v>1</v>
      </c>
      <c r="CV336" s="23">
        <f>$L336*BO336</f>
        <v>1</v>
      </c>
    </row>
    <row r="337" spans="1:100" ht="13.5" x14ac:dyDescent="0.15">
      <c r="A337" s="15">
        <v>221</v>
      </c>
      <c r="B337" s="28" t="s">
        <v>720</v>
      </c>
      <c r="C337" t="s">
        <v>414</v>
      </c>
      <c r="E337" t="s">
        <v>140</v>
      </c>
      <c r="F337" t="s">
        <v>415</v>
      </c>
      <c r="G337" t="s">
        <v>140</v>
      </c>
      <c r="H337" t="s">
        <v>141</v>
      </c>
      <c r="I337" s="6" t="s">
        <v>136</v>
      </c>
      <c r="J337" s="6">
        <v>0</v>
      </c>
      <c r="L337" s="15">
        <v>1</v>
      </c>
      <c r="M337" s="7">
        <v>46135</v>
      </c>
      <c r="N337" s="7">
        <v>46175</v>
      </c>
      <c r="O337" s="7">
        <v>46167</v>
      </c>
      <c r="P337" s="7">
        <v>46168</v>
      </c>
      <c r="S337" s="6" t="s">
        <v>140</v>
      </c>
      <c r="U337" s="6" t="s">
        <v>413</v>
      </c>
      <c r="V337" s="6" t="str">
        <f>TEXT(N337,"YY/MM")</f>
        <v>26/06</v>
      </c>
      <c r="W337">
        <v>1709</v>
      </c>
      <c r="AA337">
        <v>1063</v>
      </c>
      <c r="AC337">
        <v>1116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>$L337*AI337</f>
        <v>0</v>
      </c>
      <c r="BQ337" s="23">
        <f>$L337*AJ337</f>
        <v>0</v>
      </c>
      <c r="BR337" s="23">
        <f>$L337*AK337</f>
        <v>0</v>
      </c>
      <c r="BS337" s="23">
        <f>$L337*AL337</f>
        <v>0</v>
      </c>
      <c r="BT337" s="23">
        <f>$L337*AM337</f>
        <v>0</v>
      </c>
      <c r="BU337" s="23">
        <f>$L337*AN337</f>
        <v>0</v>
      </c>
      <c r="BV337" s="23">
        <f>$L337*AO337</f>
        <v>0</v>
      </c>
      <c r="BW337" s="23">
        <f>$L337*AP337</f>
        <v>0</v>
      </c>
      <c r="BX337" s="23">
        <f>$L337*AQ337</f>
        <v>0</v>
      </c>
      <c r="BY337" s="23">
        <f>$L337*AR337</f>
        <v>0</v>
      </c>
      <c r="BZ337" s="23">
        <f>$L337*AS337</f>
        <v>0</v>
      </c>
      <c r="CA337" s="23">
        <f>$L337*AT337</f>
        <v>0</v>
      </c>
      <c r="CB337" s="23">
        <f>$L337*AU337</f>
        <v>0</v>
      </c>
      <c r="CC337" s="23">
        <f>$L337*AV337</f>
        <v>0</v>
      </c>
      <c r="CD337" s="23">
        <f>$L337*AW337</f>
        <v>0</v>
      </c>
      <c r="CE337" s="23">
        <f>$L337*AX337</f>
        <v>0</v>
      </c>
      <c r="CF337" s="23">
        <f>$L337*AY337</f>
        <v>0</v>
      </c>
      <c r="CG337" s="23">
        <f>$L337*AZ337</f>
        <v>0</v>
      </c>
      <c r="CH337" s="23">
        <f>$L337*BA337</f>
        <v>0</v>
      </c>
      <c r="CI337" s="23">
        <f>$L337*BB337</f>
        <v>0</v>
      </c>
      <c r="CJ337" s="23">
        <f>$L337*BC337</f>
        <v>0</v>
      </c>
      <c r="CK337" s="23">
        <f>$L337*BD337</f>
        <v>0</v>
      </c>
      <c r="CL337" s="23">
        <f>$L337*BE337</f>
        <v>0</v>
      </c>
      <c r="CM337" s="23">
        <f>$L337*BF337</f>
        <v>0</v>
      </c>
      <c r="CN337" s="23">
        <f>$L337*BG337</f>
        <v>1</v>
      </c>
      <c r="CO337" s="23">
        <f>$L337*BH337</f>
        <v>1</v>
      </c>
      <c r="CP337" s="23">
        <f>$L337*BI337</f>
        <v>1</v>
      </c>
      <c r="CQ337" s="23">
        <f>$L337*BJ337</f>
        <v>1</v>
      </c>
      <c r="CR337" s="23">
        <f>$L337*BK337</f>
        <v>1</v>
      </c>
      <c r="CS337" s="23">
        <f>$L337*BL337</f>
        <v>1</v>
      </c>
      <c r="CT337" s="23">
        <f>$L337*BM337</f>
        <v>1</v>
      </c>
      <c r="CU337" s="23">
        <f>$L337*BN337</f>
        <v>1</v>
      </c>
      <c r="CV337" s="23">
        <f>$L337*BO337</f>
        <v>1</v>
      </c>
    </row>
    <row r="338" spans="1:100" ht="13.5" x14ac:dyDescent="0.15">
      <c r="A338" s="15">
        <v>221</v>
      </c>
      <c r="B338" s="28" t="s">
        <v>721</v>
      </c>
      <c r="C338" t="s">
        <v>414</v>
      </c>
      <c r="E338" t="s">
        <v>140</v>
      </c>
      <c r="F338" t="s">
        <v>415</v>
      </c>
      <c r="G338" t="s">
        <v>140</v>
      </c>
      <c r="H338" t="s">
        <v>141</v>
      </c>
      <c r="I338" s="6" t="s">
        <v>136</v>
      </c>
      <c r="J338" s="6">
        <v>0</v>
      </c>
      <c r="L338" s="15">
        <v>1</v>
      </c>
      <c r="M338" s="7">
        <v>46135</v>
      </c>
      <c r="N338" s="7">
        <v>46175</v>
      </c>
      <c r="O338" s="7">
        <v>46167</v>
      </c>
      <c r="P338" s="7">
        <v>46168</v>
      </c>
      <c r="S338" s="6" t="s">
        <v>140</v>
      </c>
      <c r="U338" s="6" t="s">
        <v>413</v>
      </c>
      <c r="V338" s="6" t="str">
        <f>TEXT(N338,"YY/MM")</f>
        <v>26/06</v>
      </c>
      <c r="W338">
        <v>1710</v>
      </c>
      <c r="AA338">
        <v>1064</v>
      </c>
      <c r="AC338">
        <v>1117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>$L338*AI338</f>
        <v>0</v>
      </c>
      <c r="BQ338" s="23">
        <f>$L338*AJ338</f>
        <v>0</v>
      </c>
      <c r="BR338" s="23">
        <f>$L338*AK338</f>
        <v>0</v>
      </c>
      <c r="BS338" s="23">
        <f>$L338*AL338</f>
        <v>0</v>
      </c>
      <c r="BT338" s="23">
        <f>$L338*AM338</f>
        <v>0</v>
      </c>
      <c r="BU338" s="23">
        <f>$L338*AN338</f>
        <v>0</v>
      </c>
      <c r="BV338" s="23">
        <f>$L338*AO338</f>
        <v>0</v>
      </c>
      <c r="BW338" s="23">
        <f>$L338*AP338</f>
        <v>0</v>
      </c>
      <c r="BX338" s="23">
        <f>$L338*AQ338</f>
        <v>0</v>
      </c>
      <c r="BY338" s="23">
        <f>$L338*AR338</f>
        <v>0</v>
      </c>
      <c r="BZ338" s="23">
        <f>$L338*AS338</f>
        <v>0</v>
      </c>
      <c r="CA338" s="23">
        <f>$L338*AT338</f>
        <v>0</v>
      </c>
      <c r="CB338" s="23">
        <f>$L338*AU338</f>
        <v>0</v>
      </c>
      <c r="CC338" s="23">
        <f>$L338*AV338</f>
        <v>0</v>
      </c>
      <c r="CD338" s="23">
        <f>$L338*AW338</f>
        <v>0</v>
      </c>
      <c r="CE338" s="23">
        <f>$L338*AX338</f>
        <v>0</v>
      </c>
      <c r="CF338" s="23">
        <f>$L338*AY338</f>
        <v>0</v>
      </c>
      <c r="CG338" s="23">
        <f>$L338*AZ338</f>
        <v>0</v>
      </c>
      <c r="CH338" s="23">
        <f>$L338*BA338</f>
        <v>0</v>
      </c>
      <c r="CI338" s="23">
        <f>$L338*BB338</f>
        <v>0</v>
      </c>
      <c r="CJ338" s="23">
        <f>$L338*BC338</f>
        <v>0</v>
      </c>
      <c r="CK338" s="23">
        <f>$L338*BD338</f>
        <v>0</v>
      </c>
      <c r="CL338" s="23">
        <f>$L338*BE338</f>
        <v>0</v>
      </c>
      <c r="CM338" s="23">
        <f>$L338*BF338</f>
        <v>0</v>
      </c>
      <c r="CN338" s="23">
        <f>$L338*BG338</f>
        <v>1</v>
      </c>
      <c r="CO338" s="23">
        <f>$L338*BH338</f>
        <v>1</v>
      </c>
      <c r="CP338" s="23">
        <f>$L338*BI338</f>
        <v>1</v>
      </c>
      <c r="CQ338" s="23">
        <f>$L338*BJ338</f>
        <v>1</v>
      </c>
      <c r="CR338" s="23">
        <f>$L338*BK338</f>
        <v>1</v>
      </c>
      <c r="CS338" s="23">
        <f>$L338*BL338</f>
        <v>1</v>
      </c>
      <c r="CT338" s="23">
        <f>$L338*BM338</f>
        <v>1</v>
      </c>
      <c r="CU338" s="23">
        <f>$L338*BN338</f>
        <v>1</v>
      </c>
      <c r="CV338" s="23">
        <f>$L338*BO338</f>
        <v>1</v>
      </c>
    </row>
    <row r="339" spans="1:100" ht="13.5" x14ac:dyDescent="0.15">
      <c r="A339" s="15">
        <v>221</v>
      </c>
      <c r="B339" s="28" t="s">
        <v>722</v>
      </c>
      <c r="C339" t="s">
        <v>414</v>
      </c>
      <c r="E339" t="s">
        <v>140</v>
      </c>
      <c r="F339" t="s">
        <v>415</v>
      </c>
      <c r="G339" t="s">
        <v>140</v>
      </c>
      <c r="H339" t="s">
        <v>141</v>
      </c>
      <c r="I339" s="6" t="s">
        <v>136</v>
      </c>
      <c r="J339" s="6">
        <v>0</v>
      </c>
      <c r="L339" s="15">
        <v>1</v>
      </c>
      <c r="M339" s="7">
        <v>46135</v>
      </c>
      <c r="N339" s="7">
        <v>46175</v>
      </c>
      <c r="O339" s="7">
        <v>46167</v>
      </c>
      <c r="P339" s="7">
        <v>46168</v>
      </c>
      <c r="S339" s="6" t="s">
        <v>140</v>
      </c>
      <c r="U339" s="6" t="s">
        <v>413</v>
      </c>
      <c r="V339" s="6" t="str">
        <f>TEXT(N339,"YY/MM")</f>
        <v>26/06</v>
      </c>
      <c r="W339">
        <v>1711</v>
      </c>
      <c r="AA339">
        <v>1065</v>
      </c>
      <c r="AC339">
        <v>1118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>$L339*AI339</f>
        <v>0</v>
      </c>
      <c r="BQ339" s="23">
        <f>$L339*AJ339</f>
        <v>0</v>
      </c>
      <c r="BR339" s="23">
        <f>$L339*AK339</f>
        <v>0</v>
      </c>
      <c r="BS339" s="23">
        <f>$L339*AL339</f>
        <v>0</v>
      </c>
      <c r="BT339" s="23">
        <f>$L339*AM339</f>
        <v>0</v>
      </c>
      <c r="BU339" s="23">
        <f>$L339*AN339</f>
        <v>0</v>
      </c>
      <c r="BV339" s="23">
        <f>$L339*AO339</f>
        <v>0</v>
      </c>
      <c r="BW339" s="23">
        <f>$L339*AP339</f>
        <v>0</v>
      </c>
      <c r="BX339" s="23">
        <f>$L339*AQ339</f>
        <v>0</v>
      </c>
      <c r="BY339" s="23">
        <f>$L339*AR339</f>
        <v>0</v>
      </c>
      <c r="BZ339" s="23">
        <f>$L339*AS339</f>
        <v>0</v>
      </c>
      <c r="CA339" s="23">
        <f>$L339*AT339</f>
        <v>0</v>
      </c>
      <c r="CB339" s="23">
        <f>$L339*AU339</f>
        <v>0</v>
      </c>
      <c r="CC339" s="23">
        <f>$L339*AV339</f>
        <v>0</v>
      </c>
      <c r="CD339" s="23">
        <f>$L339*AW339</f>
        <v>0</v>
      </c>
      <c r="CE339" s="23">
        <f>$L339*AX339</f>
        <v>0</v>
      </c>
      <c r="CF339" s="23">
        <f>$L339*AY339</f>
        <v>0</v>
      </c>
      <c r="CG339" s="23">
        <f>$L339*AZ339</f>
        <v>0</v>
      </c>
      <c r="CH339" s="23">
        <f>$L339*BA339</f>
        <v>0</v>
      </c>
      <c r="CI339" s="23">
        <f>$L339*BB339</f>
        <v>0</v>
      </c>
      <c r="CJ339" s="23">
        <f>$L339*BC339</f>
        <v>0</v>
      </c>
      <c r="CK339" s="23">
        <f>$L339*BD339</f>
        <v>0</v>
      </c>
      <c r="CL339" s="23">
        <f>$L339*BE339</f>
        <v>0</v>
      </c>
      <c r="CM339" s="23">
        <f>$L339*BF339</f>
        <v>0</v>
      </c>
      <c r="CN339" s="23">
        <f>$L339*BG339</f>
        <v>1</v>
      </c>
      <c r="CO339" s="23">
        <f>$L339*BH339</f>
        <v>1</v>
      </c>
      <c r="CP339" s="23">
        <f>$L339*BI339</f>
        <v>1</v>
      </c>
      <c r="CQ339" s="23">
        <f>$L339*BJ339</f>
        <v>1</v>
      </c>
      <c r="CR339" s="23">
        <f>$L339*BK339</f>
        <v>1</v>
      </c>
      <c r="CS339" s="23">
        <f>$L339*BL339</f>
        <v>1</v>
      </c>
      <c r="CT339" s="23">
        <f>$L339*BM339</f>
        <v>1</v>
      </c>
      <c r="CU339" s="23">
        <f>$L339*BN339</f>
        <v>1</v>
      </c>
      <c r="CV339" s="23">
        <f>$L339*BO339</f>
        <v>1</v>
      </c>
    </row>
    <row r="340" spans="1:100" ht="13.5" x14ac:dyDescent="0.15">
      <c r="A340" s="15">
        <v>221</v>
      </c>
      <c r="B340" s="28" t="s">
        <v>723</v>
      </c>
      <c r="C340" t="s">
        <v>414</v>
      </c>
      <c r="E340" t="s">
        <v>140</v>
      </c>
      <c r="F340" t="s">
        <v>415</v>
      </c>
      <c r="G340" t="s">
        <v>140</v>
      </c>
      <c r="H340" t="s">
        <v>141</v>
      </c>
      <c r="I340" s="6" t="s">
        <v>136</v>
      </c>
      <c r="J340" s="6">
        <v>0</v>
      </c>
      <c r="L340" s="15">
        <v>1</v>
      </c>
      <c r="M340" s="7">
        <v>46135</v>
      </c>
      <c r="N340" s="7">
        <v>46175</v>
      </c>
      <c r="O340" s="7">
        <v>46167</v>
      </c>
      <c r="P340" s="7">
        <v>46168</v>
      </c>
      <c r="S340" s="6" t="s">
        <v>140</v>
      </c>
      <c r="U340" s="6" t="s">
        <v>413</v>
      </c>
      <c r="V340" s="6" t="str">
        <f>TEXT(N340,"YY/MM")</f>
        <v>26/06</v>
      </c>
      <c r="W340">
        <v>1712</v>
      </c>
      <c r="AA340">
        <v>1066</v>
      </c>
      <c r="AC340">
        <v>1119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>$L340*AI340</f>
        <v>0</v>
      </c>
      <c r="BQ340" s="23">
        <f>$L340*AJ340</f>
        <v>0</v>
      </c>
      <c r="BR340" s="23">
        <f>$L340*AK340</f>
        <v>0</v>
      </c>
      <c r="BS340" s="23">
        <f>$L340*AL340</f>
        <v>0</v>
      </c>
      <c r="BT340" s="23">
        <f>$L340*AM340</f>
        <v>0</v>
      </c>
      <c r="BU340" s="23">
        <f>$L340*AN340</f>
        <v>0</v>
      </c>
      <c r="BV340" s="23">
        <f>$L340*AO340</f>
        <v>0</v>
      </c>
      <c r="BW340" s="23">
        <f>$L340*AP340</f>
        <v>0</v>
      </c>
      <c r="BX340" s="23">
        <f>$L340*AQ340</f>
        <v>0</v>
      </c>
      <c r="BY340" s="23">
        <f>$L340*AR340</f>
        <v>0</v>
      </c>
      <c r="BZ340" s="23">
        <f>$L340*AS340</f>
        <v>0</v>
      </c>
      <c r="CA340" s="23">
        <f>$L340*AT340</f>
        <v>0</v>
      </c>
      <c r="CB340" s="23">
        <f>$L340*AU340</f>
        <v>0</v>
      </c>
      <c r="CC340" s="23">
        <f>$L340*AV340</f>
        <v>0</v>
      </c>
      <c r="CD340" s="23">
        <f>$L340*AW340</f>
        <v>0</v>
      </c>
      <c r="CE340" s="23">
        <f>$L340*AX340</f>
        <v>0</v>
      </c>
      <c r="CF340" s="23">
        <f>$L340*AY340</f>
        <v>0</v>
      </c>
      <c r="CG340" s="23">
        <f>$L340*AZ340</f>
        <v>0</v>
      </c>
      <c r="CH340" s="23">
        <f>$L340*BA340</f>
        <v>0</v>
      </c>
      <c r="CI340" s="23">
        <f>$L340*BB340</f>
        <v>0</v>
      </c>
      <c r="CJ340" s="23">
        <f>$L340*BC340</f>
        <v>0</v>
      </c>
      <c r="CK340" s="23">
        <f>$L340*BD340</f>
        <v>0</v>
      </c>
      <c r="CL340" s="23">
        <f>$L340*BE340</f>
        <v>0</v>
      </c>
      <c r="CM340" s="23">
        <f>$L340*BF340</f>
        <v>0</v>
      </c>
      <c r="CN340" s="23">
        <f>$L340*BG340</f>
        <v>1</v>
      </c>
      <c r="CO340" s="23">
        <f>$L340*BH340</f>
        <v>1</v>
      </c>
      <c r="CP340" s="23">
        <f>$L340*BI340</f>
        <v>1</v>
      </c>
      <c r="CQ340" s="23">
        <f>$L340*BJ340</f>
        <v>1</v>
      </c>
      <c r="CR340" s="23">
        <f>$L340*BK340</f>
        <v>1</v>
      </c>
      <c r="CS340" s="23">
        <f>$L340*BL340</f>
        <v>1</v>
      </c>
      <c r="CT340" s="23">
        <f>$L340*BM340</f>
        <v>1</v>
      </c>
      <c r="CU340" s="23">
        <f>$L340*BN340</f>
        <v>1</v>
      </c>
      <c r="CV340" s="23">
        <f>$L340*BO340</f>
        <v>1</v>
      </c>
    </row>
    <row r="341" spans="1:100" ht="13.5" x14ac:dyDescent="0.15">
      <c r="A341" s="15">
        <v>221</v>
      </c>
      <c r="B341" s="28" t="s">
        <v>724</v>
      </c>
      <c r="C341" t="s">
        <v>414</v>
      </c>
      <c r="E341" t="s">
        <v>140</v>
      </c>
      <c r="F341" t="s">
        <v>415</v>
      </c>
      <c r="G341" t="s">
        <v>140</v>
      </c>
      <c r="H341" t="s">
        <v>141</v>
      </c>
      <c r="I341" s="6" t="s">
        <v>136</v>
      </c>
      <c r="J341" s="6">
        <v>0</v>
      </c>
      <c r="L341" s="15">
        <v>1</v>
      </c>
      <c r="M341" s="7">
        <v>46135</v>
      </c>
      <c r="N341" s="7">
        <v>46175</v>
      </c>
      <c r="O341" s="7">
        <v>46167</v>
      </c>
      <c r="P341" s="7">
        <v>46168</v>
      </c>
      <c r="S341" s="6" t="s">
        <v>140</v>
      </c>
      <c r="U341" s="6" t="s">
        <v>413</v>
      </c>
      <c r="V341" s="6" t="str">
        <f>TEXT(N341,"YY/MM")</f>
        <v>26/06</v>
      </c>
      <c r="W341">
        <v>1713</v>
      </c>
      <c r="AA341">
        <v>1067</v>
      </c>
      <c r="AC341">
        <v>1120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>$L341*AI341</f>
        <v>0</v>
      </c>
      <c r="BQ341" s="23">
        <f>$L341*AJ341</f>
        <v>0</v>
      </c>
      <c r="BR341" s="23">
        <f>$L341*AK341</f>
        <v>0</v>
      </c>
      <c r="BS341" s="23">
        <f>$L341*AL341</f>
        <v>0</v>
      </c>
      <c r="BT341" s="23">
        <f>$L341*AM341</f>
        <v>0</v>
      </c>
      <c r="BU341" s="23">
        <f>$L341*AN341</f>
        <v>0</v>
      </c>
      <c r="BV341" s="23">
        <f>$L341*AO341</f>
        <v>0</v>
      </c>
      <c r="BW341" s="23">
        <f>$L341*AP341</f>
        <v>0</v>
      </c>
      <c r="BX341" s="23">
        <f>$L341*AQ341</f>
        <v>0</v>
      </c>
      <c r="BY341" s="23">
        <f>$L341*AR341</f>
        <v>0</v>
      </c>
      <c r="BZ341" s="23">
        <f>$L341*AS341</f>
        <v>0</v>
      </c>
      <c r="CA341" s="23">
        <f>$L341*AT341</f>
        <v>0</v>
      </c>
      <c r="CB341" s="23">
        <f>$L341*AU341</f>
        <v>0</v>
      </c>
      <c r="CC341" s="23">
        <f>$L341*AV341</f>
        <v>0</v>
      </c>
      <c r="CD341" s="23">
        <f>$L341*AW341</f>
        <v>0</v>
      </c>
      <c r="CE341" s="23">
        <f>$L341*AX341</f>
        <v>0</v>
      </c>
      <c r="CF341" s="23">
        <f>$L341*AY341</f>
        <v>0</v>
      </c>
      <c r="CG341" s="23">
        <f>$L341*AZ341</f>
        <v>0</v>
      </c>
      <c r="CH341" s="23">
        <f>$L341*BA341</f>
        <v>0</v>
      </c>
      <c r="CI341" s="23">
        <f>$L341*BB341</f>
        <v>0</v>
      </c>
      <c r="CJ341" s="23">
        <f>$L341*BC341</f>
        <v>0</v>
      </c>
      <c r="CK341" s="23">
        <f>$L341*BD341</f>
        <v>0</v>
      </c>
      <c r="CL341" s="23">
        <f>$L341*BE341</f>
        <v>0</v>
      </c>
      <c r="CM341" s="23">
        <f>$L341*BF341</f>
        <v>0</v>
      </c>
      <c r="CN341" s="23">
        <f>$L341*BG341</f>
        <v>1</v>
      </c>
      <c r="CO341" s="23">
        <f>$L341*BH341</f>
        <v>1</v>
      </c>
      <c r="CP341" s="23">
        <f>$L341*BI341</f>
        <v>1</v>
      </c>
      <c r="CQ341" s="23">
        <f>$L341*BJ341</f>
        <v>1</v>
      </c>
      <c r="CR341" s="23">
        <f>$L341*BK341</f>
        <v>1</v>
      </c>
      <c r="CS341" s="23">
        <f>$L341*BL341</f>
        <v>1</v>
      </c>
      <c r="CT341" s="23">
        <f>$L341*BM341</f>
        <v>1</v>
      </c>
      <c r="CU341" s="23">
        <f>$L341*BN341</f>
        <v>1</v>
      </c>
      <c r="CV341" s="23">
        <f>$L341*BO341</f>
        <v>1</v>
      </c>
    </row>
    <row r="342" spans="1:100" ht="13.5" x14ac:dyDescent="0.15">
      <c r="A342" s="15">
        <v>249</v>
      </c>
      <c r="B342" s="28" t="s">
        <v>725</v>
      </c>
      <c r="C342" t="s">
        <v>414</v>
      </c>
      <c r="E342" t="s">
        <v>140</v>
      </c>
      <c r="F342" t="s">
        <v>415</v>
      </c>
      <c r="G342" t="s">
        <v>140</v>
      </c>
      <c r="H342" t="s">
        <v>141</v>
      </c>
      <c r="I342" s="6" t="s">
        <v>136</v>
      </c>
      <c r="J342" s="6">
        <v>0</v>
      </c>
      <c r="L342" s="15">
        <v>1</v>
      </c>
      <c r="M342" s="7">
        <v>45803</v>
      </c>
      <c r="N342" s="7">
        <v>46176</v>
      </c>
      <c r="O342" s="7">
        <v>46174</v>
      </c>
      <c r="P342" s="7">
        <v>46175</v>
      </c>
      <c r="S342" s="6" t="s">
        <v>140</v>
      </c>
      <c r="U342" s="6" t="s">
        <v>413</v>
      </c>
      <c r="V342" s="6" t="str">
        <f>TEXT(N342,"YY/MM")</f>
        <v>26/06</v>
      </c>
      <c r="W342">
        <v>1714</v>
      </c>
      <c r="AA342">
        <v>1068</v>
      </c>
      <c r="AC342">
        <v>1121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1</v>
      </c>
      <c r="BP342" s="23">
        <f>$L342*AI342</f>
        <v>0</v>
      </c>
      <c r="BQ342" s="23">
        <f>$L342*AJ342</f>
        <v>0</v>
      </c>
      <c r="BR342" s="23">
        <f>$L342*AK342</f>
        <v>0</v>
      </c>
      <c r="BS342" s="23">
        <f>$L342*AL342</f>
        <v>0</v>
      </c>
      <c r="BT342" s="23">
        <f>$L342*AM342</f>
        <v>0</v>
      </c>
      <c r="BU342" s="23">
        <f>$L342*AN342</f>
        <v>0</v>
      </c>
      <c r="BV342" s="23">
        <f>$L342*AO342</f>
        <v>0</v>
      </c>
      <c r="BW342" s="23">
        <f>$L342*AP342</f>
        <v>0</v>
      </c>
      <c r="BX342" s="23">
        <f>$L342*AQ342</f>
        <v>0</v>
      </c>
      <c r="BY342" s="23">
        <f>$L342*AR342</f>
        <v>0</v>
      </c>
      <c r="BZ342" s="23">
        <f>$L342*AS342</f>
        <v>0</v>
      </c>
      <c r="CA342" s="23">
        <f>$L342*AT342</f>
        <v>0</v>
      </c>
      <c r="CB342" s="23">
        <f>$L342*AU342</f>
        <v>0</v>
      </c>
      <c r="CC342" s="23">
        <f>$L342*AV342</f>
        <v>0</v>
      </c>
      <c r="CD342" s="23">
        <f>$L342*AW342</f>
        <v>0</v>
      </c>
      <c r="CE342" s="23">
        <f>$L342*AX342</f>
        <v>0</v>
      </c>
      <c r="CF342" s="23">
        <f>$L342*AY342</f>
        <v>0</v>
      </c>
      <c r="CG342" s="23">
        <f>$L342*AZ342</f>
        <v>0</v>
      </c>
      <c r="CH342" s="23">
        <f>$L342*BA342</f>
        <v>0</v>
      </c>
      <c r="CI342" s="23">
        <f>$L342*BB342</f>
        <v>0</v>
      </c>
      <c r="CJ342" s="23">
        <f>$L342*BC342</f>
        <v>0</v>
      </c>
      <c r="CK342" s="23">
        <f>$L342*BD342</f>
        <v>0</v>
      </c>
      <c r="CL342" s="23">
        <f>$L342*BE342</f>
        <v>0</v>
      </c>
      <c r="CM342" s="23">
        <f>$L342*BF342</f>
        <v>0</v>
      </c>
      <c r="CN342" s="23">
        <f>$L342*BG342</f>
        <v>1</v>
      </c>
      <c r="CO342" s="23">
        <f>$L342*BH342</f>
        <v>1</v>
      </c>
      <c r="CP342" s="23">
        <f>$L342*BI342</f>
        <v>1</v>
      </c>
      <c r="CQ342" s="23">
        <f>$L342*BJ342</f>
        <v>1</v>
      </c>
      <c r="CR342" s="23">
        <f>$L342*BK342</f>
        <v>1</v>
      </c>
      <c r="CS342" s="23">
        <f>$L342*BL342</f>
        <v>1</v>
      </c>
      <c r="CT342" s="23">
        <f>$L342*BM342</f>
        <v>1</v>
      </c>
      <c r="CU342" s="23">
        <f>$L342*BN342</f>
        <v>1</v>
      </c>
      <c r="CV342" s="23">
        <f>$L342*BO342</f>
        <v>1</v>
      </c>
    </row>
    <row r="343" spans="1:100" ht="13.5" x14ac:dyDescent="0.15">
      <c r="A343" s="15">
        <v>249</v>
      </c>
      <c r="B343" s="28" t="s">
        <v>726</v>
      </c>
      <c r="C343" t="s">
        <v>414</v>
      </c>
      <c r="E343" t="s">
        <v>140</v>
      </c>
      <c r="F343" t="s">
        <v>415</v>
      </c>
      <c r="G343" t="s">
        <v>140</v>
      </c>
      <c r="H343" t="s">
        <v>141</v>
      </c>
      <c r="I343" s="6" t="s">
        <v>136</v>
      </c>
      <c r="J343" s="6">
        <v>0</v>
      </c>
      <c r="L343" s="15">
        <v>1</v>
      </c>
      <c r="M343" s="7">
        <v>45803</v>
      </c>
      <c r="N343" s="7">
        <v>46176</v>
      </c>
      <c r="O343" s="7">
        <v>46174</v>
      </c>
      <c r="P343" s="7">
        <v>46175</v>
      </c>
      <c r="S343" s="6" t="s">
        <v>140</v>
      </c>
      <c r="U343" s="6" t="s">
        <v>413</v>
      </c>
      <c r="V343" s="6" t="str">
        <f>TEXT(N343,"YY/MM")</f>
        <v>26/06</v>
      </c>
      <c r="W343">
        <v>1715</v>
      </c>
      <c r="AA343">
        <v>1069</v>
      </c>
      <c r="AC343">
        <v>1122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>$L343*AI343</f>
        <v>0</v>
      </c>
      <c r="BQ343" s="23">
        <f>$L343*AJ343</f>
        <v>0</v>
      </c>
      <c r="BR343" s="23">
        <f>$L343*AK343</f>
        <v>0</v>
      </c>
      <c r="BS343" s="23">
        <f>$L343*AL343</f>
        <v>0</v>
      </c>
      <c r="BT343" s="23">
        <f>$L343*AM343</f>
        <v>0</v>
      </c>
      <c r="BU343" s="23">
        <f>$L343*AN343</f>
        <v>0</v>
      </c>
      <c r="BV343" s="23">
        <f>$L343*AO343</f>
        <v>0</v>
      </c>
      <c r="BW343" s="23">
        <f>$L343*AP343</f>
        <v>0</v>
      </c>
      <c r="BX343" s="23">
        <f>$L343*AQ343</f>
        <v>0</v>
      </c>
      <c r="BY343" s="23">
        <f>$L343*AR343</f>
        <v>0</v>
      </c>
      <c r="BZ343" s="23">
        <f>$L343*AS343</f>
        <v>0</v>
      </c>
      <c r="CA343" s="23">
        <f>$L343*AT343</f>
        <v>0</v>
      </c>
      <c r="CB343" s="23">
        <f>$L343*AU343</f>
        <v>0</v>
      </c>
      <c r="CC343" s="23">
        <f>$L343*AV343</f>
        <v>0</v>
      </c>
      <c r="CD343" s="23">
        <f>$L343*AW343</f>
        <v>0</v>
      </c>
      <c r="CE343" s="23">
        <f>$L343*AX343</f>
        <v>0</v>
      </c>
      <c r="CF343" s="23">
        <f>$L343*AY343</f>
        <v>0</v>
      </c>
      <c r="CG343" s="23">
        <f>$L343*AZ343</f>
        <v>0</v>
      </c>
      <c r="CH343" s="23">
        <f>$L343*BA343</f>
        <v>0</v>
      </c>
      <c r="CI343" s="23">
        <f>$L343*BB343</f>
        <v>0</v>
      </c>
      <c r="CJ343" s="23">
        <f>$L343*BC343</f>
        <v>0</v>
      </c>
      <c r="CK343" s="23">
        <f>$L343*BD343</f>
        <v>0</v>
      </c>
      <c r="CL343" s="23">
        <f>$L343*BE343</f>
        <v>0</v>
      </c>
      <c r="CM343" s="23">
        <f>$L343*BF343</f>
        <v>0</v>
      </c>
      <c r="CN343" s="23">
        <f>$L343*BG343</f>
        <v>1</v>
      </c>
      <c r="CO343" s="23">
        <f>$L343*BH343</f>
        <v>1</v>
      </c>
      <c r="CP343" s="23">
        <f>$L343*BI343</f>
        <v>1</v>
      </c>
      <c r="CQ343" s="23">
        <f>$L343*BJ343</f>
        <v>1</v>
      </c>
      <c r="CR343" s="23">
        <f>$L343*BK343</f>
        <v>1</v>
      </c>
      <c r="CS343" s="23">
        <f>$L343*BL343</f>
        <v>1</v>
      </c>
      <c r="CT343" s="23">
        <f>$L343*BM343</f>
        <v>1</v>
      </c>
      <c r="CU343" s="23">
        <f>$L343*BN343</f>
        <v>1</v>
      </c>
      <c r="CV343" s="23">
        <f>$L343*BO343</f>
        <v>1</v>
      </c>
    </row>
    <row r="344" spans="1:100" ht="13.5" x14ac:dyDescent="0.15">
      <c r="A344" s="15">
        <v>249</v>
      </c>
      <c r="B344" s="28" t="s">
        <v>727</v>
      </c>
      <c r="C344" t="s">
        <v>414</v>
      </c>
      <c r="E344" t="s">
        <v>140</v>
      </c>
      <c r="F344" t="s">
        <v>415</v>
      </c>
      <c r="G344" t="s">
        <v>140</v>
      </c>
      <c r="H344" t="s">
        <v>141</v>
      </c>
      <c r="I344" s="6" t="s">
        <v>136</v>
      </c>
      <c r="J344" s="6">
        <v>0</v>
      </c>
      <c r="L344" s="15">
        <v>1</v>
      </c>
      <c r="M344" s="7">
        <v>45803</v>
      </c>
      <c r="N344" s="7">
        <v>46176</v>
      </c>
      <c r="O344" s="7">
        <v>46174</v>
      </c>
      <c r="P344" s="7">
        <v>46175</v>
      </c>
      <c r="S344" s="6" t="s">
        <v>140</v>
      </c>
      <c r="U344" s="6" t="s">
        <v>413</v>
      </c>
      <c r="V344" s="6" t="str">
        <f>TEXT(N344,"YY/MM")</f>
        <v>26/06</v>
      </c>
      <c r="W344">
        <v>1716</v>
      </c>
      <c r="AA344">
        <v>1070</v>
      </c>
      <c r="AC344">
        <v>1123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>$L344*AI344</f>
        <v>0</v>
      </c>
      <c r="BQ344" s="23">
        <f>$L344*AJ344</f>
        <v>0</v>
      </c>
      <c r="BR344" s="23">
        <f>$L344*AK344</f>
        <v>0</v>
      </c>
      <c r="BS344" s="23">
        <f>$L344*AL344</f>
        <v>0</v>
      </c>
      <c r="BT344" s="23">
        <f>$L344*AM344</f>
        <v>0</v>
      </c>
      <c r="BU344" s="23">
        <f>$L344*AN344</f>
        <v>0</v>
      </c>
      <c r="BV344" s="23">
        <f>$L344*AO344</f>
        <v>0</v>
      </c>
      <c r="BW344" s="23">
        <f>$L344*AP344</f>
        <v>0</v>
      </c>
      <c r="BX344" s="23">
        <f>$L344*AQ344</f>
        <v>0</v>
      </c>
      <c r="BY344" s="23">
        <f>$L344*AR344</f>
        <v>0</v>
      </c>
      <c r="BZ344" s="23">
        <f>$L344*AS344</f>
        <v>0</v>
      </c>
      <c r="CA344" s="23">
        <f>$L344*AT344</f>
        <v>0</v>
      </c>
      <c r="CB344" s="23">
        <f>$L344*AU344</f>
        <v>0</v>
      </c>
      <c r="CC344" s="23">
        <f>$L344*AV344</f>
        <v>0</v>
      </c>
      <c r="CD344" s="23">
        <f>$L344*AW344</f>
        <v>0</v>
      </c>
      <c r="CE344" s="23">
        <f>$L344*AX344</f>
        <v>0</v>
      </c>
      <c r="CF344" s="23">
        <f>$L344*AY344</f>
        <v>0</v>
      </c>
      <c r="CG344" s="23">
        <f>$L344*AZ344</f>
        <v>0</v>
      </c>
      <c r="CH344" s="23">
        <f>$L344*BA344</f>
        <v>0</v>
      </c>
      <c r="CI344" s="23">
        <f>$L344*BB344</f>
        <v>0</v>
      </c>
      <c r="CJ344" s="23">
        <f>$L344*BC344</f>
        <v>0</v>
      </c>
      <c r="CK344" s="23">
        <f>$L344*BD344</f>
        <v>0</v>
      </c>
      <c r="CL344" s="23">
        <f>$L344*BE344</f>
        <v>0</v>
      </c>
      <c r="CM344" s="23">
        <f>$L344*BF344</f>
        <v>0</v>
      </c>
      <c r="CN344" s="23">
        <f>$L344*BG344</f>
        <v>1</v>
      </c>
      <c r="CO344" s="23">
        <f>$L344*BH344</f>
        <v>1</v>
      </c>
      <c r="CP344" s="23">
        <f>$L344*BI344</f>
        <v>1</v>
      </c>
      <c r="CQ344" s="23">
        <f>$L344*BJ344</f>
        <v>1</v>
      </c>
      <c r="CR344" s="23">
        <f>$L344*BK344</f>
        <v>1</v>
      </c>
      <c r="CS344" s="23">
        <f>$L344*BL344</f>
        <v>1</v>
      </c>
      <c r="CT344" s="23">
        <f>$L344*BM344</f>
        <v>1</v>
      </c>
      <c r="CU344" s="23">
        <f>$L344*BN344</f>
        <v>1</v>
      </c>
      <c r="CV344" s="23">
        <f>$L344*BO344</f>
        <v>1</v>
      </c>
    </row>
    <row r="345" spans="1:100" ht="13.5" x14ac:dyDescent="0.15">
      <c r="A345" s="15">
        <v>249</v>
      </c>
      <c r="B345" s="28" t="s">
        <v>728</v>
      </c>
      <c r="C345" t="s">
        <v>414</v>
      </c>
      <c r="E345" t="s">
        <v>140</v>
      </c>
      <c r="F345" t="s">
        <v>415</v>
      </c>
      <c r="G345" t="s">
        <v>140</v>
      </c>
      <c r="H345" t="s">
        <v>141</v>
      </c>
      <c r="I345" s="6" t="s">
        <v>136</v>
      </c>
      <c r="J345" s="6">
        <v>0</v>
      </c>
      <c r="L345" s="15">
        <v>1</v>
      </c>
      <c r="M345" s="7">
        <v>45803</v>
      </c>
      <c r="N345" s="7">
        <v>46176</v>
      </c>
      <c r="O345" s="7">
        <v>46174</v>
      </c>
      <c r="P345" s="7">
        <v>46175</v>
      </c>
      <c r="S345" s="6" t="s">
        <v>140</v>
      </c>
      <c r="U345" s="6" t="s">
        <v>413</v>
      </c>
      <c r="V345" s="6" t="str">
        <f>TEXT(N345,"YY/MM")</f>
        <v>26/06</v>
      </c>
      <c r="W345">
        <v>1717</v>
      </c>
      <c r="AA345">
        <v>1071</v>
      </c>
      <c r="AC345">
        <v>1124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1</v>
      </c>
      <c r="BP345" s="23">
        <f>$L345*AI345</f>
        <v>0</v>
      </c>
      <c r="BQ345" s="23">
        <f>$L345*AJ345</f>
        <v>0</v>
      </c>
      <c r="BR345" s="23">
        <f>$L345*AK345</f>
        <v>0</v>
      </c>
      <c r="BS345" s="23">
        <f>$L345*AL345</f>
        <v>0</v>
      </c>
      <c r="BT345" s="23">
        <f>$L345*AM345</f>
        <v>0</v>
      </c>
      <c r="BU345" s="23">
        <f>$L345*AN345</f>
        <v>0</v>
      </c>
      <c r="BV345" s="23">
        <f>$L345*AO345</f>
        <v>0</v>
      </c>
      <c r="BW345" s="23">
        <f>$L345*AP345</f>
        <v>0</v>
      </c>
      <c r="BX345" s="23">
        <f>$L345*AQ345</f>
        <v>0</v>
      </c>
      <c r="BY345" s="23">
        <f>$L345*AR345</f>
        <v>0</v>
      </c>
      <c r="BZ345" s="23">
        <f>$L345*AS345</f>
        <v>0</v>
      </c>
      <c r="CA345" s="23">
        <f>$L345*AT345</f>
        <v>0</v>
      </c>
      <c r="CB345" s="23">
        <f>$L345*AU345</f>
        <v>0</v>
      </c>
      <c r="CC345" s="23">
        <f>$L345*AV345</f>
        <v>0</v>
      </c>
      <c r="CD345" s="23">
        <f>$L345*AW345</f>
        <v>0</v>
      </c>
      <c r="CE345" s="23">
        <f>$L345*AX345</f>
        <v>0</v>
      </c>
      <c r="CF345" s="23">
        <f>$L345*AY345</f>
        <v>0</v>
      </c>
      <c r="CG345" s="23">
        <f>$L345*AZ345</f>
        <v>0</v>
      </c>
      <c r="CH345" s="23">
        <f>$L345*BA345</f>
        <v>0</v>
      </c>
      <c r="CI345" s="23">
        <f>$L345*BB345</f>
        <v>0</v>
      </c>
      <c r="CJ345" s="23">
        <f>$L345*BC345</f>
        <v>0</v>
      </c>
      <c r="CK345" s="23">
        <f>$L345*BD345</f>
        <v>0</v>
      </c>
      <c r="CL345" s="23">
        <f>$L345*BE345</f>
        <v>0</v>
      </c>
      <c r="CM345" s="23">
        <f>$L345*BF345</f>
        <v>0</v>
      </c>
      <c r="CN345" s="23">
        <f>$L345*BG345</f>
        <v>1</v>
      </c>
      <c r="CO345" s="23">
        <f>$L345*BH345</f>
        <v>1</v>
      </c>
      <c r="CP345" s="23">
        <f>$L345*BI345</f>
        <v>1</v>
      </c>
      <c r="CQ345" s="23">
        <f>$L345*BJ345</f>
        <v>1</v>
      </c>
      <c r="CR345" s="23">
        <f>$L345*BK345</f>
        <v>1</v>
      </c>
      <c r="CS345" s="23">
        <f>$L345*BL345</f>
        <v>1</v>
      </c>
      <c r="CT345" s="23">
        <f>$L345*BM345</f>
        <v>1</v>
      </c>
      <c r="CU345" s="23">
        <f>$L345*BN345</f>
        <v>1</v>
      </c>
      <c r="CV345" s="23">
        <f>$L345*BO345</f>
        <v>1</v>
      </c>
    </row>
    <row r="346" spans="1:100" ht="13.5" x14ac:dyDescent="0.15">
      <c r="A346" s="15">
        <v>249</v>
      </c>
      <c r="B346" s="28" t="s">
        <v>729</v>
      </c>
      <c r="C346" t="s">
        <v>414</v>
      </c>
      <c r="E346" t="s">
        <v>140</v>
      </c>
      <c r="F346" t="s">
        <v>415</v>
      </c>
      <c r="G346" t="s">
        <v>140</v>
      </c>
      <c r="H346" t="s">
        <v>141</v>
      </c>
      <c r="I346" s="6" t="s">
        <v>136</v>
      </c>
      <c r="J346" s="6">
        <v>0</v>
      </c>
      <c r="L346" s="15">
        <v>1</v>
      </c>
      <c r="M346" s="7">
        <v>45803</v>
      </c>
      <c r="N346" s="7">
        <v>46176</v>
      </c>
      <c r="O346" s="7">
        <v>46174</v>
      </c>
      <c r="P346" s="7">
        <v>46175</v>
      </c>
      <c r="S346" s="6" t="s">
        <v>140</v>
      </c>
      <c r="U346" s="6" t="s">
        <v>413</v>
      </c>
      <c r="V346" s="6" t="str">
        <f>TEXT(N346,"YY/MM")</f>
        <v>26/06</v>
      </c>
      <c r="W346">
        <v>1718</v>
      </c>
      <c r="AA346">
        <v>1072</v>
      </c>
      <c r="AC346">
        <v>1125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>$L346*AI346</f>
        <v>0</v>
      </c>
      <c r="BQ346" s="23">
        <f>$L346*AJ346</f>
        <v>0</v>
      </c>
      <c r="BR346" s="23">
        <f>$L346*AK346</f>
        <v>0</v>
      </c>
      <c r="BS346" s="23">
        <f>$L346*AL346</f>
        <v>0</v>
      </c>
      <c r="BT346" s="23">
        <f>$L346*AM346</f>
        <v>0</v>
      </c>
      <c r="BU346" s="23">
        <f>$L346*AN346</f>
        <v>0</v>
      </c>
      <c r="BV346" s="23">
        <f>$L346*AO346</f>
        <v>0</v>
      </c>
      <c r="BW346" s="23">
        <f>$L346*AP346</f>
        <v>0</v>
      </c>
      <c r="BX346" s="23">
        <f>$L346*AQ346</f>
        <v>0</v>
      </c>
      <c r="BY346" s="23">
        <f>$L346*AR346</f>
        <v>0</v>
      </c>
      <c r="BZ346" s="23">
        <f>$L346*AS346</f>
        <v>0</v>
      </c>
      <c r="CA346" s="23">
        <f>$L346*AT346</f>
        <v>0</v>
      </c>
      <c r="CB346" s="23">
        <f>$L346*AU346</f>
        <v>0</v>
      </c>
      <c r="CC346" s="23">
        <f>$L346*AV346</f>
        <v>0</v>
      </c>
      <c r="CD346" s="23">
        <f>$L346*AW346</f>
        <v>0</v>
      </c>
      <c r="CE346" s="23">
        <f>$L346*AX346</f>
        <v>0</v>
      </c>
      <c r="CF346" s="23">
        <f>$L346*AY346</f>
        <v>0</v>
      </c>
      <c r="CG346" s="23">
        <f>$L346*AZ346</f>
        <v>0</v>
      </c>
      <c r="CH346" s="23">
        <f>$L346*BA346</f>
        <v>0</v>
      </c>
      <c r="CI346" s="23">
        <f>$L346*BB346</f>
        <v>0</v>
      </c>
      <c r="CJ346" s="23">
        <f>$L346*BC346</f>
        <v>0</v>
      </c>
      <c r="CK346" s="23">
        <f>$L346*BD346</f>
        <v>0</v>
      </c>
      <c r="CL346" s="23">
        <f>$L346*BE346</f>
        <v>0</v>
      </c>
      <c r="CM346" s="23">
        <f>$L346*BF346</f>
        <v>0</v>
      </c>
      <c r="CN346" s="23">
        <f>$L346*BG346</f>
        <v>1</v>
      </c>
      <c r="CO346" s="23">
        <f>$L346*BH346</f>
        <v>1</v>
      </c>
      <c r="CP346" s="23">
        <f>$L346*BI346</f>
        <v>1</v>
      </c>
      <c r="CQ346" s="23">
        <f>$L346*BJ346</f>
        <v>1</v>
      </c>
      <c r="CR346" s="23">
        <f>$L346*BK346</f>
        <v>1</v>
      </c>
      <c r="CS346" s="23">
        <f>$L346*BL346</f>
        <v>1</v>
      </c>
      <c r="CT346" s="23">
        <f>$L346*BM346</f>
        <v>1</v>
      </c>
      <c r="CU346" s="23">
        <f>$L346*BN346</f>
        <v>1</v>
      </c>
      <c r="CV346" s="23">
        <f>$L346*BO346</f>
        <v>1</v>
      </c>
    </row>
    <row r="347" spans="1:100" ht="13.5" x14ac:dyDescent="0.15">
      <c r="A347" s="15">
        <v>249</v>
      </c>
      <c r="B347" s="28" t="s">
        <v>730</v>
      </c>
      <c r="C347" t="s">
        <v>414</v>
      </c>
      <c r="E347" t="s">
        <v>140</v>
      </c>
      <c r="F347" t="s">
        <v>415</v>
      </c>
      <c r="G347" t="s">
        <v>140</v>
      </c>
      <c r="H347" t="s">
        <v>141</v>
      </c>
      <c r="I347" s="6" t="s">
        <v>136</v>
      </c>
      <c r="J347" s="6">
        <v>0</v>
      </c>
      <c r="L347" s="15">
        <v>1</v>
      </c>
      <c r="M347" s="7">
        <v>45803</v>
      </c>
      <c r="N347" s="7">
        <v>46176</v>
      </c>
      <c r="O347" s="7">
        <v>46174</v>
      </c>
      <c r="P347" s="7">
        <v>46175</v>
      </c>
      <c r="S347" s="6" t="s">
        <v>140</v>
      </c>
      <c r="U347" s="6" t="s">
        <v>413</v>
      </c>
      <c r="V347" s="6" t="str">
        <f>TEXT(N347,"YY/MM")</f>
        <v>26/06</v>
      </c>
      <c r="W347">
        <v>1719</v>
      </c>
      <c r="AA347">
        <v>1073</v>
      </c>
      <c r="AC347">
        <v>1126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>$L347*AI347</f>
        <v>0</v>
      </c>
      <c r="BQ347" s="23">
        <f>$L347*AJ347</f>
        <v>0</v>
      </c>
      <c r="BR347" s="23">
        <f>$L347*AK347</f>
        <v>0</v>
      </c>
      <c r="BS347" s="23">
        <f>$L347*AL347</f>
        <v>0</v>
      </c>
      <c r="BT347" s="23">
        <f>$L347*AM347</f>
        <v>0</v>
      </c>
      <c r="BU347" s="23">
        <f>$L347*AN347</f>
        <v>0</v>
      </c>
      <c r="BV347" s="23">
        <f>$L347*AO347</f>
        <v>0</v>
      </c>
      <c r="BW347" s="23">
        <f>$L347*AP347</f>
        <v>0</v>
      </c>
      <c r="BX347" s="23">
        <f>$L347*AQ347</f>
        <v>0</v>
      </c>
      <c r="BY347" s="23">
        <f>$L347*AR347</f>
        <v>0</v>
      </c>
      <c r="BZ347" s="23">
        <f>$L347*AS347</f>
        <v>0</v>
      </c>
      <c r="CA347" s="23">
        <f>$L347*AT347</f>
        <v>0</v>
      </c>
      <c r="CB347" s="23">
        <f>$L347*AU347</f>
        <v>0</v>
      </c>
      <c r="CC347" s="23">
        <f>$L347*AV347</f>
        <v>0</v>
      </c>
      <c r="CD347" s="23">
        <f>$L347*AW347</f>
        <v>0</v>
      </c>
      <c r="CE347" s="23">
        <f>$L347*AX347</f>
        <v>0</v>
      </c>
      <c r="CF347" s="23">
        <f>$L347*AY347</f>
        <v>0</v>
      </c>
      <c r="CG347" s="23">
        <f>$L347*AZ347</f>
        <v>0</v>
      </c>
      <c r="CH347" s="23">
        <f>$L347*BA347</f>
        <v>0</v>
      </c>
      <c r="CI347" s="23">
        <f>$L347*BB347</f>
        <v>0</v>
      </c>
      <c r="CJ347" s="23">
        <f>$L347*BC347</f>
        <v>0</v>
      </c>
      <c r="CK347" s="23">
        <f>$L347*BD347</f>
        <v>0</v>
      </c>
      <c r="CL347" s="23">
        <f>$L347*BE347</f>
        <v>0</v>
      </c>
      <c r="CM347" s="23">
        <f>$L347*BF347</f>
        <v>0</v>
      </c>
      <c r="CN347" s="23">
        <f>$L347*BG347</f>
        <v>1</v>
      </c>
      <c r="CO347" s="23">
        <f>$L347*BH347</f>
        <v>1</v>
      </c>
      <c r="CP347" s="23">
        <f>$L347*BI347</f>
        <v>1</v>
      </c>
      <c r="CQ347" s="23">
        <f>$L347*BJ347</f>
        <v>1</v>
      </c>
      <c r="CR347" s="23">
        <f>$L347*BK347</f>
        <v>1</v>
      </c>
      <c r="CS347" s="23">
        <f>$L347*BL347</f>
        <v>1</v>
      </c>
      <c r="CT347" s="23">
        <f>$L347*BM347</f>
        <v>1</v>
      </c>
      <c r="CU347" s="23">
        <f>$L347*BN347</f>
        <v>1</v>
      </c>
      <c r="CV347" s="23">
        <f>$L347*BO347</f>
        <v>1</v>
      </c>
    </row>
    <row r="348" spans="1:100" ht="13.5" x14ac:dyDescent="0.15">
      <c r="A348" s="15">
        <v>249</v>
      </c>
      <c r="B348" s="28" t="s">
        <v>731</v>
      </c>
      <c r="C348" t="s">
        <v>414</v>
      </c>
      <c r="E348" t="s">
        <v>140</v>
      </c>
      <c r="F348" t="s">
        <v>415</v>
      </c>
      <c r="G348" t="s">
        <v>140</v>
      </c>
      <c r="H348" t="s">
        <v>141</v>
      </c>
      <c r="I348" s="6" t="s">
        <v>136</v>
      </c>
      <c r="J348" s="6">
        <v>0</v>
      </c>
      <c r="L348" s="15">
        <v>1</v>
      </c>
      <c r="M348" s="7">
        <v>45803</v>
      </c>
      <c r="N348" s="7">
        <v>46177</v>
      </c>
      <c r="O348" s="7">
        <v>46174</v>
      </c>
      <c r="P348" s="7">
        <v>46175</v>
      </c>
      <c r="S348" s="6" t="s">
        <v>140</v>
      </c>
      <c r="U348" s="6" t="s">
        <v>413</v>
      </c>
      <c r="V348" s="6" t="str">
        <f>TEXT(N348,"YY/MM")</f>
        <v>26/06</v>
      </c>
      <c r="W348">
        <v>1720</v>
      </c>
      <c r="AA348">
        <v>1074</v>
      </c>
      <c r="AC348">
        <v>1127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>$L348*AI348</f>
        <v>0</v>
      </c>
      <c r="BQ348" s="23">
        <f>$L348*AJ348</f>
        <v>0</v>
      </c>
      <c r="BR348" s="23">
        <f>$L348*AK348</f>
        <v>0</v>
      </c>
      <c r="BS348" s="23">
        <f>$L348*AL348</f>
        <v>0</v>
      </c>
      <c r="BT348" s="23">
        <f>$L348*AM348</f>
        <v>0</v>
      </c>
      <c r="BU348" s="23">
        <f>$L348*AN348</f>
        <v>0</v>
      </c>
      <c r="BV348" s="23">
        <f>$L348*AO348</f>
        <v>0</v>
      </c>
      <c r="BW348" s="23">
        <f>$L348*AP348</f>
        <v>0</v>
      </c>
      <c r="BX348" s="23">
        <f>$L348*AQ348</f>
        <v>0</v>
      </c>
      <c r="BY348" s="23">
        <f>$L348*AR348</f>
        <v>0</v>
      </c>
      <c r="BZ348" s="23">
        <f>$L348*AS348</f>
        <v>0</v>
      </c>
      <c r="CA348" s="23">
        <f>$L348*AT348</f>
        <v>0</v>
      </c>
      <c r="CB348" s="23">
        <f>$L348*AU348</f>
        <v>0</v>
      </c>
      <c r="CC348" s="23">
        <f>$L348*AV348</f>
        <v>0</v>
      </c>
      <c r="CD348" s="23">
        <f>$L348*AW348</f>
        <v>0</v>
      </c>
      <c r="CE348" s="23">
        <f>$L348*AX348</f>
        <v>0</v>
      </c>
      <c r="CF348" s="23">
        <f>$L348*AY348</f>
        <v>0</v>
      </c>
      <c r="CG348" s="23">
        <f>$L348*AZ348</f>
        <v>0</v>
      </c>
      <c r="CH348" s="23">
        <f>$L348*BA348</f>
        <v>0</v>
      </c>
      <c r="CI348" s="23">
        <f>$L348*BB348</f>
        <v>0</v>
      </c>
      <c r="CJ348" s="23">
        <f>$L348*BC348</f>
        <v>0</v>
      </c>
      <c r="CK348" s="23">
        <f>$L348*BD348</f>
        <v>0</v>
      </c>
      <c r="CL348" s="23">
        <f>$L348*BE348</f>
        <v>0</v>
      </c>
      <c r="CM348" s="23">
        <f>$L348*BF348</f>
        <v>0</v>
      </c>
      <c r="CN348" s="23">
        <f>$L348*BG348</f>
        <v>1</v>
      </c>
      <c r="CO348" s="23">
        <f>$L348*BH348</f>
        <v>1</v>
      </c>
      <c r="CP348" s="23">
        <f>$L348*BI348</f>
        <v>1</v>
      </c>
      <c r="CQ348" s="23">
        <f>$L348*BJ348</f>
        <v>1</v>
      </c>
      <c r="CR348" s="23">
        <f>$L348*BK348</f>
        <v>1</v>
      </c>
      <c r="CS348" s="23">
        <f>$L348*BL348</f>
        <v>1</v>
      </c>
      <c r="CT348" s="23">
        <f>$L348*BM348</f>
        <v>1</v>
      </c>
      <c r="CU348" s="23">
        <f>$L348*BN348</f>
        <v>1</v>
      </c>
      <c r="CV348" s="23">
        <f>$L348*BO348</f>
        <v>1</v>
      </c>
    </row>
    <row r="349" spans="1:100" ht="13.5" x14ac:dyDescent="0.15">
      <c r="A349" s="15">
        <v>249</v>
      </c>
      <c r="B349" s="28" t="s">
        <v>732</v>
      </c>
      <c r="C349" t="s">
        <v>414</v>
      </c>
      <c r="E349" t="s">
        <v>140</v>
      </c>
      <c r="F349" t="s">
        <v>415</v>
      </c>
      <c r="G349" t="s">
        <v>140</v>
      </c>
      <c r="H349" t="s">
        <v>141</v>
      </c>
      <c r="I349" s="6" t="s">
        <v>136</v>
      </c>
      <c r="J349" s="6">
        <v>0</v>
      </c>
      <c r="L349" s="15">
        <v>1</v>
      </c>
      <c r="M349" s="7">
        <v>45803</v>
      </c>
      <c r="N349" s="7">
        <v>46177</v>
      </c>
      <c r="O349" s="7">
        <v>46174</v>
      </c>
      <c r="P349" s="7">
        <v>46175</v>
      </c>
      <c r="S349" s="6" t="s">
        <v>140</v>
      </c>
      <c r="U349" s="6" t="s">
        <v>413</v>
      </c>
      <c r="V349" s="6" t="str">
        <f>TEXT(N349,"YY/MM")</f>
        <v>26/06</v>
      </c>
      <c r="W349">
        <v>1721</v>
      </c>
      <c r="AA349">
        <v>1075</v>
      </c>
      <c r="AC349">
        <v>1128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1</v>
      </c>
      <c r="BP349" s="23">
        <f>$L349*AI349</f>
        <v>0</v>
      </c>
      <c r="BQ349" s="23">
        <f>$L349*AJ349</f>
        <v>0</v>
      </c>
      <c r="BR349" s="23">
        <f>$L349*AK349</f>
        <v>0</v>
      </c>
      <c r="BS349" s="23">
        <f>$L349*AL349</f>
        <v>0</v>
      </c>
      <c r="BT349" s="23">
        <f>$L349*AM349</f>
        <v>0</v>
      </c>
      <c r="BU349" s="23">
        <f>$L349*AN349</f>
        <v>0</v>
      </c>
      <c r="BV349" s="23">
        <f>$L349*AO349</f>
        <v>0</v>
      </c>
      <c r="BW349" s="23">
        <f>$L349*AP349</f>
        <v>0</v>
      </c>
      <c r="BX349" s="23">
        <f>$L349*AQ349</f>
        <v>0</v>
      </c>
      <c r="BY349" s="23">
        <f>$L349*AR349</f>
        <v>0</v>
      </c>
      <c r="BZ349" s="23">
        <f>$L349*AS349</f>
        <v>0</v>
      </c>
      <c r="CA349" s="23">
        <f>$L349*AT349</f>
        <v>0</v>
      </c>
      <c r="CB349" s="23">
        <f>$L349*AU349</f>
        <v>0</v>
      </c>
      <c r="CC349" s="23">
        <f>$L349*AV349</f>
        <v>0</v>
      </c>
      <c r="CD349" s="23">
        <f>$L349*AW349</f>
        <v>0</v>
      </c>
      <c r="CE349" s="23">
        <f>$L349*AX349</f>
        <v>0</v>
      </c>
      <c r="CF349" s="23">
        <f>$L349*AY349</f>
        <v>0</v>
      </c>
      <c r="CG349" s="23">
        <f>$L349*AZ349</f>
        <v>0</v>
      </c>
      <c r="CH349" s="23">
        <f>$L349*BA349</f>
        <v>0</v>
      </c>
      <c r="CI349" s="23">
        <f>$L349*BB349</f>
        <v>0</v>
      </c>
      <c r="CJ349" s="23">
        <f>$L349*BC349</f>
        <v>0</v>
      </c>
      <c r="CK349" s="23">
        <f>$L349*BD349</f>
        <v>0</v>
      </c>
      <c r="CL349" s="23">
        <f>$L349*BE349</f>
        <v>0</v>
      </c>
      <c r="CM349" s="23">
        <f>$L349*BF349</f>
        <v>0</v>
      </c>
      <c r="CN349" s="23">
        <f>$L349*BG349</f>
        <v>1</v>
      </c>
      <c r="CO349" s="23">
        <f>$L349*BH349</f>
        <v>1</v>
      </c>
      <c r="CP349" s="23">
        <f>$L349*BI349</f>
        <v>1</v>
      </c>
      <c r="CQ349" s="23">
        <f>$L349*BJ349</f>
        <v>1</v>
      </c>
      <c r="CR349" s="23">
        <f>$L349*BK349</f>
        <v>1</v>
      </c>
      <c r="CS349" s="23">
        <f>$L349*BL349</f>
        <v>1</v>
      </c>
      <c r="CT349" s="23">
        <f>$L349*BM349</f>
        <v>1</v>
      </c>
      <c r="CU349" s="23">
        <f>$L349*BN349</f>
        <v>1</v>
      </c>
      <c r="CV349" s="23">
        <f>$L349*BO349</f>
        <v>1</v>
      </c>
    </row>
    <row r="350" spans="1:100" ht="13.5" x14ac:dyDescent="0.15">
      <c r="A350" s="15">
        <v>249</v>
      </c>
      <c r="B350" s="28" t="s">
        <v>733</v>
      </c>
      <c r="C350" t="s">
        <v>414</v>
      </c>
      <c r="E350" t="s">
        <v>140</v>
      </c>
      <c r="F350" t="s">
        <v>415</v>
      </c>
      <c r="G350" t="s">
        <v>140</v>
      </c>
      <c r="H350" t="s">
        <v>141</v>
      </c>
      <c r="I350" s="6" t="s">
        <v>136</v>
      </c>
      <c r="J350" s="6">
        <v>0</v>
      </c>
      <c r="L350" s="15">
        <v>1</v>
      </c>
      <c r="M350" s="7">
        <v>45803</v>
      </c>
      <c r="N350" s="7">
        <v>46177</v>
      </c>
      <c r="O350" s="7">
        <v>46174</v>
      </c>
      <c r="P350" s="7">
        <v>46175</v>
      </c>
      <c r="S350" s="6" t="s">
        <v>140</v>
      </c>
      <c r="U350" s="6" t="s">
        <v>413</v>
      </c>
      <c r="V350" s="6" t="str">
        <f>TEXT(N350,"YY/MM")</f>
        <v>26/06</v>
      </c>
      <c r="W350">
        <v>1722</v>
      </c>
      <c r="AA350">
        <v>1076</v>
      </c>
      <c r="AC350">
        <v>1129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>$L350*AI350</f>
        <v>0</v>
      </c>
      <c r="BQ350" s="23">
        <f>$L350*AJ350</f>
        <v>0</v>
      </c>
      <c r="BR350" s="23">
        <f>$L350*AK350</f>
        <v>0</v>
      </c>
      <c r="BS350" s="23">
        <f>$L350*AL350</f>
        <v>0</v>
      </c>
      <c r="BT350" s="23">
        <f>$L350*AM350</f>
        <v>0</v>
      </c>
      <c r="BU350" s="23">
        <f>$L350*AN350</f>
        <v>0</v>
      </c>
      <c r="BV350" s="23">
        <f>$L350*AO350</f>
        <v>0</v>
      </c>
      <c r="BW350" s="23">
        <f>$L350*AP350</f>
        <v>0</v>
      </c>
      <c r="BX350" s="23">
        <f>$L350*AQ350</f>
        <v>0</v>
      </c>
      <c r="BY350" s="23">
        <f>$L350*AR350</f>
        <v>0</v>
      </c>
      <c r="BZ350" s="23">
        <f>$L350*AS350</f>
        <v>0</v>
      </c>
      <c r="CA350" s="23">
        <f>$L350*AT350</f>
        <v>0</v>
      </c>
      <c r="CB350" s="23">
        <f>$L350*AU350</f>
        <v>0</v>
      </c>
      <c r="CC350" s="23">
        <f>$L350*AV350</f>
        <v>0</v>
      </c>
      <c r="CD350" s="23">
        <f>$L350*AW350</f>
        <v>0</v>
      </c>
      <c r="CE350" s="23">
        <f>$L350*AX350</f>
        <v>0</v>
      </c>
      <c r="CF350" s="23">
        <f>$L350*AY350</f>
        <v>0</v>
      </c>
      <c r="CG350" s="23">
        <f>$L350*AZ350</f>
        <v>0</v>
      </c>
      <c r="CH350" s="23">
        <f>$L350*BA350</f>
        <v>0</v>
      </c>
      <c r="CI350" s="23">
        <f>$L350*BB350</f>
        <v>0</v>
      </c>
      <c r="CJ350" s="23">
        <f>$L350*BC350</f>
        <v>0</v>
      </c>
      <c r="CK350" s="23">
        <f>$L350*BD350</f>
        <v>0</v>
      </c>
      <c r="CL350" s="23">
        <f>$L350*BE350</f>
        <v>0</v>
      </c>
      <c r="CM350" s="23">
        <f>$L350*BF350</f>
        <v>0</v>
      </c>
      <c r="CN350" s="23">
        <f>$L350*BG350</f>
        <v>1</v>
      </c>
      <c r="CO350" s="23">
        <f>$L350*BH350</f>
        <v>1</v>
      </c>
      <c r="CP350" s="23">
        <f>$L350*BI350</f>
        <v>1</v>
      </c>
      <c r="CQ350" s="23">
        <f>$L350*BJ350</f>
        <v>1</v>
      </c>
      <c r="CR350" s="23">
        <f>$L350*BK350</f>
        <v>1</v>
      </c>
      <c r="CS350" s="23">
        <f>$L350*BL350</f>
        <v>1</v>
      </c>
      <c r="CT350" s="23">
        <f>$L350*BM350</f>
        <v>1</v>
      </c>
      <c r="CU350" s="23">
        <f>$L350*BN350</f>
        <v>1</v>
      </c>
      <c r="CV350" s="23">
        <f>$L350*BO350</f>
        <v>1</v>
      </c>
    </row>
    <row r="351" spans="1:100" ht="13.5" x14ac:dyDescent="0.15">
      <c r="A351" s="15">
        <v>249</v>
      </c>
      <c r="B351" s="28" t="s">
        <v>734</v>
      </c>
      <c r="C351" t="s">
        <v>414</v>
      </c>
      <c r="E351" t="s">
        <v>140</v>
      </c>
      <c r="F351" t="s">
        <v>415</v>
      </c>
      <c r="G351" t="s">
        <v>140</v>
      </c>
      <c r="H351" t="s">
        <v>141</v>
      </c>
      <c r="I351" s="6" t="s">
        <v>136</v>
      </c>
      <c r="J351" s="6">
        <v>0</v>
      </c>
      <c r="L351" s="15">
        <v>1</v>
      </c>
      <c r="M351" s="7">
        <v>45803</v>
      </c>
      <c r="N351" s="7">
        <v>46177</v>
      </c>
      <c r="O351" s="7">
        <v>46174</v>
      </c>
      <c r="P351" s="7">
        <v>46175</v>
      </c>
      <c r="S351" s="6" t="s">
        <v>140</v>
      </c>
      <c r="U351" s="6" t="s">
        <v>413</v>
      </c>
      <c r="V351" s="6" t="str">
        <f>TEXT(N351,"YY/MM")</f>
        <v>26/06</v>
      </c>
      <c r="W351">
        <v>1723</v>
      </c>
      <c r="AA351">
        <v>1077</v>
      </c>
      <c r="AC351">
        <v>1130</v>
      </c>
      <c r="AI351" s="23">
        <v>0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  <c r="BP351" s="23">
        <f>$L351*AI351</f>
        <v>0</v>
      </c>
      <c r="BQ351" s="23">
        <f>$L351*AJ351</f>
        <v>0</v>
      </c>
      <c r="BR351" s="23">
        <f>$L351*AK351</f>
        <v>0</v>
      </c>
      <c r="BS351" s="23">
        <f>$L351*AL351</f>
        <v>0</v>
      </c>
      <c r="BT351" s="23">
        <f>$L351*AM351</f>
        <v>0</v>
      </c>
      <c r="BU351" s="23">
        <f>$L351*AN351</f>
        <v>0</v>
      </c>
      <c r="BV351" s="23">
        <f>$L351*AO351</f>
        <v>0</v>
      </c>
      <c r="BW351" s="23">
        <f>$L351*AP351</f>
        <v>0</v>
      </c>
      <c r="BX351" s="23">
        <f>$L351*AQ351</f>
        <v>0</v>
      </c>
      <c r="BY351" s="23">
        <f>$L351*AR351</f>
        <v>0</v>
      </c>
      <c r="BZ351" s="23">
        <f>$L351*AS351</f>
        <v>0</v>
      </c>
      <c r="CA351" s="23">
        <f>$L351*AT351</f>
        <v>0</v>
      </c>
      <c r="CB351" s="23">
        <f>$L351*AU351</f>
        <v>0</v>
      </c>
      <c r="CC351" s="23">
        <f>$L351*AV351</f>
        <v>0</v>
      </c>
      <c r="CD351" s="23">
        <f>$L351*AW351</f>
        <v>0</v>
      </c>
      <c r="CE351" s="23">
        <f>$L351*AX351</f>
        <v>0</v>
      </c>
      <c r="CF351" s="23">
        <f>$L351*AY351</f>
        <v>0</v>
      </c>
      <c r="CG351" s="23">
        <f>$L351*AZ351</f>
        <v>0</v>
      </c>
      <c r="CH351" s="23">
        <f>$L351*BA351</f>
        <v>0</v>
      </c>
      <c r="CI351" s="23">
        <f>$L351*BB351</f>
        <v>0</v>
      </c>
      <c r="CJ351" s="23">
        <f>$L351*BC351</f>
        <v>0</v>
      </c>
      <c r="CK351" s="23">
        <f>$L351*BD351</f>
        <v>0</v>
      </c>
      <c r="CL351" s="23">
        <f>$L351*BE351</f>
        <v>0</v>
      </c>
      <c r="CM351" s="23">
        <f>$L351*BF351</f>
        <v>0</v>
      </c>
      <c r="CN351" s="23">
        <f>$L351*BG351</f>
        <v>1</v>
      </c>
      <c r="CO351" s="23">
        <f>$L351*BH351</f>
        <v>1</v>
      </c>
      <c r="CP351" s="23">
        <f>$L351*BI351</f>
        <v>1</v>
      </c>
      <c r="CQ351" s="23">
        <f>$L351*BJ351</f>
        <v>1</v>
      </c>
      <c r="CR351" s="23">
        <f>$L351*BK351</f>
        <v>1</v>
      </c>
      <c r="CS351" s="23">
        <f>$L351*BL351</f>
        <v>1</v>
      </c>
      <c r="CT351" s="23">
        <f>$L351*BM351</f>
        <v>1</v>
      </c>
      <c r="CU351" s="23">
        <f>$L351*BN351</f>
        <v>1</v>
      </c>
      <c r="CV351" s="23">
        <f>$L351*BO351</f>
        <v>1</v>
      </c>
    </row>
    <row r="352" spans="1:100" ht="13.5" x14ac:dyDescent="0.15">
      <c r="A352" s="15">
        <v>249</v>
      </c>
      <c r="B352" s="28" t="s">
        <v>735</v>
      </c>
      <c r="C352" t="s">
        <v>414</v>
      </c>
      <c r="E352" t="s">
        <v>140</v>
      </c>
      <c r="F352" t="s">
        <v>415</v>
      </c>
      <c r="G352" t="s">
        <v>140</v>
      </c>
      <c r="H352" t="s">
        <v>141</v>
      </c>
      <c r="I352" s="6" t="s">
        <v>136</v>
      </c>
      <c r="J352" s="6">
        <v>0</v>
      </c>
      <c r="L352" s="15">
        <v>1</v>
      </c>
      <c r="M352" s="7">
        <v>45803</v>
      </c>
      <c r="N352" s="7">
        <v>46177</v>
      </c>
      <c r="O352" s="7">
        <v>46174</v>
      </c>
      <c r="P352" s="7">
        <v>46175</v>
      </c>
      <c r="S352" s="6" t="s">
        <v>140</v>
      </c>
      <c r="U352" s="6" t="s">
        <v>413</v>
      </c>
      <c r="V352" s="6" t="str">
        <f>TEXT(N352,"YY/MM")</f>
        <v>26/06</v>
      </c>
      <c r="W352">
        <v>1724</v>
      </c>
      <c r="AA352">
        <v>1078</v>
      </c>
      <c r="AC352">
        <v>1131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1</v>
      </c>
      <c r="BH352" s="23">
        <v>1</v>
      </c>
      <c r="BI352" s="23">
        <v>1</v>
      </c>
      <c r="BJ352" s="23">
        <v>1</v>
      </c>
      <c r="BK352" s="23">
        <v>1</v>
      </c>
      <c r="BL352" s="23">
        <v>1</v>
      </c>
      <c r="BM352" s="23">
        <v>1</v>
      </c>
      <c r="BN352" s="23">
        <v>1</v>
      </c>
      <c r="BO352" s="23">
        <v>1</v>
      </c>
      <c r="BP352" s="23">
        <f>$L352*AI352</f>
        <v>0</v>
      </c>
      <c r="BQ352" s="23">
        <f>$L352*AJ352</f>
        <v>0</v>
      </c>
      <c r="BR352" s="23">
        <f>$L352*AK352</f>
        <v>0</v>
      </c>
      <c r="BS352" s="23">
        <f>$L352*AL352</f>
        <v>0</v>
      </c>
      <c r="BT352" s="23">
        <f>$L352*AM352</f>
        <v>0</v>
      </c>
      <c r="BU352" s="23">
        <f>$L352*AN352</f>
        <v>0</v>
      </c>
      <c r="BV352" s="23">
        <f>$L352*AO352</f>
        <v>0</v>
      </c>
      <c r="BW352" s="23">
        <f>$L352*AP352</f>
        <v>0</v>
      </c>
      <c r="BX352" s="23">
        <f>$L352*AQ352</f>
        <v>0</v>
      </c>
      <c r="BY352" s="23">
        <f>$L352*AR352</f>
        <v>0</v>
      </c>
      <c r="BZ352" s="23">
        <f>$L352*AS352</f>
        <v>0</v>
      </c>
      <c r="CA352" s="23">
        <f>$L352*AT352</f>
        <v>0</v>
      </c>
      <c r="CB352" s="23">
        <f>$L352*AU352</f>
        <v>0</v>
      </c>
      <c r="CC352" s="23">
        <f>$L352*AV352</f>
        <v>0</v>
      </c>
      <c r="CD352" s="23">
        <f>$L352*AW352</f>
        <v>0</v>
      </c>
      <c r="CE352" s="23">
        <f>$L352*AX352</f>
        <v>0</v>
      </c>
      <c r="CF352" s="23">
        <f>$L352*AY352</f>
        <v>0</v>
      </c>
      <c r="CG352" s="23">
        <f>$L352*AZ352</f>
        <v>0</v>
      </c>
      <c r="CH352" s="23">
        <f>$L352*BA352</f>
        <v>0</v>
      </c>
      <c r="CI352" s="23">
        <f>$L352*BB352</f>
        <v>0</v>
      </c>
      <c r="CJ352" s="23">
        <f>$L352*BC352</f>
        <v>0</v>
      </c>
      <c r="CK352" s="23">
        <f>$L352*BD352</f>
        <v>0</v>
      </c>
      <c r="CL352" s="23">
        <f>$L352*BE352</f>
        <v>0</v>
      </c>
      <c r="CM352" s="23">
        <f>$L352*BF352</f>
        <v>0</v>
      </c>
      <c r="CN352" s="23">
        <f>$L352*BG352</f>
        <v>1</v>
      </c>
      <c r="CO352" s="23">
        <f>$L352*BH352</f>
        <v>1</v>
      </c>
      <c r="CP352" s="23">
        <f>$L352*BI352</f>
        <v>1</v>
      </c>
      <c r="CQ352" s="23">
        <f>$L352*BJ352</f>
        <v>1</v>
      </c>
      <c r="CR352" s="23">
        <f>$L352*BK352</f>
        <v>1</v>
      </c>
      <c r="CS352" s="23">
        <f>$L352*BL352</f>
        <v>1</v>
      </c>
      <c r="CT352" s="23">
        <f>$L352*BM352</f>
        <v>1</v>
      </c>
      <c r="CU352" s="23">
        <f>$L352*BN352</f>
        <v>1</v>
      </c>
      <c r="CV352" s="23">
        <f>$L352*BO352</f>
        <v>1</v>
      </c>
    </row>
    <row r="353" spans="1:100" ht="13.5" x14ac:dyDescent="0.15">
      <c r="A353" s="15">
        <v>249</v>
      </c>
      <c r="B353" s="28" t="s">
        <v>736</v>
      </c>
      <c r="C353" t="s">
        <v>414</v>
      </c>
      <c r="E353" t="s">
        <v>140</v>
      </c>
      <c r="F353" t="s">
        <v>415</v>
      </c>
      <c r="G353" t="s">
        <v>140</v>
      </c>
      <c r="H353" t="s">
        <v>141</v>
      </c>
      <c r="I353" s="6" t="s">
        <v>136</v>
      </c>
      <c r="J353" s="6">
        <v>0</v>
      </c>
      <c r="L353" s="15">
        <v>1</v>
      </c>
      <c r="M353" s="7">
        <v>45803</v>
      </c>
      <c r="N353" s="7">
        <v>46177</v>
      </c>
      <c r="O353" s="7">
        <v>46174</v>
      </c>
      <c r="P353" s="7">
        <v>46175</v>
      </c>
      <c r="S353" s="6" t="s">
        <v>140</v>
      </c>
      <c r="U353" s="6" t="s">
        <v>413</v>
      </c>
      <c r="V353" s="6" t="str">
        <f>TEXT(N353,"YY/MM")</f>
        <v>26/06</v>
      </c>
      <c r="W353">
        <v>1725</v>
      </c>
      <c r="AA353">
        <v>1079</v>
      </c>
      <c r="AC353">
        <v>1132</v>
      </c>
      <c r="AI353" s="23">
        <v>0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1</v>
      </c>
      <c r="BH353" s="23">
        <v>1</v>
      </c>
      <c r="BI353" s="23">
        <v>1</v>
      </c>
      <c r="BJ353" s="23">
        <v>1</v>
      </c>
      <c r="BK353" s="23">
        <v>1</v>
      </c>
      <c r="BL353" s="23">
        <v>1</v>
      </c>
      <c r="BM353" s="23">
        <v>1</v>
      </c>
      <c r="BN353" s="23">
        <v>1</v>
      </c>
      <c r="BO353" s="23">
        <v>1</v>
      </c>
      <c r="BP353" s="23">
        <f>$L353*AI353</f>
        <v>0</v>
      </c>
      <c r="BQ353" s="23">
        <f>$L353*AJ353</f>
        <v>0</v>
      </c>
      <c r="BR353" s="23">
        <f>$L353*AK353</f>
        <v>0</v>
      </c>
      <c r="BS353" s="23">
        <f>$L353*AL353</f>
        <v>0</v>
      </c>
      <c r="BT353" s="23">
        <f>$L353*AM353</f>
        <v>0</v>
      </c>
      <c r="BU353" s="23">
        <f>$L353*AN353</f>
        <v>0</v>
      </c>
      <c r="BV353" s="23">
        <f>$L353*AO353</f>
        <v>0</v>
      </c>
      <c r="BW353" s="23">
        <f>$L353*AP353</f>
        <v>0</v>
      </c>
      <c r="BX353" s="23">
        <f>$L353*AQ353</f>
        <v>0</v>
      </c>
      <c r="BY353" s="23">
        <f>$L353*AR353</f>
        <v>0</v>
      </c>
      <c r="BZ353" s="23">
        <f>$L353*AS353</f>
        <v>0</v>
      </c>
      <c r="CA353" s="23">
        <f>$L353*AT353</f>
        <v>0</v>
      </c>
      <c r="CB353" s="23">
        <f>$L353*AU353</f>
        <v>0</v>
      </c>
      <c r="CC353" s="23">
        <f>$L353*AV353</f>
        <v>0</v>
      </c>
      <c r="CD353" s="23">
        <f>$L353*AW353</f>
        <v>0</v>
      </c>
      <c r="CE353" s="23">
        <f>$L353*AX353</f>
        <v>0</v>
      </c>
      <c r="CF353" s="23">
        <f>$L353*AY353</f>
        <v>0</v>
      </c>
      <c r="CG353" s="23">
        <f>$L353*AZ353</f>
        <v>0</v>
      </c>
      <c r="CH353" s="23">
        <f>$L353*BA353</f>
        <v>0</v>
      </c>
      <c r="CI353" s="23">
        <f>$L353*BB353</f>
        <v>0</v>
      </c>
      <c r="CJ353" s="23">
        <f>$L353*BC353</f>
        <v>0</v>
      </c>
      <c r="CK353" s="23">
        <f>$L353*BD353</f>
        <v>0</v>
      </c>
      <c r="CL353" s="23">
        <f>$L353*BE353</f>
        <v>0</v>
      </c>
      <c r="CM353" s="23">
        <f>$L353*BF353</f>
        <v>0</v>
      </c>
      <c r="CN353" s="23">
        <f>$L353*BG353</f>
        <v>1</v>
      </c>
      <c r="CO353" s="23">
        <f>$L353*BH353</f>
        <v>1</v>
      </c>
      <c r="CP353" s="23">
        <f>$L353*BI353</f>
        <v>1</v>
      </c>
      <c r="CQ353" s="23">
        <f>$L353*BJ353</f>
        <v>1</v>
      </c>
      <c r="CR353" s="23">
        <f>$L353*BK353</f>
        <v>1</v>
      </c>
      <c r="CS353" s="23">
        <f>$L353*BL353</f>
        <v>1</v>
      </c>
      <c r="CT353" s="23">
        <f>$L353*BM353</f>
        <v>1</v>
      </c>
      <c r="CU353" s="23">
        <f>$L353*BN353</f>
        <v>1</v>
      </c>
      <c r="CV353" s="23">
        <f>$L353*BO353</f>
        <v>1</v>
      </c>
    </row>
    <row r="354" spans="1:100" ht="13.5" x14ac:dyDescent="0.15">
      <c r="A354" s="15">
        <v>249</v>
      </c>
      <c r="B354" s="28" t="s">
        <v>737</v>
      </c>
      <c r="C354" t="s">
        <v>414</v>
      </c>
      <c r="E354" t="s">
        <v>140</v>
      </c>
      <c r="F354" t="s">
        <v>415</v>
      </c>
      <c r="G354" t="s">
        <v>140</v>
      </c>
      <c r="H354" t="s">
        <v>141</v>
      </c>
      <c r="I354" s="6" t="s">
        <v>136</v>
      </c>
      <c r="J354" s="6">
        <v>0</v>
      </c>
      <c r="L354" s="15">
        <v>1</v>
      </c>
      <c r="M354" s="7">
        <v>45803</v>
      </c>
      <c r="N354" s="7">
        <v>46178</v>
      </c>
      <c r="O354" s="7">
        <v>46174</v>
      </c>
      <c r="P354" s="7">
        <v>46175</v>
      </c>
      <c r="S354" s="6" t="s">
        <v>140</v>
      </c>
      <c r="U354" s="6" t="s">
        <v>413</v>
      </c>
      <c r="V354" s="6" t="str">
        <f>TEXT(N354,"YY/MM")</f>
        <v>26/06</v>
      </c>
      <c r="W354">
        <v>1726</v>
      </c>
      <c r="AA354">
        <v>1080</v>
      </c>
      <c r="AC354">
        <v>1133</v>
      </c>
      <c r="AI354" s="23">
        <v>0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1</v>
      </c>
      <c r="BH354" s="23">
        <v>1</v>
      </c>
      <c r="BI354" s="23">
        <v>1</v>
      </c>
      <c r="BJ354" s="23">
        <v>1</v>
      </c>
      <c r="BK354" s="23">
        <v>1</v>
      </c>
      <c r="BL354" s="23">
        <v>1</v>
      </c>
      <c r="BM354" s="23">
        <v>1</v>
      </c>
      <c r="BN354" s="23">
        <v>1</v>
      </c>
      <c r="BO354" s="23">
        <v>1</v>
      </c>
      <c r="BP354" s="23">
        <f>$L354*AI354</f>
        <v>0</v>
      </c>
      <c r="BQ354" s="23">
        <f>$L354*AJ354</f>
        <v>0</v>
      </c>
      <c r="BR354" s="23">
        <f>$L354*AK354</f>
        <v>0</v>
      </c>
      <c r="BS354" s="23">
        <f>$L354*AL354</f>
        <v>0</v>
      </c>
      <c r="BT354" s="23">
        <f>$L354*AM354</f>
        <v>0</v>
      </c>
      <c r="BU354" s="23">
        <f>$L354*AN354</f>
        <v>0</v>
      </c>
      <c r="BV354" s="23">
        <f>$L354*AO354</f>
        <v>0</v>
      </c>
      <c r="BW354" s="23">
        <f>$L354*AP354</f>
        <v>0</v>
      </c>
      <c r="BX354" s="23">
        <f>$L354*AQ354</f>
        <v>0</v>
      </c>
      <c r="BY354" s="23">
        <f>$L354*AR354</f>
        <v>0</v>
      </c>
      <c r="BZ354" s="23">
        <f>$L354*AS354</f>
        <v>0</v>
      </c>
      <c r="CA354" s="23">
        <f>$L354*AT354</f>
        <v>0</v>
      </c>
      <c r="CB354" s="23">
        <f>$L354*AU354</f>
        <v>0</v>
      </c>
      <c r="CC354" s="23">
        <f>$L354*AV354</f>
        <v>0</v>
      </c>
      <c r="CD354" s="23">
        <f>$L354*AW354</f>
        <v>0</v>
      </c>
      <c r="CE354" s="23">
        <f>$L354*AX354</f>
        <v>0</v>
      </c>
      <c r="CF354" s="23">
        <f>$L354*AY354</f>
        <v>0</v>
      </c>
      <c r="CG354" s="23">
        <f>$L354*AZ354</f>
        <v>0</v>
      </c>
      <c r="CH354" s="23">
        <f>$L354*BA354</f>
        <v>0</v>
      </c>
      <c r="CI354" s="23">
        <f>$L354*BB354</f>
        <v>0</v>
      </c>
      <c r="CJ354" s="23">
        <f>$L354*BC354</f>
        <v>0</v>
      </c>
      <c r="CK354" s="23">
        <f>$L354*BD354</f>
        <v>0</v>
      </c>
      <c r="CL354" s="23">
        <f>$L354*BE354</f>
        <v>0</v>
      </c>
      <c r="CM354" s="23">
        <f>$L354*BF354</f>
        <v>0</v>
      </c>
      <c r="CN354" s="23">
        <f>$L354*BG354</f>
        <v>1</v>
      </c>
      <c r="CO354" s="23">
        <f>$L354*BH354</f>
        <v>1</v>
      </c>
      <c r="CP354" s="23">
        <f>$L354*BI354</f>
        <v>1</v>
      </c>
      <c r="CQ354" s="23">
        <f>$L354*BJ354</f>
        <v>1</v>
      </c>
      <c r="CR354" s="23">
        <f>$L354*BK354</f>
        <v>1</v>
      </c>
      <c r="CS354" s="23">
        <f>$L354*BL354</f>
        <v>1</v>
      </c>
      <c r="CT354" s="23">
        <f>$L354*BM354</f>
        <v>1</v>
      </c>
      <c r="CU354" s="23">
        <f>$L354*BN354</f>
        <v>1</v>
      </c>
      <c r="CV354" s="23">
        <f>$L354*BO354</f>
        <v>1</v>
      </c>
    </row>
    <row r="355" spans="1:100" ht="13.5" x14ac:dyDescent="0.15">
      <c r="A355" s="15">
        <v>249</v>
      </c>
      <c r="B355" s="28" t="s">
        <v>738</v>
      </c>
      <c r="C355" t="s">
        <v>414</v>
      </c>
      <c r="E355" t="s">
        <v>140</v>
      </c>
      <c r="F355" t="s">
        <v>415</v>
      </c>
      <c r="G355" t="s">
        <v>140</v>
      </c>
      <c r="H355" t="s">
        <v>141</v>
      </c>
      <c r="I355" s="6" t="s">
        <v>136</v>
      </c>
      <c r="J355" s="6">
        <v>0</v>
      </c>
      <c r="L355" s="15">
        <v>1</v>
      </c>
      <c r="M355" s="7">
        <v>45803</v>
      </c>
      <c r="N355" s="7">
        <v>46178</v>
      </c>
      <c r="O355" s="7">
        <v>46174</v>
      </c>
      <c r="P355" s="7">
        <v>46175</v>
      </c>
      <c r="S355" s="6" t="s">
        <v>140</v>
      </c>
      <c r="U355" s="6" t="s">
        <v>413</v>
      </c>
      <c r="V355" s="6" t="str">
        <f>TEXT(N355,"YY/MM")</f>
        <v>26/06</v>
      </c>
      <c r="W355">
        <v>1727</v>
      </c>
      <c r="AA355">
        <v>1081</v>
      </c>
      <c r="AC355">
        <v>1134</v>
      </c>
      <c r="AI355" s="23">
        <v>0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1</v>
      </c>
      <c r="BH355" s="23">
        <v>1</v>
      </c>
      <c r="BI355" s="23">
        <v>1</v>
      </c>
      <c r="BJ355" s="23">
        <v>1</v>
      </c>
      <c r="BK355" s="23">
        <v>1</v>
      </c>
      <c r="BL355" s="23">
        <v>1</v>
      </c>
      <c r="BM355" s="23">
        <v>1</v>
      </c>
      <c r="BN355" s="23">
        <v>1</v>
      </c>
      <c r="BO355" s="23">
        <v>1</v>
      </c>
      <c r="BP355" s="23">
        <f>$L355*AI355</f>
        <v>0</v>
      </c>
      <c r="BQ355" s="23">
        <f>$L355*AJ355</f>
        <v>0</v>
      </c>
      <c r="BR355" s="23">
        <f>$L355*AK355</f>
        <v>0</v>
      </c>
      <c r="BS355" s="23">
        <f>$L355*AL355</f>
        <v>0</v>
      </c>
      <c r="BT355" s="23">
        <f>$L355*AM355</f>
        <v>0</v>
      </c>
      <c r="BU355" s="23">
        <f>$L355*AN355</f>
        <v>0</v>
      </c>
      <c r="BV355" s="23">
        <f>$L355*AO355</f>
        <v>0</v>
      </c>
      <c r="BW355" s="23">
        <f>$L355*AP355</f>
        <v>0</v>
      </c>
      <c r="BX355" s="23">
        <f>$L355*AQ355</f>
        <v>0</v>
      </c>
      <c r="BY355" s="23">
        <f>$L355*AR355</f>
        <v>0</v>
      </c>
      <c r="BZ355" s="23">
        <f>$L355*AS355</f>
        <v>0</v>
      </c>
      <c r="CA355" s="23">
        <f>$L355*AT355</f>
        <v>0</v>
      </c>
      <c r="CB355" s="23">
        <f>$L355*AU355</f>
        <v>0</v>
      </c>
      <c r="CC355" s="23">
        <f>$L355*AV355</f>
        <v>0</v>
      </c>
      <c r="CD355" s="23">
        <f>$L355*AW355</f>
        <v>0</v>
      </c>
      <c r="CE355" s="23">
        <f>$L355*AX355</f>
        <v>0</v>
      </c>
      <c r="CF355" s="23">
        <f>$L355*AY355</f>
        <v>0</v>
      </c>
      <c r="CG355" s="23">
        <f>$L355*AZ355</f>
        <v>0</v>
      </c>
      <c r="CH355" s="23">
        <f>$L355*BA355</f>
        <v>0</v>
      </c>
      <c r="CI355" s="23">
        <f>$L355*BB355</f>
        <v>0</v>
      </c>
      <c r="CJ355" s="23">
        <f>$L355*BC355</f>
        <v>0</v>
      </c>
      <c r="CK355" s="23">
        <f>$L355*BD355</f>
        <v>0</v>
      </c>
      <c r="CL355" s="23">
        <f>$L355*BE355</f>
        <v>0</v>
      </c>
      <c r="CM355" s="23">
        <f>$L355*BF355</f>
        <v>0</v>
      </c>
      <c r="CN355" s="23">
        <f>$L355*BG355</f>
        <v>1</v>
      </c>
      <c r="CO355" s="23">
        <f>$L355*BH355</f>
        <v>1</v>
      </c>
      <c r="CP355" s="23">
        <f>$L355*BI355</f>
        <v>1</v>
      </c>
      <c r="CQ355" s="23">
        <f>$L355*BJ355</f>
        <v>1</v>
      </c>
      <c r="CR355" s="23">
        <f>$L355*BK355</f>
        <v>1</v>
      </c>
      <c r="CS355" s="23">
        <f>$L355*BL355</f>
        <v>1</v>
      </c>
      <c r="CT355" s="23">
        <f>$L355*BM355</f>
        <v>1</v>
      </c>
      <c r="CU355" s="23">
        <f>$L355*BN355</f>
        <v>1</v>
      </c>
      <c r="CV355" s="23">
        <f>$L355*BO355</f>
        <v>1</v>
      </c>
    </row>
    <row r="356" spans="1:100" ht="13.5" x14ac:dyDescent="0.15">
      <c r="A356" s="15">
        <v>249</v>
      </c>
      <c r="B356" s="28" t="s">
        <v>739</v>
      </c>
      <c r="C356" t="s">
        <v>414</v>
      </c>
      <c r="E356" t="s">
        <v>140</v>
      </c>
      <c r="F356" t="s">
        <v>415</v>
      </c>
      <c r="G356" t="s">
        <v>140</v>
      </c>
      <c r="H356" t="s">
        <v>141</v>
      </c>
      <c r="I356" s="6" t="s">
        <v>136</v>
      </c>
      <c r="J356" s="6">
        <v>0</v>
      </c>
      <c r="L356" s="15">
        <v>1</v>
      </c>
      <c r="M356" s="7">
        <v>45803</v>
      </c>
      <c r="N356" s="7">
        <v>46178</v>
      </c>
      <c r="O356" s="7">
        <v>46174</v>
      </c>
      <c r="P356" s="7">
        <v>46175</v>
      </c>
      <c r="S356" s="6" t="s">
        <v>140</v>
      </c>
      <c r="U356" s="6" t="s">
        <v>413</v>
      </c>
      <c r="V356" s="6" t="str">
        <f>TEXT(N356,"YY/MM")</f>
        <v>26/06</v>
      </c>
      <c r="W356">
        <v>1728</v>
      </c>
      <c r="AA356">
        <v>1082</v>
      </c>
      <c r="AC356">
        <v>1135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1</v>
      </c>
      <c r="BH356" s="23">
        <v>1</v>
      </c>
      <c r="BI356" s="23">
        <v>1</v>
      </c>
      <c r="BJ356" s="23">
        <v>1</v>
      </c>
      <c r="BK356" s="23">
        <v>1</v>
      </c>
      <c r="BL356" s="23">
        <v>1</v>
      </c>
      <c r="BM356" s="23">
        <v>1</v>
      </c>
      <c r="BN356" s="23">
        <v>1</v>
      </c>
      <c r="BO356" s="23">
        <v>1</v>
      </c>
      <c r="BP356" s="23">
        <f>$L356*AI356</f>
        <v>0</v>
      </c>
      <c r="BQ356" s="23">
        <f>$L356*AJ356</f>
        <v>0</v>
      </c>
      <c r="BR356" s="23">
        <f>$L356*AK356</f>
        <v>0</v>
      </c>
      <c r="BS356" s="23">
        <f>$L356*AL356</f>
        <v>0</v>
      </c>
      <c r="BT356" s="23">
        <f>$L356*AM356</f>
        <v>0</v>
      </c>
      <c r="BU356" s="23">
        <f>$L356*AN356</f>
        <v>0</v>
      </c>
      <c r="BV356" s="23">
        <f>$L356*AO356</f>
        <v>0</v>
      </c>
      <c r="BW356" s="23">
        <f>$L356*AP356</f>
        <v>0</v>
      </c>
      <c r="BX356" s="23">
        <f>$L356*AQ356</f>
        <v>0</v>
      </c>
      <c r="BY356" s="23">
        <f>$L356*AR356</f>
        <v>0</v>
      </c>
      <c r="BZ356" s="23">
        <f>$L356*AS356</f>
        <v>0</v>
      </c>
      <c r="CA356" s="23">
        <f>$L356*AT356</f>
        <v>0</v>
      </c>
      <c r="CB356" s="23">
        <f>$L356*AU356</f>
        <v>0</v>
      </c>
      <c r="CC356" s="23">
        <f>$L356*AV356</f>
        <v>0</v>
      </c>
      <c r="CD356" s="23">
        <f>$L356*AW356</f>
        <v>0</v>
      </c>
      <c r="CE356" s="23">
        <f>$L356*AX356</f>
        <v>0</v>
      </c>
      <c r="CF356" s="23">
        <f>$L356*AY356</f>
        <v>0</v>
      </c>
      <c r="CG356" s="23">
        <f>$L356*AZ356</f>
        <v>0</v>
      </c>
      <c r="CH356" s="23">
        <f>$L356*BA356</f>
        <v>0</v>
      </c>
      <c r="CI356" s="23">
        <f>$L356*BB356</f>
        <v>0</v>
      </c>
      <c r="CJ356" s="23">
        <f>$L356*BC356</f>
        <v>0</v>
      </c>
      <c r="CK356" s="23">
        <f>$L356*BD356</f>
        <v>0</v>
      </c>
      <c r="CL356" s="23">
        <f>$L356*BE356</f>
        <v>0</v>
      </c>
      <c r="CM356" s="23">
        <f>$L356*BF356</f>
        <v>0</v>
      </c>
      <c r="CN356" s="23">
        <f>$L356*BG356</f>
        <v>1</v>
      </c>
      <c r="CO356" s="23">
        <f>$L356*BH356</f>
        <v>1</v>
      </c>
      <c r="CP356" s="23">
        <f>$L356*BI356</f>
        <v>1</v>
      </c>
      <c r="CQ356" s="23">
        <f>$L356*BJ356</f>
        <v>1</v>
      </c>
      <c r="CR356" s="23">
        <f>$L356*BK356</f>
        <v>1</v>
      </c>
      <c r="CS356" s="23">
        <f>$L356*BL356</f>
        <v>1</v>
      </c>
      <c r="CT356" s="23">
        <f>$L356*BM356</f>
        <v>1</v>
      </c>
      <c r="CU356" s="23">
        <f>$L356*BN356</f>
        <v>1</v>
      </c>
      <c r="CV356" s="23">
        <f>$L356*BO356</f>
        <v>1</v>
      </c>
    </row>
    <row r="357" spans="1:100" ht="13.5" x14ac:dyDescent="0.15">
      <c r="A357" s="15">
        <v>249</v>
      </c>
      <c r="B357" s="28" t="s">
        <v>740</v>
      </c>
      <c r="C357" t="s">
        <v>414</v>
      </c>
      <c r="E357" t="s">
        <v>140</v>
      </c>
      <c r="F357" t="s">
        <v>415</v>
      </c>
      <c r="G357" t="s">
        <v>140</v>
      </c>
      <c r="H357" t="s">
        <v>141</v>
      </c>
      <c r="I357" s="6" t="s">
        <v>136</v>
      </c>
      <c r="J357" s="6">
        <v>0</v>
      </c>
      <c r="L357" s="15">
        <v>1</v>
      </c>
      <c r="M357" s="7">
        <v>45803</v>
      </c>
      <c r="N357" s="7">
        <v>46178</v>
      </c>
      <c r="O357" s="7">
        <v>46174</v>
      </c>
      <c r="P357" s="7">
        <v>46175</v>
      </c>
      <c r="S357" s="6" t="s">
        <v>140</v>
      </c>
      <c r="U357" s="6" t="s">
        <v>413</v>
      </c>
      <c r="V357" s="6" t="str">
        <f>TEXT(N357,"YY/MM")</f>
        <v>26/06</v>
      </c>
      <c r="W357">
        <v>1729</v>
      </c>
      <c r="AA357">
        <v>1083</v>
      </c>
      <c r="AC357">
        <v>1136</v>
      </c>
      <c r="AI357" s="23">
        <v>0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1</v>
      </c>
      <c r="BH357" s="23">
        <v>1</v>
      </c>
      <c r="BI357" s="23">
        <v>1</v>
      </c>
      <c r="BJ357" s="23">
        <v>1</v>
      </c>
      <c r="BK357" s="23">
        <v>1</v>
      </c>
      <c r="BL357" s="23">
        <v>1</v>
      </c>
      <c r="BM357" s="23">
        <v>1</v>
      </c>
      <c r="BN357" s="23">
        <v>1</v>
      </c>
      <c r="BO357" s="23">
        <v>1</v>
      </c>
      <c r="BP357" s="23">
        <f>$L357*AI357</f>
        <v>0</v>
      </c>
      <c r="BQ357" s="23">
        <f>$L357*AJ357</f>
        <v>0</v>
      </c>
      <c r="BR357" s="23">
        <f>$L357*AK357</f>
        <v>0</v>
      </c>
      <c r="BS357" s="23">
        <f>$L357*AL357</f>
        <v>0</v>
      </c>
      <c r="BT357" s="23">
        <f>$L357*AM357</f>
        <v>0</v>
      </c>
      <c r="BU357" s="23">
        <f>$L357*AN357</f>
        <v>0</v>
      </c>
      <c r="BV357" s="23">
        <f>$L357*AO357</f>
        <v>0</v>
      </c>
      <c r="BW357" s="23">
        <f>$L357*AP357</f>
        <v>0</v>
      </c>
      <c r="BX357" s="23">
        <f>$L357*AQ357</f>
        <v>0</v>
      </c>
      <c r="BY357" s="23">
        <f>$L357*AR357</f>
        <v>0</v>
      </c>
      <c r="BZ357" s="23">
        <f>$L357*AS357</f>
        <v>0</v>
      </c>
      <c r="CA357" s="23">
        <f>$L357*AT357</f>
        <v>0</v>
      </c>
      <c r="CB357" s="23">
        <f>$L357*AU357</f>
        <v>0</v>
      </c>
      <c r="CC357" s="23">
        <f>$L357*AV357</f>
        <v>0</v>
      </c>
      <c r="CD357" s="23">
        <f>$L357*AW357</f>
        <v>0</v>
      </c>
      <c r="CE357" s="23">
        <f>$L357*AX357</f>
        <v>0</v>
      </c>
      <c r="CF357" s="23">
        <f>$L357*AY357</f>
        <v>0</v>
      </c>
      <c r="CG357" s="23">
        <f>$L357*AZ357</f>
        <v>0</v>
      </c>
      <c r="CH357" s="23">
        <f>$L357*BA357</f>
        <v>0</v>
      </c>
      <c r="CI357" s="23">
        <f>$L357*BB357</f>
        <v>0</v>
      </c>
      <c r="CJ357" s="23">
        <f>$L357*BC357</f>
        <v>0</v>
      </c>
      <c r="CK357" s="23">
        <f>$L357*BD357</f>
        <v>0</v>
      </c>
      <c r="CL357" s="23">
        <f>$L357*BE357</f>
        <v>0</v>
      </c>
      <c r="CM357" s="23">
        <f>$L357*BF357</f>
        <v>0</v>
      </c>
      <c r="CN357" s="23">
        <f>$L357*BG357</f>
        <v>1</v>
      </c>
      <c r="CO357" s="23">
        <f>$L357*BH357</f>
        <v>1</v>
      </c>
      <c r="CP357" s="23">
        <f>$L357*BI357</f>
        <v>1</v>
      </c>
      <c r="CQ357" s="23">
        <f>$L357*BJ357</f>
        <v>1</v>
      </c>
      <c r="CR357" s="23">
        <f>$L357*BK357</f>
        <v>1</v>
      </c>
      <c r="CS357" s="23">
        <f>$L357*BL357</f>
        <v>1</v>
      </c>
      <c r="CT357" s="23">
        <f>$L357*BM357</f>
        <v>1</v>
      </c>
      <c r="CU357" s="23">
        <f>$L357*BN357</f>
        <v>1</v>
      </c>
      <c r="CV357" s="23">
        <f>$L357*BO357</f>
        <v>1</v>
      </c>
    </row>
    <row r="358" spans="1:100" ht="13.5" x14ac:dyDescent="0.15">
      <c r="A358" s="15">
        <v>249</v>
      </c>
      <c r="B358" s="28" t="s">
        <v>741</v>
      </c>
      <c r="C358" t="s">
        <v>414</v>
      </c>
      <c r="E358" t="s">
        <v>140</v>
      </c>
      <c r="F358" t="s">
        <v>415</v>
      </c>
      <c r="G358" t="s">
        <v>140</v>
      </c>
      <c r="H358" t="s">
        <v>141</v>
      </c>
      <c r="I358" s="6" t="s">
        <v>136</v>
      </c>
      <c r="J358" s="6">
        <v>0</v>
      </c>
      <c r="L358" s="15">
        <v>1</v>
      </c>
      <c r="M358" s="7">
        <v>45803</v>
      </c>
      <c r="N358" s="7">
        <v>46178</v>
      </c>
      <c r="O358" s="7">
        <v>46174</v>
      </c>
      <c r="P358" s="7">
        <v>46175</v>
      </c>
      <c r="S358" s="6" t="s">
        <v>140</v>
      </c>
      <c r="U358" s="6" t="s">
        <v>413</v>
      </c>
      <c r="V358" s="6" t="str">
        <f>TEXT(N358,"YY/MM")</f>
        <v>26/06</v>
      </c>
      <c r="W358">
        <v>1730</v>
      </c>
      <c r="AA358">
        <v>1084</v>
      </c>
      <c r="AC358">
        <v>1137</v>
      </c>
      <c r="AI358" s="23">
        <v>0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1</v>
      </c>
      <c r="BH358" s="23">
        <v>1</v>
      </c>
      <c r="BI358" s="23">
        <v>1</v>
      </c>
      <c r="BJ358" s="23">
        <v>1</v>
      </c>
      <c r="BK358" s="23">
        <v>1</v>
      </c>
      <c r="BL358" s="23">
        <v>1</v>
      </c>
      <c r="BM358" s="23">
        <v>1</v>
      </c>
      <c r="BN358" s="23">
        <v>1</v>
      </c>
      <c r="BO358" s="23">
        <v>1</v>
      </c>
      <c r="BP358" s="23">
        <f>$L358*AI358</f>
        <v>0</v>
      </c>
      <c r="BQ358" s="23">
        <f>$L358*AJ358</f>
        <v>0</v>
      </c>
      <c r="BR358" s="23">
        <f>$L358*AK358</f>
        <v>0</v>
      </c>
      <c r="BS358" s="23">
        <f>$L358*AL358</f>
        <v>0</v>
      </c>
      <c r="BT358" s="23">
        <f>$L358*AM358</f>
        <v>0</v>
      </c>
      <c r="BU358" s="23">
        <f>$L358*AN358</f>
        <v>0</v>
      </c>
      <c r="BV358" s="23">
        <f>$L358*AO358</f>
        <v>0</v>
      </c>
      <c r="BW358" s="23">
        <f>$L358*AP358</f>
        <v>0</v>
      </c>
      <c r="BX358" s="23">
        <f>$L358*AQ358</f>
        <v>0</v>
      </c>
      <c r="BY358" s="23">
        <f>$L358*AR358</f>
        <v>0</v>
      </c>
      <c r="BZ358" s="23">
        <f>$L358*AS358</f>
        <v>0</v>
      </c>
      <c r="CA358" s="23">
        <f>$L358*AT358</f>
        <v>0</v>
      </c>
      <c r="CB358" s="23">
        <f>$L358*AU358</f>
        <v>0</v>
      </c>
      <c r="CC358" s="23">
        <f>$L358*AV358</f>
        <v>0</v>
      </c>
      <c r="CD358" s="23">
        <f>$L358*AW358</f>
        <v>0</v>
      </c>
      <c r="CE358" s="23">
        <f>$L358*AX358</f>
        <v>0</v>
      </c>
      <c r="CF358" s="23">
        <f>$L358*AY358</f>
        <v>0</v>
      </c>
      <c r="CG358" s="23">
        <f>$L358*AZ358</f>
        <v>0</v>
      </c>
      <c r="CH358" s="23">
        <f>$L358*BA358</f>
        <v>0</v>
      </c>
      <c r="CI358" s="23">
        <f>$L358*BB358</f>
        <v>0</v>
      </c>
      <c r="CJ358" s="23">
        <f>$L358*BC358</f>
        <v>0</v>
      </c>
      <c r="CK358" s="23">
        <f>$L358*BD358</f>
        <v>0</v>
      </c>
      <c r="CL358" s="23">
        <f>$L358*BE358</f>
        <v>0</v>
      </c>
      <c r="CM358" s="23">
        <f>$L358*BF358</f>
        <v>0</v>
      </c>
      <c r="CN358" s="23">
        <f>$L358*BG358</f>
        <v>1</v>
      </c>
      <c r="CO358" s="23">
        <f>$L358*BH358</f>
        <v>1</v>
      </c>
      <c r="CP358" s="23">
        <f>$L358*BI358</f>
        <v>1</v>
      </c>
      <c r="CQ358" s="23">
        <f>$L358*BJ358</f>
        <v>1</v>
      </c>
      <c r="CR358" s="23">
        <f>$L358*BK358</f>
        <v>1</v>
      </c>
      <c r="CS358" s="23">
        <f>$L358*BL358</f>
        <v>1</v>
      </c>
      <c r="CT358" s="23">
        <f>$L358*BM358</f>
        <v>1</v>
      </c>
      <c r="CU358" s="23">
        <f>$L358*BN358</f>
        <v>1</v>
      </c>
      <c r="CV358" s="23">
        <f>$L358*BO358</f>
        <v>1</v>
      </c>
    </row>
    <row r="359" spans="1:100" ht="13.5" x14ac:dyDescent="0.15">
      <c r="A359" s="15">
        <v>249</v>
      </c>
      <c r="B359" s="28" t="s">
        <v>742</v>
      </c>
      <c r="C359" t="s">
        <v>414</v>
      </c>
      <c r="E359" t="s">
        <v>140</v>
      </c>
      <c r="F359" t="s">
        <v>415</v>
      </c>
      <c r="G359" t="s">
        <v>140</v>
      </c>
      <c r="H359" t="s">
        <v>141</v>
      </c>
      <c r="I359" s="6" t="s">
        <v>136</v>
      </c>
      <c r="J359" s="6">
        <v>0</v>
      </c>
      <c r="L359" s="15">
        <v>1</v>
      </c>
      <c r="M359" s="7">
        <v>45803</v>
      </c>
      <c r="N359" s="7">
        <v>46178</v>
      </c>
      <c r="O359" s="7">
        <v>46174</v>
      </c>
      <c r="P359" s="7">
        <v>46175</v>
      </c>
      <c r="S359" s="6" t="s">
        <v>140</v>
      </c>
      <c r="U359" s="6" t="s">
        <v>413</v>
      </c>
      <c r="V359" s="6" t="str">
        <f>TEXT(N359,"YY/MM")</f>
        <v>26/06</v>
      </c>
      <c r="W359">
        <v>1731</v>
      </c>
      <c r="AA359">
        <v>1085</v>
      </c>
      <c r="AC359">
        <v>1138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1</v>
      </c>
      <c r="BH359" s="23">
        <v>1</v>
      </c>
      <c r="BI359" s="23">
        <v>1</v>
      </c>
      <c r="BJ359" s="23">
        <v>1</v>
      </c>
      <c r="BK359" s="23">
        <v>1</v>
      </c>
      <c r="BL359" s="23">
        <v>1</v>
      </c>
      <c r="BM359" s="23">
        <v>1</v>
      </c>
      <c r="BN359" s="23">
        <v>1</v>
      </c>
      <c r="BO359" s="23">
        <v>1</v>
      </c>
      <c r="BP359" s="23">
        <f>$L359*AI359</f>
        <v>0</v>
      </c>
      <c r="BQ359" s="23">
        <f>$L359*AJ359</f>
        <v>0</v>
      </c>
      <c r="BR359" s="23">
        <f>$L359*AK359</f>
        <v>0</v>
      </c>
      <c r="BS359" s="23">
        <f>$L359*AL359</f>
        <v>0</v>
      </c>
      <c r="BT359" s="23">
        <f>$L359*AM359</f>
        <v>0</v>
      </c>
      <c r="BU359" s="23">
        <f>$L359*AN359</f>
        <v>0</v>
      </c>
      <c r="BV359" s="23">
        <f>$L359*AO359</f>
        <v>0</v>
      </c>
      <c r="BW359" s="23">
        <f>$L359*AP359</f>
        <v>0</v>
      </c>
      <c r="BX359" s="23">
        <f>$L359*AQ359</f>
        <v>0</v>
      </c>
      <c r="BY359" s="23">
        <f>$L359*AR359</f>
        <v>0</v>
      </c>
      <c r="BZ359" s="23">
        <f>$L359*AS359</f>
        <v>0</v>
      </c>
      <c r="CA359" s="23">
        <f>$L359*AT359</f>
        <v>0</v>
      </c>
      <c r="CB359" s="23">
        <f>$L359*AU359</f>
        <v>0</v>
      </c>
      <c r="CC359" s="23">
        <f>$L359*AV359</f>
        <v>0</v>
      </c>
      <c r="CD359" s="23">
        <f>$L359*AW359</f>
        <v>0</v>
      </c>
      <c r="CE359" s="23">
        <f>$L359*AX359</f>
        <v>0</v>
      </c>
      <c r="CF359" s="23">
        <f>$L359*AY359</f>
        <v>0</v>
      </c>
      <c r="CG359" s="23">
        <f>$L359*AZ359</f>
        <v>0</v>
      </c>
      <c r="CH359" s="23">
        <f>$L359*BA359</f>
        <v>0</v>
      </c>
      <c r="CI359" s="23">
        <f>$L359*BB359</f>
        <v>0</v>
      </c>
      <c r="CJ359" s="23">
        <f>$L359*BC359</f>
        <v>0</v>
      </c>
      <c r="CK359" s="23">
        <f>$L359*BD359</f>
        <v>0</v>
      </c>
      <c r="CL359" s="23">
        <f>$L359*BE359</f>
        <v>0</v>
      </c>
      <c r="CM359" s="23">
        <f>$L359*BF359</f>
        <v>0</v>
      </c>
      <c r="CN359" s="23">
        <f>$L359*BG359</f>
        <v>1</v>
      </c>
      <c r="CO359" s="23">
        <f>$L359*BH359</f>
        <v>1</v>
      </c>
      <c r="CP359" s="23">
        <f>$L359*BI359</f>
        <v>1</v>
      </c>
      <c r="CQ359" s="23">
        <f>$L359*BJ359</f>
        <v>1</v>
      </c>
      <c r="CR359" s="23">
        <f>$L359*BK359</f>
        <v>1</v>
      </c>
      <c r="CS359" s="23">
        <f>$L359*BL359</f>
        <v>1</v>
      </c>
      <c r="CT359" s="23">
        <f>$L359*BM359</f>
        <v>1</v>
      </c>
      <c r="CU359" s="23">
        <f>$L359*BN359</f>
        <v>1</v>
      </c>
      <c r="CV359" s="23">
        <f>$L359*BO359</f>
        <v>1</v>
      </c>
    </row>
    <row r="360" spans="1:100" ht="13.5" x14ac:dyDescent="0.15">
      <c r="A360" s="15">
        <v>249</v>
      </c>
      <c r="B360" s="28" t="s">
        <v>743</v>
      </c>
      <c r="C360" t="s">
        <v>414</v>
      </c>
      <c r="E360" t="s">
        <v>140</v>
      </c>
      <c r="F360" t="s">
        <v>415</v>
      </c>
      <c r="G360" t="s">
        <v>140</v>
      </c>
      <c r="H360" t="s">
        <v>141</v>
      </c>
      <c r="I360" s="6" t="s">
        <v>136</v>
      </c>
      <c r="J360" s="6">
        <v>0</v>
      </c>
      <c r="L360" s="15">
        <v>1</v>
      </c>
      <c r="M360" s="7">
        <v>45803</v>
      </c>
      <c r="N360" s="7">
        <v>46181</v>
      </c>
      <c r="O360" s="7">
        <v>46174</v>
      </c>
      <c r="P360" s="7">
        <v>46175</v>
      </c>
      <c r="S360" s="6" t="s">
        <v>140</v>
      </c>
      <c r="U360" s="6" t="s">
        <v>413</v>
      </c>
      <c r="V360" s="6" t="str">
        <f>TEXT(N360,"YY/MM")</f>
        <v>26/06</v>
      </c>
      <c r="W360">
        <v>1732</v>
      </c>
      <c r="AA360">
        <v>1086</v>
      </c>
      <c r="AC360">
        <v>1139</v>
      </c>
      <c r="AI360" s="23">
        <v>0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1</v>
      </c>
      <c r="BH360" s="23">
        <v>1</v>
      </c>
      <c r="BI360" s="23">
        <v>1</v>
      </c>
      <c r="BJ360" s="23">
        <v>1</v>
      </c>
      <c r="BK360" s="23">
        <v>1</v>
      </c>
      <c r="BL360" s="23">
        <v>1</v>
      </c>
      <c r="BM360" s="23">
        <v>1</v>
      </c>
      <c r="BN360" s="23">
        <v>1</v>
      </c>
      <c r="BO360" s="23">
        <v>1</v>
      </c>
      <c r="BP360" s="23">
        <f>$L360*AI360</f>
        <v>0</v>
      </c>
      <c r="BQ360" s="23">
        <f>$L360*AJ360</f>
        <v>0</v>
      </c>
      <c r="BR360" s="23">
        <f>$L360*AK360</f>
        <v>0</v>
      </c>
      <c r="BS360" s="23">
        <f>$L360*AL360</f>
        <v>0</v>
      </c>
      <c r="BT360" s="23">
        <f>$L360*AM360</f>
        <v>0</v>
      </c>
      <c r="BU360" s="23">
        <f>$L360*AN360</f>
        <v>0</v>
      </c>
      <c r="BV360" s="23">
        <f>$L360*AO360</f>
        <v>0</v>
      </c>
      <c r="BW360" s="23">
        <f>$L360*AP360</f>
        <v>0</v>
      </c>
      <c r="BX360" s="23">
        <f>$L360*AQ360</f>
        <v>0</v>
      </c>
      <c r="BY360" s="23">
        <f>$L360*AR360</f>
        <v>0</v>
      </c>
      <c r="BZ360" s="23">
        <f>$L360*AS360</f>
        <v>0</v>
      </c>
      <c r="CA360" s="23">
        <f>$L360*AT360</f>
        <v>0</v>
      </c>
      <c r="CB360" s="23">
        <f>$L360*AU360</f>
        <v>0</v>
      </c>
      <c r="CC360" s="23">
        <f>$L360*AV360</f>
        <v>0</v>
      </c>
      <c r="CD360" s="23">
        <f>$L360*AW360</f>
        <v>0</v>
      </c>
      <c r="CE360" s="23">
        <f>$L360*AX360</f>
        <v>0</v>
      </c>
      <c r="CF360" s="23">
        <f>$L360*AY360</f>
        <v>0</v>
      </c>
      <c r="CG360" s="23">
        <f>$L360*AZ360</f>
        <v>0</v>
      </c>
      <c r="CH360" s="23">
        <f>$L360*BA360</f>
        <v>0</v>
      </c>
      <c r="CI360" s="23">
        <f>$L360*BB360</f>
        <v>0</v>
      </c>
      <c r="CJ360" s="23">
        <f>$L360*BC360</f>
        <v>0</v>
      </c>
      <c r="CK360" s="23">
        <f>$L360*BD360</f>
        <v>0</v>
      </c>
      <c r="CL360" s="23">
        <f>$L360*BE360</f>
        <v>0</v>
      </c>
      <c r="CM360" s="23">
        <f>$L360*BF360</f>
        <v>0</v>
      </c>
      <c r="CN360" s="23">
        <f>$L360*BG360</f>
        <v>1</v>
      </c>
      <c r="CO360" s="23">
        <f>$L360*BH360</f>
        <v>1</v>
      </c>
      <c r="CP360" s="23">
        <f>$L360*BI360</f>
        <v>1</v>
      </c>
      <c r="CQ360" s="23">
        <f>$L360*BJ360</f>
        <v>1</v>
      </c>
      <c r="CR360" s="23">
        <f>$L360*BK360</f>
        <v>1</v>
      </c>
      <c r="CS360" s="23">
        <f>$L360*BL360</f>
        <v>1</v>
      </c>
      <c r="CT360" s="23">
        <f>$L360*BM360</f>
        <v>1</v>
      </c>
      <c r="CU360" s="23">
        <f>$L360*BN360</f>
        <v>1</v>
      </c>
      <c r="CV360" s="23">
        <f>$L360*BO360</f>
        <v>1</v>
      </c>
    </row>
    <row r="361" spans="1:100" ht="13.5" x14ac:dyDescent="0.15">
      <c r="A361" s="15">
        <v>249</v>
      </c>
      <c r="B361" s="28" t="s">
        <v>744</v>
      </c>
      <c r="C361" t="s">
        <v>414</v>
      </c>
      <c r="E361" t="s">
        <v>140</v>
      </c>
      <c r="F361" t="s">
        <v>415</v>
      </c>
      <c r="G361" t="s">
        <v>140</v>
      </c>
      <c r="H361" t="s">
        <v>141</v>
      </c>
      <c r="I361" s="6" t="s">
        <v>136</v>
      </c>
      <c r="J361" s="6">
        <v>0</v>
      </c>
      <c r="L361" s="15">
        <v>1</v>
      </c>
      <c r="M361" s="7">
        <v>45803</v>
      </c>
      <c r="N361" s="7">
        <v>46181</v>
      </c>
      <c r="O361" s="7">
        <v>46174</v>
      </c>
      <c r="P361" s="7">
        <v>46175</v>
      </c>
      <c r="S361" s="6" t="s">
        <v>140</v>
      </c>
      <c r="U361" s="6" t="s">
        <v>413</v>
      </c>
      <c r="V361" s="6" t="str">
        <f>TEXT(N361,"YY/MM")</f>
        <v>26/06</v>
      </c>
      <c r="W361">
        <v>1733</v>
      </c>
      <c r="AA361">
        <v>1087</v>
      </c>
      <c r="AC361">
        <v>1140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  <c r="BP361" s="23">
        <f>$L361*AI361</f>
        <v>0</v>
      </c>
      <c r="BQ361" s="23">
        <f>$L361*AJ361</f>
        <v>0</v>
      </c>
      <c r="BR361" s="23">
        <f>$L361*AK361</f>
        <v>0</v>
      </c>
      <c r="BS361" s="23">
        <f>$L361*AL361</f>
        <v>0</v>
      </c>
      <c r="BT361" s="23">
        <f>$L361*AM361</f>
        <v>0</v>
      </c>
      <c r="BU361" s="23">
        <f>$L361*AN361</f>
        <v>0</v>
      </c>
      <c r="BV361" s="23">
        <f>$L361*AO361</f>
        <v>0</v>
      </c>
      <c r="BW361" s="23">
        <f>$L361*AP361</f>
        <v>0</v>
      </c>
      <c r="BX361" s="23">
        <f>$L361*AQ361</f>
        <v>0</v>
      </c>
      <c r="BY361" s="23">
        <f>$L361*AR361</f>
        <v>0</v>
      </c>
      <c r="BZ361" s="23">
        <f>$L361*AS361</f>
        <v>0</v>
      </c>
      <c r="CA361" s="23">
        <f>$L361*AT361</f>
        <v>0</v>
      </c>
      <c r="CB361" s="23">
        <f>$L361*AU361</f>
        <v>0</v>
      </c>
      <c r="CC361" s="23">
        <f>$L361*AV361</f>
        <v>0</v>
      </c>
      <c r="CD361" s="23">
        <f>$L361*AW361</f>
        <v>0</v>
      </c>
      <c r="CE361" s="23">
        <f>$L361*AX361</f>
        <v>0</v>
      </c>
      <c r="CF361" s="23">
        <f>$L361*AY361</f>
        <v>0</v>
      </c>
      <c r="CG361" s="23">
        <f>$L361*AZ361</f>
        <v>0</v>
      </c>
      <c r="CH361" s="23">
        <f>$L361*BA361</f>
        <v>0</v>
      </c>
      <c r="CI361" s="23">
        <f>$L361*BB361</f>
        <v>0</v>
      </c>
      <c r="CJ361" s="23">
        <f>$L361*BC361</f>
        <v>0</v>
      </c>
      <c r="CK361" s="23">
        <f>$L361*BD361</f>
        <v>0</v>
      </c>
      <c r="CL361" s="23">
        <f>$L361*BE361</f>
        <v>0</v>
      </c>
      <c r="CM361" s="23">
        <f>$L361*BF361</f>
        <v>0</v>
      </c>
      <c r="CN361" s="23">
        <f>$L361*BG361</f>
        <v>1</v>
      </c>
      <c r="CO361" s="23">
        <f>$L361*BH361</f>
        <v>1</v>
      </c>
      <c r="CP361" s="23">
        <f>$L361*BI361</f>
        <v>1</v>
      </c>
      <c r="CQ361" s="23">
        <f>$L361*BJ361</f>
        <v>1</v>
      </c>
      <c r="CR361" s="23">
        <f>$L361*BK361</f>
        <v>1</v>
      </c>
      <c r="CS361" s="23">
        <f>$L361*BL361</f>
        <v>1</v>
      </c>
      <c r="CT361" s="23">
        <f>$L361*BM361</f>
        <v>1</v>
      </c>
      <c r="CU361" s="23">
        <f>$L361*BN361</f>
        <v>1</v>
      </c>
      <c r="CV361" s="23">
        <f>$L361*BO361</f>
        <v>1</v>
      </c>
    </row>
    <row r="362" spans="1:100" ht="13.5" x14ac:dyDescent="0.15">
      <c r="A362" s="15">
        <v>249</v>
      </c>
      <c r="B362" s="28" t="s">
        <v>745</v>
      </c>
      <c r="C362" t="s">
        <v>414</v>
      </c>
      <c r="E362" t="s">
        <v>140</v>
      </c>
      <c r="F362" t="s">
        <v>415</v>
      </c>
      <c r="G362" t="s">
        <v>140</v>
      </c>
      <c r="H362" t="s">
        <v>141</v>
      </c>
      <c r="I362" s="6" t="s">
        <v>136</v>
      </c>
      <c r="J362" s="6">
        <v>0</v>
      </c>
      <c r="L362" s="15">
        <v>1</v>
      </c>
      <c r="M362" s="7">
        <v>45803</v>
      </c>
      <c r="N362" s="7">
        <v>46181</v>
      </c>
      <c r="O362" s="7">
        <v>46174</v>
      </c>
      <c r="P362" s="7">
        <v>46175</v>
      </c>
      <c r="S362" s="6" t="s">
        <v>140</v>
      </c>
      <c r="U362" s="6" t="s">
        <v>413</v>
      </c>
      <c r="V362" s="6" t="str">
        <f>TEXT(N362,"YY/MM")</f>
        <v>26/06</v>
      </c>
      <c r="W362">
        <v>1734</v>
      </c>
      <c r="AA362">
        <v>1088</v>
      </c>
      <c r="AC362">
        <v>1141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0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1</v>
      </c>
      <c r="BH362" s="23">
        <v>1</v>
      </c>
      <c r="BI362" s="23">
        <v>1</v>
      </c>
      <c r="BJ362" s="23">
        <v>1</v>
      </c>
      <c r="BK362" s="23">
        <v>1</v>
      </c>
      <c r="BL362" s="23">
        <v>1</v>
      </c>
      <c r="BM362" s="23">
        <v>1</v>
      </c>
      <c r="BN362" s="23">
        <v>1</v>
      </c>
      <c r="BO362" s="23">
        <v>1</v>
      </c>
      <c r="BP362" s="23">
        <f>$L362*AI362</f>
        <v>0</v>
      </c>
      <c r="BQ362" s="23">
        <f>$L362*AJ362</f>
        <v>0</v>
      </c>
      <c r="BR362" s="23">
        <f>$L362*AK362</f>
        <v>0</v>
      </c>
      <c r="BS362" s="23">
        <f>$L362*AL362</f>
        <v>0</v>
      </c>
      <c r="BT362" s="23">
        <f>$L362*AM362</f>
        <v>0</v>
      </c>
      <c r="BU362" s="23">
        <f>$L362*AN362</f>
        <v>0</v>
      </c>
      <c r="BV362" s="23">
        <f>$L362*AO362</f>
        <v>0</v>
      </c>
      <c r="BW362" s="23">
        <f>$L362*AP362</f>
        <v>0</v>
      </c>
      <c r="BX362" s="23">
        <f>$L362*AQ362</f>
        <v>0</v>
      </c>
      <c r="BY362" s="23">
        <f>$L362*AR362</f>
        <v>0</v>
      </c>
      <c r="BZ362" s="23">
        <f>$L362*AS362</f>
        <v>0</v>
      </c>
      <c r="CA362" s="23">
        <f>$L362*AT362</f>
        <v>0</v>
      </c>
      <c r="CB362" s="23">
        <f>$L362*AU362</f>
        <v>0</v>
      </c>
      <c r="CC362" s="23">
        <f>$L362*AV362</f>
        <v>0</v>
      </c>
      <c r="CD362" s="23">
        <f>$L362*AW362</f>
        <v>0</v>
      </c>
      <c r="CE362" s="23">
        <f>$L362*AX362</f>
        <v>0</v>
      </c>
      <c r="CF362" s="23">
        <f>$L362*AY362</f>
        <v>0</v>
      </c>
      <c r="CG362" s="23">
        <f>$L362*AZ362</f>
        <v>0</v>
      </c>
      <c r="CH362" s="23">
        <f>$L362*BA362</f>
        <v>0</v>
      </c>
      <c r="CI362" s="23">
        <f>$L362*BB362</f>
        <v>0</v>
      </c>
      <c r="CJ362" s="23">
        <f>$L362*BC362</f>
        <v>0</v>
      </c>
      <c r="CK362" s="23">
        <f>$L362*BD362</f>
        <v>0</v>
      </c>
      <c r="CL362" s="23">
        <f>$L362*BE362</f>
        <v>0</v>
      </c>
      <c r="CM362" s="23">
        <f>$L362*BF362</f>
        <v>0</v>
      </c>
      <c r="CN362" s="23">
        <f>$L362*BG362</f>
        <v>1</v>
      </c>
      <c r="CO362" s="23">
        <f>$L362*BH362</f>
        <v>1</v>
      </c>
      <c r="CP362" s="23">
        <f>$L362*BI362</f>
        <v>1</v>
      </c>
      <c r="CQ362" s="23">
        <f>$L362*BJ362</f>
        <v>1</v>
      </c>
      <c r="CR362" s="23">
        <f>$L362*BK362</f>
        <v>1</v>
      </c>
      <c r="CS362" s="23">
        <f>$L362*BL362</f>
        <v>1</v>
      </c>
      <c r="CT362" s="23">
        <f>$L362*BM362</f>
        <v>1</v>
      </c>
      <c r="CU362" s="23">
        <f>$L362*BN362</f>
        <v>1</v>
      </c>
      <c r="CV362" s="23">
        <f>$L362*BO362</f>
        <v>1</v>
      </c>
    </row>
    <row r="363" spans="1:100" ht="13.5" x14ac:dyDescent="0.15">
      <c r="A363" s="15">
        <v>249</v>
      </c>
      <c r="B363" s="28" t="s">
        <v>746</v>
      </c>
      <c r="C363" t="s">
        <v>414</v>
      </c>
      <c r="E363" t="s">
        <v>140</v>
      </c>
      <c r="F363" t="s">
        <v>415</v>
      </c>
      <c r="G363" t="s">
        <v>140</v>
      </c>
      <c r="H363" t="s">
        <v>141</v>
      </c>
      <c r="I363" s="6" t="s">
        <v>136</v>
      </c>
      <c r="J363" s="6">
        <v>0</v>
      </c>
      <c r="L363" s="15">
        <v>1</v>
      </c>
      <c r="M363" s="7">
        <v>45803</v>
      </c>
      <c r="N363" s="7">
        <v>46181</v>
      </c>
      <c r="O363" s="7">
        <v>46174</v>
      </c>
      <c r="P363" s="7">
        <v>46175</v>
      </c>
      <c r="S363" s="6" t="s">
        <v>140</v>
      </c>
      <c r="U363" s="6" t="s">
        <v>413</v>
      </c>
      <c r="V363" s="6" t="str">
        <f>TEXT(N363,"YY/MM")</f>
        <v>26/06</v>
      </c>
      <c r="W363">
        <v>1735</v>
      </c>
      <c r="AA363">
        <v>1089</v>
      </c>
      <c r="AC363">
        <v>1142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0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1</v>
      </c>
      <c r="BH363" s="23">
        <v>1</v>
      </c>
      <c r="BI363" s="23">
        <v>1</v>
      </c>
      <c r="BJ363" s="23">
        <v>1</v>
      </c>
      <c r="BK363" s="23">
        <v>1</v>
      </c>
      <c r="BL363" s="23">
        <v>1</v>
      </c>
      <c r="BM363" s="23">
        <v>1</v>
      </c>
      <c r="BN363" s="23">
        <v>1</v>
      </c>
      <c r="BO363" s="23">
        <v>1</v>
      </c>
      <c r="BP363" s="23">
        <f>$L363*AI363</f>
        <v>0</v>
      </c>
      <c r="BQ363" s="23">
        <f>$L363*AJ363</f>
        <v>0</v>
      </c>
      <c r="BR363" s="23">
        <f>$L363*AK363</f>
        <v>0</v>
      </c>
      <c r="BS363" s="23">
        <f>$L363*AL363</f>
        <v>0</v>
      </c>
      <c r="BT363" s="23">
        <f>$L363*AM363</f>
        <v>0</v>
      </c>
      <c r="BU363" s="23">
        <f>$L363*AN363</f>
        <v>0</v>
      </c>
      <c r="BV363" s="23">
        <f>$L363*AO363</f>
        <v>0</v>
      </c>
      <c r="BW363" s="23">
        <f>$L363*AP363</f>
        <v>0</v>
      </c>
      <c r="BX363" s="23">
        <f>$L363*AQ363</f>
        <v>0</v>
      </c>
      <c r="BY363" s="23">
        <f>$L363*AR363</f>
        <v>0</v>
      </c>
      <c r="BZ363" s="23">
        <f>$L363*AS363</f>
        <v>0</v>
      </c>
      <c r="CA363" s="23">
        <f>$L363*AT363</f>
        <v>0</v>
      </c>
      <c r="CB363" s="23">
        <f>$L363*AU363</f>
        <v>0</v>
      </c>
      <c r="CC363" s="23">
        <f>$L363*AV363</f>
        <v>0</v>
      </c>
      <c r="CD363" s="23">
        <f>$L363*AW363</f>
        <v>0</v>
      </c>
      <c r="CE363" s="23">
        <f>$L363*AX363</f>
        <v>0</v>
      </c>
      <c r="CF363" s="23">
        <f>$L363*AY363</f>
        <v>0</v>
      </c>
      <c r="CG363" s="23">
        <f>$L363*AZ363</f>
        <v>0</v>
      </c>
      <c r="CH363" s="23">
        <f>$L363*BA363</f>
        <v>0</v>
      </c>
      <c r="CI363" s="23">
        <f>$L363*BB363</f>
        <v>0</v>
      </c>
      <c r="CJ363" s="23">
        <f>$L363*BC363</f>
        <v>0</v>
      </c>
      <c r="CK363" s="23">
        <f>$L363*BD363</f>
        <v>0</v>
      </c>
      <c r="CL363" s="23">
        <f>$L363*BE363</f>
        <v>0</v>
      </c>
      <c r="CM363" s="23">
        <f>$L363*BF363</f>
        <v>0</v>
      </c>
      <c r="CN363" s="23">
        <f>$L363*BG363</f>
        <v>1</v>
      </c>
      <c r="CO363" s="23">
        <f>$L363*BH363</f>
        <v>1</v>
      </c>
      <c r="CP363" s="23">
        <f>$L363*BI363</f>
        <v>1</v>
      </c>
      <c r="CQ363" s="23">
        <f>$L363*BJ363</f>
        <v>1</v>
      </c>
      <c r="CR363" s="23">
        <f>$L363*BK363</f>
        <v>1</v>
      </c>
      <c r="CS363" s="23">
        <f>$L363*BL363</f>
        <v>1</v>
      </c>
      <c r="CT363" s="23">
        <f>$L363*BM363</f>
        <v>1</v>
      </c>
      <c r="CU363" s="23">
        <f>$L363*BN363</f>
        <v>1</v>
      </c>
      <c r="CV363" s="23">
        <f>$L363*BO363</f>
        <v>1</v>
      </c>
    </row>
    <row r="364" spans="1:100" ht="13.5" x14ac:dyDescent="0.15">
      <c r="A364" s="15">
        <v>249</v>
      </c>
      <c r="B364" s="28" t="s">
        <v>747</v>
      </c>
      <c r="C364" t="s">
        <v>414</v>
      </c>
      <c r="E364" t="s">
        <v>140</v>
      </c>
      <c r="F364" t="s">
        <v>415</v>
      </c>
      <c r="G364" t="s">
        <v>140</v>
      </c>
      <c r="H364" t="s">
        <v>141</v>
      </c>
      <c r="I364" s="6" t="s">
        <v>136</v>
      </c>
      <c r="J364" s="6">
        <v>0</v>
      </c>
      <c r="L364" s="15">
        <v>1</v>
      </c>
      <c r="M364" s="7">
        <v>45803</v>
      </c>
      <c r="N364" s="7">
        <v>46182</v>
      </c>
      <c r="O364" s="7">
        <v>46174</v>
      </c>
      <c r="P364" s="7">
        <v>46175</v>
      </c>
      <c r="S364" s="6" t="s">
        <v>140</v>
      </c>
      <c r="U364" s="6" t="s">
        <v>413</v>
      </c>
      <c r="V364" s="6" t="str">
        <f>TEXT(N364,"YY/MM")</f>
        <v>26/06</v>
      </c>
      <c r="W364">
        <v>1736</v>
      </c>
      <c r="AA364">
        <v>1090</v>
      </c>
      <c r="AC364">
        <v>1143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0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1</v>
      </c>
      <c r="BH364" s="23">
        <v>1</v>
      </c>
      <c r="BI364" s="23">
        <v>1</v>
      </c>
      <c r="BJ364" s="23">
        <v>1</v>
      </c>
      <c r="BK364" s="23">
        <v>1</v>
      </c>
      <c r="BL364" s="23">
        <v>1</v>
      </c>
      <c r="BM364" s="23">
        <v>1</v>
      </c>
      <c r="BN364" s="23">
        <v>1</v>
      </c>
      <c r="BO364" s="23">
        <v>1</v>
      </c>
      <c r="BP364" s="23">
        <f>$L364*AI364</f>
        <v>0</v>
      </c>
      <c r="BQ364" s="23">
        <f>$L364*AJ364</f>
        <v>0</v>
      </c>
      <c r="BR364" s="23">
        <f>$L364*AK364</f>
        <v>0</v>
      </c>
      <c r="BS364" s="23">
        <f>$L364*AL364</f>
        <v>0</v>
      </c>
      <c r="BT364" s="23">
        <f>$L364*AM364</f>
        <v>0</v>
      </c>
      <c r="BU364" s="23">
        <f>$L364*AN364</f>
        <v>0</v>
      </c>
      <c r="BV364" s="23">
        <f>$L364*AO364</f>
        <v>0</v>
      </c>
      <c r="BW364" s="23">
        <f>$L364*AP364</f>
        <v>0</v>
      </c>
      <c r="BX364" s="23">
        <f>$L364*AQ364</f>
        <v>0</v>
      </c>
      <c r="BY364" s="23">
        <f>$L364*AR364</f>
        <v>0</v>
      </c>
      <c r="BZ364" s="23">
        <f>$L364*AS364</f>
        <v>0</v>
      </c>
      <c r="CA364" s="23">
        <f>$L364*AT364</f>
        <v>0</v>
      </c>
      <c r="CB364" s="23">
        <f>$L364*AU364</f>
        <v>0</v>
      </c>
      <c r="CC364" s="23">
        <f>$L364*AV364</f>
        <v>0</v>
      </c>
      <c r="CD364" s="23">
        <f>$L364*AW364</f>
        <v>0</v>
      </c>
      <c r="CE364" s="23">
        <f>$L364*AX364</f>
        <v>0</v>
      </c>
      <c r="CF364" s="23">
        <f>$L364*AY364</f>
        <v>0</v>
      </c>
      <c r="CG364" s="23">
        <f>$L364*AZ364</f>
        <v>0</v>
      </c>
      <c r="CH364" s="23">
        <f>$L364*BA364</f>
        <v>0</v>
      </c>
      <c r="CI364" s="23">
        <f>$L364*BB364</f>
        <v>0</v>
      </c>
      <c r="CJ364" s="23">
        <f>$L364*BC364</f>
        <v>0</v>
      </c>
      <c r="CK364" s="23">
        <f>$L364*BD364</f>
        <v>0</v>
      </c>
      <c r="CL364" s="23">
        <f>$L364*BE364</f>
        <v>0</v>
      </c>
      <c r="CM364" s="23">
        <f>$L364*BF364</f>
        <v>0</v>
      </c>
      <c r="CN364" s="23">
        <f>$L364*BG364</f>
        <v>1</v>
      </c>
      <c r="CO364" s="23">
        <f>$L364*BH364</f>
        <v>1</v>
      </c>
      <c r="CP364" s="23">
        <f>$L364*BI364</f>
        <v>1</v>
      </c>
      <c r="CQ364" s="23">
        <f>$L364*BJ364</f>
        <v>1</v>
      </c>
      <c r="CR364" s="23">
        <f>$L364*BK364</f>
        <v>1</v>
      </c>
      <c r="CS364" s="23">
        <f>$L364*BL364</f>
        <v>1</v>
      </c>
      <c r="CT364" s="23">
        <f>$L364*BM364</f>
        <v>1</v>
      </c>
      <c r="CU364" s="23">
        <f>$L364*BN364</f>
        <v>1</v>
      </c>
      <c r="CV364" s="23">
        <f>$L364*BO364</f>
        <v>1</v>
      </c>
    </row>
    <row r="365" spans="1:100" ht="13.5" x14ac:dyDescent="0.15">
      <c r="A365" s="15">
        <v>249</v>
      </c>
      <c r="B365" s="28" t="s">
        <v>748</v>
      </c>
      <c r="C365" t="s">
        <v>414</v>
      </c>
      <c r="E365" t="s">
        <v>140</v>
      </c>
      <c r="F365" t="s">
        <v>415</v>
      </c>
      <c r="G365" t="s">
        <v>140</v>
      </c>
      <c r="H365" t="s">
        <v>141</v>
      </c>
      <c r="I365" s="6" t="s">
        <v>136</v>
      </c>
      <c r="J365" s="6">
        <v>0</v>
      </c>
      <c r="L365" s="15">
        <v>1</v>
      </c>
      <c r="M365" s="7">
        <v>45803</v>
      </c>
      <c r="N365" s="7">
        <v>46182</v>
      </c>
      <c r="O365" s="7">
        <v>46174</v>
      </c>
      <c r="P365" s="7">
        <v>46175</v>
      </c>
      <c r="S365" s="6" t="s">
        <v>140</v>
      </c>
      <c r="U365" s="6" t="s">
        <v>413</v>
      </c>
      <c r="V365" s="6" t="str">
        <f>TEXT(N365,"YY/MM")</f>
        <v>26/06</v>
      </c>
      <c r="W365">
        <v>1737</v>
      </c>
      <c r="AA365">
        <v>1091</v>
      </c>
      <c r="AC365">
        <v>1144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1</v>
      </c>
      <c r="BH365" s="23">
        <v>1</v>
      </c>
      <c r="BI365" s="23">
        <v>1</v>
      </c>
      <c r="BJ365" s="23">
        <v>1</v>
      </c>
      <c r="BK365" s="23">
        <v>1</v>
      </c>
      <c r="BL365" s="23">
        <v>1</v>
      </c>
      <c r="BM365" s="23">
        <v>1</v>
      </c>
      <c r="BN365" s="23">
        <v>1</v>
      </c>
      <c r="BO365" s="23">
        <v>1</v>
      </c>
      <c r="BP365" s="23">
        <f>$L365*AI365</f>
        <v>0</v>
      </c>
      <c r="BQ365" s="23">
        <f>$L365*AJ365</f>
        <v>0</v>
      </c>
      <c r="BR365" s="23">
        <f>$L365*AK365</f>
        <v>0</v>
      </c>
      <c r="BS365" s="23">
        <f>$L365*AL365</f>
        <v>0</v>
      </c>
      <c r="BT365" s="23">
        <f>$L365*AM365</f>
        <v>0</v>
      </c>
      <c r="BU365" s="23">
        <f>$L365*AN365</f>
        <v>0</v>
      </c>
      <c r="BV365" s="23">
        <f>$L365*AO365</f>
        <v>0</v>
      </c>
      <c r="BW365" s="23">
        <f>$L365*AP365</f>
        <v>0</v>
      </c>
      <c r="BX365" s="23">
        <f>$L365*AQ365</f>
        <v>0</v>
      </c>
      <c r="BY365" s="23">
        <f>$L365*AR365</f>
        <v>0</v>
      </c>
      <c r="BZ365" s="23">
        <f>$L365*AS365</f>
        <v>0</v>
      </c>
      <c r="CA365" s="23">
        <f>$L365*AT365</f>
        <v>0</v>
      </c>
      <c r="CB365" s="23">
        <f>$L365*AU365</f>
        <v>0</v>
      </c>
      <c r="CC365" s="23">
        <f>$L365*AV365</f>
        <v>0</v>
      </c>
      <c r="CD365" s="23">
        <f>$L365*AW365</f>
        <v>0</v>
      </c>
      <c r="CE365" s="23">
        <f>$L365*AX365</f>
        <v>0</v>
      </c>
      <c r="CF365" s="23">
        <f>$L365*AY365</f>
        <v>0</v>
      </c>
      <c r="CG365" s="23">
        <f>$L365*AZ365</f>
        <v>0</v>
      </c>
      <c r="CH365" s="23">
        <f>$L365*BA365</f>
        <v>0</v>
      </c>
      <c r="CI365" s="23">
        <f>$L365*BB365</f>
        <v>0</v>
      </c>
      <c r="CJ365" s="23">
        <f>$L365*BC365</f>
        <v>0</v>
      </c>
      <c r="CK365" s="23">
        <f>$L365*BD365</f>
        <v>0</v>
      </c>
      <c r="CL365" s="23">
        <f>$L365*BE365</f>
        <v>0</v>
      </c>
      <c r="CM365" s="23">
        <f>$L365*BF365</f>
        <v>0</v>
      </c>
      <c r="CN365" s="23">
        <f>$L365*BG365</f>
        <v>1</v>
      </c>
      <c r="CO365" s="23">
        <f>$L365*BH365</f>
        <v>1</v>
      </c>
      <c r="CP365" s="23">
        <f>$L365*BI365</f>
        <v>1</v>
      </c>
      <c r="CQ365" s="23">
        <f>$L365*BJ365</f>
        <v>1</v>
      </c>
      <c r="CR365" s="23">
        <f>$L365*BK365</f>
        <v>1</v>
      </c>
      <c r="CS365" s="23">
        <f>$L365*BL365</f>
        <v>1</v>
      </c>
      <c r="CT365" s="23">
        <f>$L365*BM365</f>
        <v>1</v>
      </c>
      <c r="CU365" s="23">
        <f>$L365*BN365</f>
        <v>1</v>
      </c>
      <c r="CV365" s="23">
        <f>$L365*BO365</f>
        <v>1</v>
      </c>
    </row>
    <row r="366" spans="1:100" ht="13.5" x14ac:dyDescent="0.15">
      <c r="A366" s="15">
        <v>249</v>
      </c>
      <c r="B366" s="28" t="s">
        <v>749</v>
      </c>
      <c r="C366" t="s">
        <v>414</v>
      </c>
      <c r="E366" t="s">
        <v>140</v>
      </c>
      <c r="F366" t="s">
        <v>415</v>
      </c>
      <c r="G366" t="s">
        <v>140</v>
      </c>
      <c r="H366" t="s">
        <v>141</v>
      </c>
      <c r="I366" s="6" t="s">
        <v>136</v>
      </c>
      <c r="J366" s="6">
        <v>0</v>
      </c>
      <c r="L366" s="15">
        <v>1</v>
      </c>
      <c r="M366" s="7">
        <v>45803</v>
      </c>
      <c r="N366" s="7">
        <v>46182</v>
      </c>
      <c r="O366" s="7">
        <v>46174</v>
      </c>
      <c r="P366" s="7">
        <v>46175</v>
      </c>
      <c r="S366" s="6" t="s">
        <v>140</v>
      </c>
      <c r="U366" s="6" t="s">
        <v>413</v>
      </c>
      <c r="V366" s="6" t="str">
        <f>TEXT(N366,"YY/MM")</f>
        <v>26/06</v>
      </c>
      <c r="W366">
        <v>1738</v>
      </c>
      <c r="AA366">
        <v>1092</v>
      </c>
      <c r="AC366">
        <v>1145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0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1</v>
      </c>
      <c r="BH366" s="23">
        <v>1</v>
      </c>
      <c r="BI366" s="23">
        <v>1</v>
      </c>
      <c r="BJ366" s="23">
        <v>1</v>
      </c>
      <c r="BK366" s="23">
        <v>1</v>
      </c>
      <c r="BL366" s="23">
        <v>1</v>
      </c>
      <c r="BM366" s="23">
        <v>1</v>
      </c>
      <c r="BN366" s="23">
        <v>1</v>
      </c>
      <c r="BO366" s="23">
        <v>1</v>
      </c>
      <c r="BP366" s="23">
        <f>$L366*AI366</f>
        <v>0</v>
      </c>
      <c r="BQ366" s="23">
        <f>$L366*AJ366</f>
        <v>0</v>
      </c>
      <c r="BR366" s="23">
        <f>$L366*AK366</f>
        <v>0</v>
      </c>
      <c r="BS366" s="23">
        <f>$L366*AL366</f>
        <v>0</v>
      </c>
      <c r="BT366" s="23">
        <f>$L366*AM366</f>
        <v>0</v>
      </c>
      <c r="BU366" s="23">
        <f>$L366*AN366</f>
        <v>0</v>
      </c>
      <c r="BV366" s="23">
        <f>$L366*AO366</f>
        <v>0</v>
      </c>
      <c r="BW366" s="23">
        <f>$L366*AP366</f>
        <v>0</v>
      </c>
      <c r="BX366" s="23">
        <f>$L366*AQ366</f>
        <v>0</v>
      </c>
      <c r="BY366" s="23">
        <f>$L366*AR366</f>
        <v>0</v>
      </c>
      <c r="BZ366" s="23">
        <f>$L366*AS366</f>
        <v>0</v>
      </c>
      <c r="CA366" s="23">
        <f>$L366*AT366</f>
        <v>0</v>
      </c>
      <c r="CB366" s="23">
        <f>$L366*AU366</f>
        <v>0</v>
      </c>
      <c r="CC366" s="23">
        <f>$L366*AV366</f>
        <v>0</v>
      </c>
      <c r="CD366" s="23">
        <f>$L366*AW366</f>
        <v>0</v>
      </c>
      <c r="CE366" s="23">
        <f>$L366*AX366</f>
        <v>0</v>
      </c>
      <c r="CF366" s="23">
        <f>$L366*AY366</f>
        <v>0</v>
      </c>
      <c r="CG366" s="23">
        <f>$L366*AZ366</f>
        <v>0</v>
      </c>
      <c r="CH366" s="23">
        <f>$L366*BA366</f>
        <v>0</v>
      </c>
      <c r="CI366" s="23">
        <f>$L366*BB366</f>
        <v>0</v>
      </c>
      <c r="CJ366" s="23">
        <f>$L366*BC366</f>
        <v>0</v>
      </c>
      <c r="CK366" s="23">
        <f>$L366*BD366</f>
        <v>0</v>
      </c>
      <c r="CL366" s="23">
        <f>$L366*BE366</f>
        <v>0</v>
      </c>
      <c r="CM366" s="23">
        <f>$L366*BF366</f>
        <v>0</v>
      </c>
      <c r="CN366" s="23">
        <f>$L366*BG366</f>
        <v>1</v>
      </c>
      <c r="CO366" s="23">
        <f>$L366*BH366</f>
        <v>1</v>
      </c>
      <c r="CP366" s="23">
        <f>$L366*BI366</f>
        <v>1</v>
      </c>
      <c r="CQ366" s="23">
        <f>$L366*BJ366</f>
        <v>1</v>
      </c>
      <c r="CR366" s="23">
        <f>$L366*BK366</f>
        <v>1</v>
      </c>
      <c r="CS366" s="23">
        <f>$L366*BL366</f>
        <v>1</v>
      </c>
      <c r="CT366" s="23">
        <f>$L366*BM366</f>
        <v>1</v>
      </c>
      <c r="CU366" s="23">
        <f>$L366*BN366</f>
        <v>1</v>
      </c>
      <c r="CV366" s="23">
        <f>$L366*BO366</f>
        <v>1</v>
      </c>
    </row>
    <row r="367" spans="1:100" ht="13.5" x14ac:dyDescent="0.15">
      <c r="A367" s="15">
        <v>249</v>
      </c>
      <c r="B367" s="28" t="s">
        <v>750</v>
      </c>
      <c r="C367" t="s">
        <v>414</v>
      </c>
      <c r="E367" t="s">
        <v>140</v>
      </c>
      <c r="F367" t="s">
        <v>415</v>
      </c>
      <c r="G367" t="s">
        <v>140</v>
      </c>
      <c r="H367" t="s">
        <v>141</v>
      </c>
      <c r="I367" s="6" t="s">
        <v>136</v>
      </c>
      <c r="J367" s="6">
        <v>0</v>
      </c>
      <c r="L367" s="15">
        <v>1</v>
      </c>
      <c r="M367" s="7">
        <v>45803</v>
      </c>
      <c r="N367" s="7">
        <v>46182</v>
      </c>
      <c r="O367" s="7">
        <v>46174</v>
      </c>
      <c r="P367" s="7">
        <v>46175</v>
      </c>
      <c r="S367" s="6" t="s">
        <v>140</v>
      </c>
      <c r="U367" s="6" t="s">
        <v>413</v>
      </c>
      <c r="V367" s="6" t="str">
        <f>TEXT(N367,"YY/MM")</f>
        <v>26/06</v>
      </c>
      <c r="W367">
        <v>1739</v>
      </c>
      <c r="AA367">
        <v>1093</v>
      </c>
      <c r="AC367">
        <v>1146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1</v>
      </c>
      <c r="BH367" s="23">
        <v>1</v>
      </c>
      <c r="BI367" s="23">
        <v>1</v>
      </c>
      <c r="BJ367" s="23">
        <v>1</v>
      </c>
      <c r="BK367" s="23">
        <v>1</v>
      </c>
      <c r="BL367" s="23">
        <v>1</v>
      </c>
      <c r="BM367" s="23">
        <v>1</v>
      </c>
      <c r="BN367" s="23">
        <v>1</v>
      </c>
      <c r="BO367" s="23">
        <v>1</v>
      </c>
      <c r="BP367" s="23">
        <f>$L367*AI367</f>
        <v>0</v>
      </c>
      <c r="BQ367" s="23">
        <f>$L367*AJ367</f>
        <v>0</v>
      </c>
      <c r="BR367" s="23">
        <f>$L367*AK367</f>
        <v>0</v>
      </c>
      <c r="BS367" s="23">
        <f>$L367*AL367</f>
        <v>0</v>
      </c>
      <c r="BT367" s="23">
        <f>$L367*AM367</f>
        <v>0</v>
      </c>
      <c r="BU367" s="23">
        <f>$L367*AN367</f>
        <v>0</v>
      </c>
      <c r="BV367" s="23">
        <f>$L367*AO367</f>
        <v>0</v>
      </c>
      <c r="BW367" s="23">
        <f>$L367*AP367</f>
        <v>0</v>
      </c>
      <c r="BX367" s="23">
        <f>$L367*AQ367</f>
        <v>0</v>
      </c>
      <c r="BY367" s="23">
        <f>$L367*AR367</f>
        <v>0</v>
      </c>
      <c r="BZ367" s="23">
        <f>$L367*AS367</f>
        <v>0</v>
      </c>
      <c r="CA367" s="23">
        <f>$L367*AT367</f>
        <v>0</v>
      </c>
      <c r="CB367" s="23">
        <f>$L367*AU367</f>
        <v>0</v>
      </c>
      <c r="CC367" s="23">
        <f>$L367*AV367</f>
        <v>0</v>
      </c>
      <c r="CD367" s="23">
        <f>$L367*AW367</f>
        <v>0</v>
      </c>
      <c r="CE367" s="23">
        <f>$L367*AX367</f>
        <v>0</v>
      </c>
      <c r="CF367" s="23">
        <f>$L367*AY367</f>
        <v>0</v>
      </c>
      <c r="CG367" s="23">
        <f>$L367*AZ367</f>
        <v>0</v>
      </c>
      <c r="CH367" s="23">
        <f>$L367*BA367</f>
        <v>0</v>
      </c>
      <c r="CI367" s="23">
        <f>$L367*BB367</f>
        <v>0</v>
      </c>
      <c r="CJ367" s="23">
        <f>$L367*BC367</f>
        <v>0</v>
      </c>
      <c r="CK367" s="23">
        <f>$L367*BD367</f>
        <v>0</v>
      </c>
      <c r="CL367" s="23">
        <f>$L367*BE367</f>
        <v>0</v>
      </c>
      <c r="CM367" s="23">
        <f>$L367*BF367</f>
        <v>0</v>
      </c>
      <c r="CN367" s="23">
        <f>$L367*BG367</f>
        <v>1</v>
      </c>
      <c r="CO367" s="23">
        <f>$L367*BH367</f>
        <v>1</v>
      </c>
      <c r="CP367" s="23">
        <f>$L367*BI367</f>
        <v>1</v>
      </c>
      <c r="CQ367" s="23">
        <f>$L367*BJ367</f>
        <v>1</v>
      </c>
      <c r="CR367" s="23">
        <f>$L367*BK367</f>
        <v>1</v>
      </c>
      <c r="CS367" s="23">
        <f>$L367*BL367</f>
        <v>1</v>
      </c>
      <c r="CT367" s="23">
        <f>$L367*BM367</f>
        <v>1</v>
      </c>
      <c r="CU367" s="23">
        <f>$L367*BN367</f>
        <v>1</v>
      </c>
      <c r="CV367" s="23">
        <f>$L367*BO367</f>
        <v>1</v>
      </c>
    </row>
    <row r="368" spans="1:100" ht="13.5" x14ac:dyDescent="0.15">
      <c r="A368" s="15">
        <v>249</v>
      </c>
      <c r="B368" s="28" t="s">
        <v>751</v>
      </c>
      <c r="C368" t="s">
        <v>414</v>
      </c>
      <c r="E368" t="s">
        <v>140</v>
      </c>
      <c r="F368" t="s">
        <v>415</v>
      </c>
      <c r="G368" t="s">
        <v>140</v>
      </c>
      <c r="H368" t="s">
        <v>141</v>
      </c>
      <c r="I368" s="6" t="s">
        <v>136</v>
      </c>
      <c r="J368" s="6">
        <v>0</v>
      </c>
      <c r="L368" s="15">
        <v>1</v>
      </c>
      <c r="M368" s="7">
        <v>45803</v>
      </c>
      <c r="N368" s="7">
        <v>46182</v>
      </c>
      <c r="O368" s="7">
        <v>46174</v>
      </c>
      <c r="P368" s="7">
        <v>46175</v>
      </c>
      <c r="S368" s="6" t="s">
        <v>140</v>
      </c>
      <c r="U368" s="6" t="s">
        <v>413</v>
      </c>
      <c r="V368" s="6" t="str">
        <f>TEXT(N368,"YY/MM")</f>
        <v>26/06</v>
      </c>
      <c r="W368">
        <v>1740</v>
      </c>
      <c r="AA368">
        <v>1094</v>
      </c>
      <c r="AC368">
        <v>1147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0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1</v>
      </c>
      <c r="BP368" s="23">
        <f>$L368*AI368</f>
        <v>0</v>
      </c>
      <c r="BQ368" s="23">
        <f>$L368*AJ368</f>
        <v>0</v>
      </c>
      <c r="BR368" s="23">
        <f>$L368*AK368</f>
        <v>0</v>
      </c>
      <c r="BS368" s="23">
        <f>$L368*AL368</f>
        <v>0</v>
      </c>
      <c r="BT368" s="23">
        <f>$L368*AM368</f>
        <v>0</v>
      </c>
      <c r="BU368" s="23">
        <f>$L368*AN368</f>
        <v>0</v>
      </c>
      <c r="BV368" s="23">
        <f>$L368*AO368</f>
        <v>0</v>
      </c>
      <c r="BW368" s="23">
        <f>$L368*AP368</f>
        <v>0</v>
      </c>
      <c r="BX368" s="23">
        <f>$L368*AQ368</f>
        <v>0</v>
      </c>
      <c r="BY368" s="23">
        <f>$L368*AR368</f>
        <v>0</v>
      </c>
      <c r="BZ368" s="23">
        <f>$L368*AS368</f>
        <v>0</v>
      </c>
      <c r="CA368" s="23">
        <f>$L368*AT368</f>
        <v>0</v>
      </c>
      <c r="CB368" s="23">
        <f>$L368*AU368</f>
        <v>0</v>
      </c>
      <c r="CC368" s="23">
        <f>$L368*AV368</f>
        <v>0</v>
      </c>
      <c r="CD368" s="23">
        <f>$L368*AW368</f>
        <v>0</v>
      </c>
      <c r="CE368" s="23">
        <f>$L368*AX368</f>
        <v>0</v>
      </c>
      <c r="CF368" s="23">
        <f>$L368*AY368</f>
        <v>0</v>
      </c>
      <c r="CG368" s="23">
        <f>$L368*AZ368</f>
        <v>0</v>
      </c>
      <c r="CH368" s="23">
        <f>$L368*BA368</f>
        <v>0</v>
      </c>
      <c r="CI368" s="23">
        <f>$L368*BB368</f>
        <v>0</v>
      </c>
      <c r="CJ368" s="23">
        <f>$L368*BC368</f>
        <v>0</v>
      </c>
      <c r="CK368" s="23">
        <f>$L368*BD368</f>
        <v>0</v>
      </c>
      <c r="CL368" s="23">
        <f>$L368*BE368</f>
        <v>0</v>
      </c>
      <c r="CM368" s="23">
        <f>$L368*BF368</f>
        <v>0</v>
      </c>
      <c r="CN368" s="23">
        <f>$L368*BG368</f>
        <v>1</v>
      </c>
      <c r="CO368" s="23">
        <f>$L368*BH368</f>
        <v>1</v>
      </c>
      <c r="CP368" s="23">
        <f>$L368*BI368</f>
        <v>1</v>
      </c>
      <c r="CQ368" s="23">
        <f>$L368*BJ368</f>
        <v>1</v>
      </c>
      <c r="CR368" s="23">
        <f>$L368*BK368</f>
        <v>1</v>
      </c>
      <c r="CS368" s="23">
        <f>$L368*BL368</f>
        <v>1</v>
      </c>
      <c r="CT368" s="23">
        <f>$L368*BM368</f>
        <v>1</v>
      </c>
      <c r="CU368" s="23">
        <f>$L368*BN368</f>
        <v>1</v>
      </c>
      <c r="CV368" s="23">
        <f>$L368*BO368</f>
        <v>1</v>
      </c>
    </row>
    <row r="369" spans="1:100" ht="13.5" x14ac:dyDescent="0.15">
      <c r="A369" s="15">
        <v>249</v>
      </c>
      <c r="B369" s="28" t="s">
        <v>752</v>
      </c>
      <c r="C369" t="s">
        <v>414</v>
      </c>
      <c r="E369" t="s">
        <v>140</v>
      </c>
      <c r="F369" t="s">
        <v>415</v>
      </c>
      <c r="G369" t="s">
        <v>140</v>
      </c>
      <c r="H369" t="s">
        <v>141</v>
      </c>
      <c r="I369" s="6" t="s">
        <v>136</v>
      </c>
      <c r="J369" s="6">
        <v>0</v>
      </c>
      <c r="L369" s="15">
        <v>1</v>
      </c>
      <c r="M369" s="7">
        <v>45803</v>
      </c>
      <c r="N369" s="7">
        <v>46182</v>
      </c>
      <c r="O369" s="7">
        <v>46174</v>
      </c>
      <c r="P369" s="7">
        <v>46175</v>
      </c>
      <c r="S369" s="6" t="s">
        <v>140</v>
      </c>
      <c r="U369" s="6" t="s">
        <v>413</v>
      </c>
      <c r="V369" s="6" t="str">
        <f>TEXT(N369,"YY/MM")</f>
        <v>26/06</v>
      </c>
      <c r="W369">
        <v>1741</v>
      </c>
      <c r="AA369">
        <v>1095</v>
      </c>
      <c r="AC369">
        <v>1148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0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1</v>
      </c>
      <c r="BH369" s="23">
        <v>1</v>
      </c>
      <c r="BI369" s="23">
        <v>1</v>
      </c>
      <c r="BJ369" s="23">
        <v>1</v>
      </c>
      <c r="BK369" s="23">
        <v>1</v>
      </c>
      <c r="BL369" s="23">
        <v>1</v>
      </c>
      <c r="BM369" s="23">
        <v>1</v>
      </c>
      <c r="BN369" s="23">
        <v>1</v>
      </c>
      <c r="BO369" s="23">
        <v>1</v>
      </c>
      <c r="BP369" s="23">
        <f>$L369*AI369</f>
        <v>0</v>
      </c>
      <c r="BQ369" s="23">
        <f>$L369*AJ369</f>
        <v>0</v>
      </c>
      <c r="BR369" s="23">
        <f>$L369*AK369</f>
        <v>0</v>
      </c>
      <c r="BS369" s="23">
        <f>$L369*AL369</f>
        <v>0</v>
      </c>
      <c r="BT369" s="23">
        <f>$L369*AM369</f>
        <v>0</v>
      </c>
      <c r="BU369" s="23">
        <f>$L369*AN369</f>
        <v>0</v>
      </c>
      <c r="BV369" s="23">
        <f>$L369*AO369</f>
        <v>0</v>
      </c>
      <c r="BW369" s="23">
        <f>$L369*AP369</f>
        <v>0</v>
      </c>
      <c r="BX369" s="23">
        <f>$L369*AQ369</f>
        <v>0</v>
      </c>
      <c r="BY369" s="23">
        <f>$L369*AR369</f>
        <v>0</v>
      </c>
      <c r="BZ369" s="23">
        <f>$L369*AS369</f>
        <v>0</v>
      </c>
      <c r="CA369" s="23">
        <f>$L369*AT369</f>
        <v>0</v>
      </c>
      <c r="CB369" s="23">
        <f>$L369*AU369</f>
        <v>0</v>
      </c>
      <c r="CC369" s="23">
        <f>$L369*AV369</f>
        <v>0</v>
      </c>
      <c r="CD369" s="23">
        <f>$L369*AW369</f>
        <v>0</v>
      </c>
      <c r="CE369" s="23">
        <f>$L369*AX369</f>
        <v>0</v>
      </c>
      <c r="CF369" s="23">
        <f>$L369*AY369</f>
        <v>0</v>
      </c>
      <c r="CG369" s="23">
        <f>$L369*AZ369</f>
        <v>0</v>
      </c>
      <c r="CH369" s="23">
        <f>$L369*BA369</f>
        <v>0</v>
      </c>
      <c r="CI369" s="23">
        <f>$L369*BB369</f>
        <v>0</v>
      </c>
      <c r="CJ369" s="23">
        <f>$L369*BC369</f>
        <v>0</v>
      </c>
      <c r="CK369" s="23">
        <f>$L369*BD369</f>
        <v>0</v>
      </c>
      <c r="CL369" s="23">
        <f>$L369*BE369</f>
        <v>0</v>
      </c>
      <c r="CM369" s="23">
        <f>$L369*BF369</f>
        <v>0</v>
      </c>
      <c r="CN369" s="23">
        <f>$L369*BG369</f>
        <v>1</v>
      </c>
      <c r="CO369" s="23">
        <f>$L369*BH369</f>
        <v>1</v>
      </c>
      <c r="CP369" s="23">
        <f>$L369*BI369</f>
        <v>1</v>
      </c>
      <c r="CQ369" s="23">
        <f>$L369*BJ369</f>
        <v>1</v>
      </c>
      <c r="CR369" s="23">
        <f>$L369*BK369</f>
        <v>1</v>
      </c>
      <c r="CS369" s="23">
        <f>$L369*BL369</f>
        <v>1</v>
      </c>
      <c r="CT369" s="23">
        <f>$L369*BM369</f>
        <v>1</v>
      </c>
      <c r="CU369" s="23">
        <f>$L369*BN369</f>
        <v>1</v>
      </c>
      <c r="CV369" s="23">
        <f>$L369*BO369</f>
        <v>1</v>
      </c>
    </row>
    <row r="370" spans="1:100" ht="13.5" x14ac:dyDescent="0.15">
      <c r="A370" s="15">
        <v>280</v>
      </c>
      <c r="B370" s="28" t="s">
        <v>753</v>
      </c>
      <c r="C370" t="s">
        <v>414</v>
      </c>
      <c r="E370" t="s">
        <v>140</v>
      </c>
      <c r="F370" t="s">
        <v>415</v>
      </c>
      <c r="G370" t="s">
        <v>140</v>
      </c>
      <c r="H370" t="s">
        <v>141</v>
      </c>
      <c r="I370" s="6" t="s">
        <v>136</v>
      </c>
      <c r="J370" s="6">
        <v>0</v>
      </c>
      <c r="L370" s="15">
        <v>1</v>
      </c>
      <c r="M370" s="7">
        <v>45803</v>
      </c>
      <c r="N370" s="7">
        <v>46183</v>
      </c>
      <c r="O370" s="7">
        <v>46181</v>
      </c>
      <c r="P370" s="7">
        <v>46182</v>
      </c>
      <c r="S370" s="6" t="s">
        <v>140</v>
      </c>
      <c r="U370" s="6" t="s">
        <v>413</v>
      </c>
      <c r="V370" s="6" t="str">
        <f>TEXT(N370,"YY/MM")</f>
        <v>26/06</v>
      </c>
      <c r="W370">
        <v>1742</v>
      </c>
      <c r="AA370">
        <v>1096</v>
      </c>
      <c r="AC370">
        <v>1149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0</v>
      </c>
      <c r="BC370" s="23">
        <v>0</v>
      </c>
      <c r="BD370" s="23">
        <v>0</v>
      </c>
      <c r="BE370" s="23">
        <v>0</v>
      </c>
      <c r="BF370" s="23">
        <v>0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1</v>
      </c>
      <c r="BN370" s="23">
        <v>1</v>
      </c>
      <c r="BO370" s="23">
        <v>1</v>
      </c>
      <c r="BP370" s="23">
        <f>$L370*AI370</f>
        <v>0</v>
      </c>
      <c r="BQ370" s="23">
        <f>$L370*AJ370</f>
        <v>0</v>
      </c>
      <c r="BR370" s="23">
        <f>$L370*AK370</f>
        <v>0</v>
      </c>
      <c r="BS370" s="23">
        <f>$L370*AL370</f>
        <v>0</v>
      </c>
      <c r="BT370" s="23">
        <f>$L370*AM370</f>
        <v>0</v>
      </c>
      <c r="BU370" s="23">
        <f>$L370*AN370</f>
        <v>0</v>
      </c>
      <c r="BV370" s="23">
        <f>$L370*AO370</f>
        <v>0</v>
      </c>
      <c r="BW370" s="23">
        <f>$L370*AP370</f>
        <v>0</v>
      </c>
      <c r="BX370" s="23">
        <f>$L370*AQ370</f>
        <v>0</v>
      </c>
      <c r="BY370" s="23">
        <f>$L370*AR370</f>
        <v>0</v>
      </c>
      <c r="BZ370" s="23">
        <f>$L370*AS370</f>
        <v>0</v>
      </c>
      <c r="CA370" s="23">
        <f>$L370*AT370</f>
        <v>0</v>
      </c>
      <c r="CB370" s="23">
        <f>$L370*AU370</f>
        <v>0</v>
      </c>
      <c r="CC370" s="23">
        <f>$L370*AV370</f>
        <v>0</v>
      </c>
      <c r="CD370" s="23">
        <f>$L370*AW370</f>
        <v>0</v>
      </c>
      <c r="CE370" s="23">
        <f>$L370*AX370</f>
        <v>0</v>
      </c>
      <c r="CF370" s="23">
        <f>$L370*AY370</f>
        <v>0</v>
      </c>
      <c r="CG370" s="23">
        <f>$L370*AZ370</f>
        <v>0</v>
      </c>
      <c r="CH370" s="23">
        <f>$L370*BA370</f>
        <v>0</v>
      </c>
      <c r="CI370" s="23">
        <f>$L370*BB370</f>
        <v>0</v>
      </c>
      <c r="CJ370" s="23">
        <f>$L370*BC370</f>
        <v>0</v>
      </c>
      <c r="CK370" s="23">
        <f>$L370*BD370</f>
        <v>0</v>
      </c>
      <c r="CL370" s="23">
        <f>$L370*BE370</f>
        <v>0</v>
      </c>
      <c r="CM370" s="23">
        <f>$L370*BF370</f>
        <v>0</v>
      </c>
      <c r="CN370" s="23">
        <f>$L370*BG370</f>
        <v>1</v>
      </c>
      <c r="CO370" s="23">
        <f>$L370*BH370</f>
        <v>1</v>
      </c>
      <c r="CP370" s="23">
        <f>$L370*BI370</f>
        <v>1</v>
      </c>
      <c r="CQ370" s="23">
        <f>$L370*BJ370</f>
        <v>1</v>
      </c>
      <c r="CR370" s="23">
        <f>$L370*BK370</f>
        <v>1</v>
      </c>
      <c r="CS370" s="23">
        <f>$L370*BL370</f>
        <v>1</v>
      </c>
      <c r="CT370" s="23">
        <f>$L370*BM370</f>
        <v>1</v>
      </c>
      <c r="CU370" s="23">
        <f>$L370*BN370</f>
        <v>1</v>
      </c>
      <c r="CV370" s="23">
        <f>$L370*BO370</f>
        <v>1</v>
      </c>
    </row>
    <row r="371" spans="1:100" ht="13.5" x14ac:dyDescent="0.15">
      <c r="A371" s="15">
        <v>280</v>
      </c>
      <c r="B371" s="28" t="s">
        <v>754</v>
      </c>
      <c r="C371" t="s">
        <v>414</v>
      </c>
      <c r="E371" t="s">
        <v>140</v>
      </c>
      <c r="F371" t="s">
        <v>415</v>
      </c>
      <c r="G371" t="s">
        <v>140</v>
      </c>
      <c r="H371" t="s">
        <v>141</v>
      </c>
      <c r="I371" s="6" t="s">
        <v>136</v>
      </c>
      <c r="J371" s="6">
        <v>0</v>
      </c>
      <c r="L371" s="15">
        <v>1</v>
      </c>
      <c r="M371" s="7">
        <v>45803</v>
      </c>
      <c r="N371" s="7">
        <v>46183</v>
      </c>
      <c r="O371" s="7">
        <v>46181</v>
      </c>
      <c r="P371" s="7">
        <v>46182</v>
      </c>
      <c r="S371" s="6" t="s">
        <v>140</v>
      </c>
      <c r="U371" s="6" t="s">
        <v>413</v>
      </c>
      <c r="V371" s="6" t="str">
        <f>TEXT(N371,"YY/MM")</f>
        <v>26/06</v>
      </c>
      <c r="W371">
        <v>1743</v>
      </c>
      <c r="AA371">
        <v>1097</v>
      </c>
      <c r="AC371">
        <v>1150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0</v>
      </c>
      <c r="BC371" s="23">
        <v>0</v>
      </c>
      <c r="BD371" s="23">
        <v>0</v>
      </c>
      <c r="BE371" s="23">
        <v>0</v>
      </c>
      <c r="BF371" s="23">
        <v>0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1</v>
      </c>
      <c r="BM371" s="23">
        <v>1</v>
      </c>
      <c r="BN371" s="23">
        <v>1</v>
      </c>
      <c r="BO371" s="23">
        <v>1</v>
      </c>
      <c r="BP371" s="23">
        <f>$L371*AI371</f>
        <v>0</v>
      </c>
      <c r="BQ371" s="23">
        <f>$L371*AJ371</f>
        <v>0</v>
      </c>
      <c r="BR371" s="23">
        <f>$L371*AK371</f>
        <v>0</v>
      </c>
      <c r="BS371" s="23">
        <f>$L371*AL371</f>
        <v>0</v>
      </c>
      <c r="BT371" s="23">
        <f>$L371*AM371</f>
        <v>0</v>
      </c>
      <c r="BU371" s="23">
        <f>$L371*AN371</f>
        <v>0</v>
      </c>
      <c r="BV371" s="23">
        <f>$L371*AO371</f>
        <v>0</v>
      </c>
      <c r="BW371" s="23">
        <f>$L371*AP371</f>
        <v>0</v>
      </c>
      <c r="BX371" s="23">
        <f>$L371*AQ371</f>
        <v>0</v>
      </c>
      <c r="BY371" s="23">
        <f>$L371*AR371</f>
        <v>0</v>
      </c>
      <c r="BZ371" s="23">
        <f>$L371*AS371</f>
        <v>0</v>
      </c>
      <c r="CA371" s="23">
        <f>$L371*AT371</f>
        <v>0</v>
      </c>
      <c r="CB371" s="23">
        <f>$L371*AU371</f>
        <v>0</v>
      </c>
      <c r="CC371" s="23">
        <f>$L371*AV371</f>
        <v>0</v>
      </c>
      <c r="CD371" s="23">
        <f>$L371*AW371</f>
        <v>0</v>
      </c>
      <c r="CE371" s="23">
        <f>$L371*AX371</f>
        <v>0</v>
      </c>
      <c r="CF371" s="23">
        <f>$L371*AY371</f>
        <v>0</v>
      </c>
      <c r="CG371" s="23">
        <f>$L371*AZ371</f>
        <v>0</v>
      </c>
      <c r="CH371" s="23">
        <f>$L371*BA371</f>
        <v>0</v>
      </c>
      <c r="CI371" s="23">
        <f>$L371*BB371</f>
        <v>0</v>
      </c>
      <c r="CJ371" s="23">
        <f>$L371*BC371</f>
        <v>0</v>
      </c>
      <c r="CK371" s="23">
        <f>$L371*BD371</f>
        <v>0</v>
      </c>
      <c r="CL371" s="23">
        <f>$L371*BE371</f>
        <v>0</v>
      </c>
      <c r="CM371" s="23">
        <f>$L371*BF371</f>
        <v>0</v>
      </c>
      <c r="CN371" s="23">
        <f>$L371*BG371</f>
        <v>1</v>
      </c>
      <c r="CO371" s="23">
        <f>$L371*BH371</f>
        <v>1</v>
      </c>
      <c r="CP371" s="23">
        <f>$L371*BI371</f>
        <v>1</v>
      </c>
      <c r="CQ371" s="23">
        <f>$L371*BJ371</f>
        <v>1</v>
      </c>
      <c r="CR371" s="23">
        <f>$L371*BK371</f>
        <v>1</v>
      </c>
      <c r="CS371" s="23">
        <f>$L371*BL371</f>
        <v>1</v>
      </c>
      <c r="CT371" s="23">
        <f>$L371*BM371</f>
        <v>1</v>
      </c>
      <c r="CU371" s="23">
        <f>$L371*BN371</f>
        <v>1</v>
      </c>
      <c r="CV371" s="23">
        <f>$L371*BO371</f>
        <v>1</v>
      </c>
    </row>
    <row r="372" spans="1:100" ht="13.5" x14ac:dyDescent="0.15">
      <c r="A372" s="15">
        <v>280</v>
      </c>
      <c r="B372" s="28" t="s">
        <v>755</v>
      </c>
      <c r="C372" t="s">
        <v>414</v>
      </c>
      <c r="E372" t="s">
        <v>140</v>
      </c>
      <c r="F372" t="s">
        <v>415</v>
      </c>
      <c r="G372" t="s">
        <v>140</v>
      </c>
      <c r="H372" t="s">
        <v>141</v>
      </c>
      <c r="I372" s="6" t="s">
        <v>136</v>
      </c>
      <c r="J372" s="6">
        <v>0</v>
      </c>
      <c r="L372" s="15">
        <v>1</v>
      </c>
      <c r="M372" s="7">
        <v>45803</v>
      </c>
      <c r="N372" s="7">
        <v>46183</v>
      </c>
      <c r="O372" s="7">
        <v>46181</v>
      </c>
      <c r="P372" s="7">
        <v>46182</v>
      </c>
      <c r="S372" s="6" t="s">
        <v>140</v>
      </c>
      <c r="U372" s="6" t="s">
        <v>413</v>
      </c>
      <c r="V372" s="6" t="str">
        <f>TEXT(N372,"YY/MM")</f>
        <v>26/06</v>
      </c>
      <c r="W372">
        <v>1744</v>
      </c>
      <c r="AA372">
        <v>1098</v>
      </c>
      <c r="AC372">
        <v>1151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0</v>
      </c>
      <c r="BC372" s="23">
        <v>0</v>
      </c>
      <c r="BD372" s="23">
        <v>0</v>
      </c>
      <c r="BE372" s="23">
        <v>0</v>
      </c>
      <c r="BF372" s="23">
        <v>0</v>
      </c>
      <c r="BG372" s="23">
        <v>1</v>
      </c>
      <c r="BH372" s="23">
        <v>1</v>
      </c>
      <c r="BI372" s="23">
        <v>1</v>
      </c>
      <c r="BJ372" s="23">
        <v>1</v>
      </c>
      <c r="BK372" s="23">
        <v>1</v>
      </c>
      <c r="BL372" s="23">
        <v>1</v>
      </c>
      <c r="BM372" s="23">
        <v>1</v>
      </c>
      <c r="BN372" s="23">
        <v>1</v>
      </c>
      <c r="BO372" s="23">
        <v>1</v>
      </c>
      <c r="BP372" s="23">
        <f>$L372*AI372</f>
        <v>0</v>
      </c>
      <c r="BQ372" s="23">
        <f>$L372*AJ372</f>
        <v>0</v>
      </c>
      <c r="BR372" s="23">
        <f>$L372*AK372</f>
        <v>0</v>
      </c>
      <c r="BS372" s="23">
        <f>$L372*AL372</f>
        <v>0</v>
      </c>
      <c r="BT372" s="23">
        <f>$L372*AM372</f>
        <v>0</v>
      </c>
      <c r="BU372" s="23">
        <f>$L372*AN372</f>
        <v>0</v>
      </c>
      <c r="BV372" s="23">
        <f>$L372*AO372</f>
        <v>0</v>
      </c>
      <c r="BW372" s="23">
        <f>$L372*AP372</f>
        <v>0</v>
      </c>
      <c r="BX372" s="23">
        <f>$L372*AQ372</f>
        <v>0</v>
      </c>
      <c r="BY372" s="23">
        <f>$L372*AR372</f>
        <v>0</v>
      </c>
      <c r="BZ372" s="23">
        <f>$L372*AS372</f>
        <v>0</v>
      </c>
      <c r="CA372" s="23">
        <f>$L372*AT372</f>
        <v>0</v>
      </c>
      <c r="CB372" s="23">
        <f>$L372*AU372</f>
        <v>0</v>
      </c>
      <c r="CC372" s="23">
        <f>$L372*AV372</f>
        <v>0</v>
      </c>
      <c r="CD372" s="23">
        <f>$L372*AW372</f>
        <v>0</v>
      </c>
      <c r="CE372" s="23">
        <f>$L372*AX372</f>
        <v>0</v>
      </c>
      <c r="CF372" s="23">
        <f>$L372*AY372</f>
        <v>0</v>
      </c>
      <c r="CG372" s="23">
        <f>$L372*AZ372</f>
        <v>0</v>
      </c>
      <c r="CH372" s="23">
        <f>$L372*BA372</f>
        <v>0</v>
      </c>
      <c r="CI372" s="23">
        <f>$L372*BB372</f>
        <v>0</v>
      </c>
      <c r="CJ372" s="23">
        <f>$L372*BC372</f>
        <v>0</v>
      </c>
      <c r="CK372" s="23">
        <f>$L372*BD372</f>
        <v>0</v>
      </c>
      <c r="CL372" s="23">
        <f>$L372*BE372</f>
        <v>0</v>
      </c>
      <c r="CM372" s="23">
        <f>$L372*BF372</f>
        <v>0</v>
      </c>
      <c r="CN372" s="23">
        <f>$L372*BG372</f>
        <v>1</v>
      </c>
      <c r="CO372" s="23">
        <f>$L372*BH372</f>
        <v>1</v>
      </c>
      <c r="CP372" s="23">
        <f>$L372*BI372</f>
        <v>1</v>
      </c>
      <c r="CQ372" s="23">
        <f>$L372*BJ372</f>
        <v>1</v>
      </c>
      <c r="CR372" s="23">
        <f>$L372*BK372</f>
        <v>1</v>
      </c>
      <c r="CS372" s="23">
        <f>$L372*BL372</f>
        <v>1</v>
      </c>
      <c r="CT372" s="23">
        <f>$L372*BM372</f>
        <v>1</v>
      </c>
      <c r="CU372" s="23">
        <f>$L372*BN372</f>
        <v>1</v>
      </c>
      <c r="CV372" s="23">
        <f>$L372*BO372</f>
        <v>1</v>
      </c>
    </row>
    <row r="373" spans="1:100" ht="13.5" x14ac:dyDescent="0.15">
      <c r="A373" s="15">
        <v>280</v>
      </c>
      <c r="B373" s="28" t="s">
        <v>756</v>
      </c>
      <c r="C373" t="s">
        <v>414</v>
      </c>
      <c r="E373" t="s">
        <v>140</v>
      </c>
      <c r="F373" t="s">
        <v>415</v>
      </c>
      <c r="G373" t="s">
        <v>140</v>
      </c>
      <c r="H373" t="s">
        <v>141</v>
      </c>
      <c r="I373" s="6" t="s">
        <v>136</v>
      </c>
      <c r="J373" s="6">
        <v>0</v>
      </c>
      <c r="L373" s="15">
        <v>1</v>
      </c>
      <c r="M373" s="7">
        <v>45803</v>
      </c>
      <c r="N373" s="7">
        <v>46183</v>
      </c>
      <c r="O373" s="7">
        <v>46181</v>
      </c>
      <c r="P373" s="7">
        <v>46182</v>
      </c>
      <c r="S373" s="6" t="s">
        <v>140</v>
      </c>
      <c r="U373" s="6" t="s">
        <v>413</v>
      </c>
      <c r="V373" s="6" t="str">
        <f>TEXT(N373,"YY/MM")</f>
        <v>26/06</v>
      </c>
      <c r="W373">
        <v>1745</v>
      </c>
      <c r="AA373">
        <v>1099</v>
      </c>
      <c r="AC373">
        <v>1152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0</v>
      </c>
      <c r="BC373" s="23">
        <v>0</v>
      </c>
      <c r="BD373" s="23">
        <v>0</v>
      </c>
      <c r="BE373" s="23">
        <v>0</v>
      </c>
      <c r="BF373" s="23">
        <v>0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1</v>
      </c>
      <c r="BP373" s="23">
        <f>$L373*AI373</f>
        <v>0</v>
      </c>
      <c r="BQ373" s="23">
        <f>$L373*AJ373</f>
        <v>0</v>
      </c>
      <c r="BR373" s="23">
        <f>$L373*AK373</f>
        <v>0</v>
      </c>
      <c r="BS373" s="23">
        <f>$L373*AL373</f>
        <v>0</v>
      </c>
      <c r="BT373" s="23">
        <f>$L373*AM373</f>
        <v>0</v>
      </c>
      <c r="BU373" s="23">
        <f>$L373*AN373</f>
        <v>0</v>
      </c>
      <c r="BV373" s="23">
        <f>$L373*AO373</f>
        <v>0</v>
      </c>
      <c r="BW373" s="23">
        <f>$L373*AP373</f>
        <v>0</v>
      </c>
      <c r="BX373" s="23">
        <f>$L373*AQ373</f>
        <v>0</v>
      </c>
      <c r="BY373" s="23">
        <f>$L373*AR373</f>
        <v>0</v>
      </c>
      <c r="BZ373" s="23">
        <f>$L373*AS373</f>
        <v>0</v>
      </c>
      <c r="CA373" s="23">
        <f>$L373*AT373</f>
        <v>0</v>
      </c>
      <c r="CB373" s="23">
        <f>$L373*AU373</f>
        <v>0</v>
      </c>
      <c r="CC373" s="23">
        <f>$L373*AV373</f>
        <v>0</v>
      </c>
      <c r="CD373" s="23">
        <f>$L373*AW373</f>
        <v>0</v>
      </c>
      <c r="CE373" s="23">
        <f>$L373*AX373</f>
        <v>0</v>
      </c>
      <c r="CF373" s="23">
        <f>$L373*AY373</f>
        <v>0</v>
      </c>
      <c r="CG373" s="23">
        <f>$L373*AZ373</f>
        <v>0</v>
      </c>
      <c r="CH373" s="23">
        <f>$L373*BA373</f>
        <v>0</v>
      </c>
      <c r="CI373" s="23">
        <f>$L373*BB373</f>
        <v>0</v>
      </c>
      <c r="CJ373" s="23">
        <f>$L373*BC373</f>
        <v>0</v>
      </c>
      <c r="CK373" s="23">
        <f>$L373*BD373</f>
        <v>0</v>
      </c>
      <c r="CL373" s="23">
        <f>$L373*BE373</f>
        <v>0</v>
      </c>
      <c r="CM373" s="23">
        <f>$L373*BF373</f>
        <v>0</v>
      </c>
      <c r="CN373" s="23">
        <f>$L373*BG373</f>
        <v>1</v>
      </c>
      <c r="CO373" s="23">
        <f>$L373*BH373</f>
        <v>1</v>
      </c>
      <c r="CP373" s="23">
        <f>$L373*BI373</f>
        <v>1</v>
      </c>
      <c r="CQ373" s="23">
        <f>$L373*BJ373</f>
        <v>1</v>
      </c>
      <c r="CR373" s="23">
        <f>$L373*BK373</f>
        <v>1</v>
      </c>
      <c r="CS373" s="23">
        <f>$L373*BL373</f>
        <v>1</v>
      </c>
      <c r="CT373" s="23">
        <f>$L373*BM373</f>
        <v>1</v>
      </c>
      <c r="CU373" s="23">
        <f>$L373*BN373</f>
        <v>1</v>
      </c>
      <c r="CV373" s="23">
        <f>$L373*BO373</f>
        <v>1</v>
      </c>
    </row>
    <row r="374" spans="1:100" ht="13.5" x14ac:dyDescent="0.15">
      <c r="A374" s="15">
        <v>280</v>
      </c>
      <c r="B374" s="28" t="s">
        <v>757</v>
      </c>
      <c r="C374" t="s">
        <v>414</v>
      </c>
      <c r="E374" t="s">
        <v>140</v>
      </c>
      <c r="F374" t="s">
        <v>415</v>
      </c>
      <c r="G374" t="s">
        <v>140</v>
      </c>
      <c r="H374" t="s">
        <v>141</v>
      </c>
      <c r="I374" s="6" t="s">
        <v>136</v>
      </c>
      <c r="J374" s="6">
        <v>0</v>
      </c>
      <c r="L374" s="15">
        <v>1</v>
      </c>
      <c r="M374" s="7">
        <v>45803</v>
      </c>
      <c r="N374" s="7">
        <v>46183</v>
      </c>
      <c r="O374" s="7">
        <v>46181</v>
      </c>
      <c r="P374" s="7">
        <v>46182</v>
      </c>
      <c r="S374" s="6" t="s">
        <v>140</v>
      </c>
      <c r="U374" s="6" t="s">
        <v>413</v>
      </c>
      <c r="V374" s="6" t="str">
        <f>TEXT(N374,"YY/MM")</f>
        <v>26/06</v>
      </c>
      <c r="W374">
        <v>1746</v>
      </c>
      <c r="AA374">
        <v>1100</v>
      </c>
      <c r="AC374">
        <v>1153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0</v>
      </c>
      <c r="BC374" s="23">
        <v>0</v>
      </c>
      <c r="BD374" s="23">
        <v>0</v>
      </c>
      <c r="BE374" s="23">
        <v>0</v>
      </c>
      <c r="BF374" s="23">
        <v>0</v>
      </c>
      <c r="BG374" s="23">
        <v>1</v>
      </c>
      <c r="BH374" s="23">
        <v>1</v>
      </c>
      <c r="BI374" s="23">
        <v>1</v>
      </c>
      <c r="BJ374" s="23">
        <v>1</v>
      </c>
      <c r="BK374" s="23">
        <v>1</v>
      </c>
      <c r="BL374" s="23">
        <v>1</v>
      </c>
      <c r="BM374" s="23">
        <v>1</v>
      </c>
      <c r="BN374" s="23">
        <v>1</v>
      </c>
      <c r="BO374" s="23">
        <v>1</v>
      </c>
      <c r="BP374" s="23">
        <f>$L374*AI374</f>
        <v>0</v>
      </c>
      <c r="BQ374" s="23">
        <f>$L374*AJ374</f>
        <v>0</v>
      </c>
      <c r="BR374" s="23">
        <f>$L374*AK374</f>
        <v>0</v>
      </c>
      <c r="BS374" s="23">
        <f>$L374*AL374</f>
        <v>0</v>
      </c>
      <c r="BT374" s="23">
        <f>$L374*AM374</f>
        <v>0</v>
      </c>
      <c r="BU374" s="23">
        <f>$L374*AN374</f>
        <v>0</v>
      </c>
      <c r="BV374" s="23">
        <f>$L374*AO374</f>
        <v>0</v>
      </c>
      <c r="BW374" s="23">
        <f>$L374*AP374</f>
        <v>0</v>
      </c>
      <c r="BX374" s="23">
        <f>$L374*AQ374</f>
        <v>0</v>
      </c>
      <c r="BY374" s="23">
        <f>$L374*AR374</f>
        <v>0</v>
      </c>
      <c r="BZ374" s="23">
        <f>$L374*AS374</f>
        <v>0</v>
      </c>
      <c r="CA374" s="23">
        <f>$L374*AT374</f>
        <v>0</v>
      </c>
      <c r="CB374" s="23">
        <f>$L374*AU374</f>
        <v>0</v>
      </c>
      <c r="CC374" s="23">
        <f>$L374*AV374</f>
        <v>0</v>
      </c>
      <c r="CD374" s="23">
        <f>$L374*AW374</f>
        <v>0</v>
      </c>
      <c r="CE374" s="23">
        <f>$L374*AX374</f>
        <v>0</v>
      </c>
      <c r="CF374" s="23">
        <f>$L374*AY374</f>
        <v>0</v>
      </c>
      <c r="CG374" s="23">
        <f>$L374*AZ374</f>
        <v>0</v>
      </c>
      <c r="CH374" s="23">
        <f>$L374*BA374</f>
        <v>0</v>
      </c>
      <c r="CI374" s="23">
        <f>$L374*BB374</f>
        <v>0</v>
      </c>
      <c r="CJ374" s="23">
        <f>$L374*BC374</f>
        <v>0</v>
      </c>
      <c r="CK374" s="23">
        <f>$L374*BD374</f>
        <v>0</v>
      </c>
      <c r="CL374" s="23">
        <f>$L374*BE374</f>
        <v>0</v>
      </c>
      <c r="CM374" s="23">
        <f>$L374*BF374</f>
        <v>0</v>
      </c>
      <c r="CN374" s="23">
        <f>$L374*BG374</f>
        <v>1</v>
      </c>
      <c r="CO374" s="23">
        <f>$L374*BH374</f>
        <v>1</v>
      </c>
      <c r="CP374" s="23">
        <f>$L374*BI374</f>
        <v>1</v>
      </c>
      <c r="CQ374" s="23">
        <f>$L374*BJ374</f>
        <v>1</v>
      </c>
      <c r="CR374" s="23">
        <f>$L374*BK374</f>
        <v>1</v>
      </c>
      <c r="CS374" s="23">
        <f>$L374*BL374</f>
        <v>1</v>
      </c>
      <c r="CT374" s="23">
        <f>$L374*BM374</f>
        <v>1</v>
      </c>
      <c r="CU374" s="23">
        <f>$L374*BN374</f>
        <v>1</v>
      </c>
      <c r="CV374" s="23">
        <f>$L374*BO374</f>
        <v>1</v>
      </c>
    </row>
    <row r="375" spans="1:100" ht="13.5" x14ac:dyDescent="0.15">
      <c r="A375" s="15">
        <v>280</v>
      </c>
      <c r="B375" s="28" t="s">
        <v>758</v>
      </c>
      <c r="C375" t="s">
        <v>414</v>
      </c>
      <c r="E375" t="s">
        <v>140</v>
      </c>
      <c r="F375" t="s">
        <v>415</v>
      </c>
      <c r="G375" t="s">
        <v>140</v>
      </c>
      <c r="H375" t="s">
        <v>141</v>
      </c>
      <c r="I375" s="6" t="s">
        <v>136</v>
      </c>
      <c r="J375" s="6">
        <v>0</v>
      </c>
      <c r="L375" s="15">
        <v>1</v>
      </c>
      <c r="M375" s="7">
        <v>45803</v>
      </c>
      <c r="N375" s="7">
        <v>46183</v>
      </c>
      <c r="O375" s="7">
        <v>46181</v>
      </c>
      <c r="P375" s="7">
        <v>46182</v>
      </c>
      <c r="S375" s="6" t="s">
        <v>140</v>
      </c>
      <c r="U375" s="6" t="s">
        <v>413</v>
      </c>
      <c r="V375" s="6" t="str">
        <f>TEXT(N375,"YY/MM")</f>
        <v>26/06</v>
      </c>
      <c r="W375">
        <v>1747</v>
      </c>
      <c r="AA375">
        <v>1101</v>
      </c>
      <c r="AC375">
        <v>1154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0</v>
      </c>
      <c r="BC375" s="23">
        <v>0</v>
      </c>
      <c r="BD375" s="23">
        <v>0</v>
      </c>
      <c r="BE375" s="23">
        <v>0</v>
      </c>
      <c r="BF375" s="23">
        <v>0</v>
      </c>
      <c r="BG375" s="23">
        <v>1</v>
      </c>
      <c r="BH375" s="23">
        <v>1</v>
      </c>
      <c r="BI375" s="23">
        <v>1</v>
      </c>
      <c r="BJ375" s="23">
        <v>1</v>
      </c>
      <c r="BK375" s="23">
        <v>1</v>
      </c>
      <c r="BL375" s="23">
        <v>1</v>
      </c>
      <c r="BM375" s="23">
        <v>1</v>
      </c>
      <c r="BN375" s="23">
        <v>1</v>
      </c>
      <c r="BO375" s="23">
        <v>1</v>
      </c>
      <c r="BP375" s="23">
        <f>$L375*AI375</f>
        <v>0</v>
      </c>
      <c r="BQ375" s="23">
        <f>$L375*AJ375</f>
        <v>0</v>
      </c>
      <c r="BR375" s="23">
        <f>$L375*AK375</f>
        <v>0</v>
      </c>
      <c r="BS375" s="23">
        <f>$L375*AL375</f>
        <v>0</v>
      </c>
      <c r="BT375" s="23">
        <f>$L375*AM375</f>
        <v>0</v>
      </c>
      <c r="BU375" s="23">
        <f>$L375*AN375</f>
        <v>0</v>
      </c>
      <c r="BV375" s="23">
        <f>$L375*AO375</f>
        <v>0</v>
      </c>
      <c r="BW375" s="23">
        <f>$L375*AP375</f>
        <v>0</v>
      </c>
      <c r="BX375" s="23">
        <f>$L375*AQ375</f>
        <v>0</v>
      </c>
      <c r="BY375" s="23">
        <f>$L375*AR375</f>
        <v>0</v>
      </c>
      <c r="BZ375" s="23">
        <f>$L375*AS375</f>
        <v>0</v>
      </c>
      <c r="CA375" s="23">
        <f>$L375*AT375</f>
        <v>0</v>
      </c>
      <c r="CB375" s="23">
        <f>$L375*AU375</f>
        <v>0</v>
      </c>
      <c r="CC375" s="23">
        <f>$L375*AV375</f>
        <v>0</v>
      </c>
      <c r="CD375" s="23">
        <f>$L375*AW375</f>
        <v>0</v>
      </c>
      <c r="CE375" s="23">
        <f>$L375*AX375</f>
        <v>0</v>
      </c>
      <c r="CF375" s="23">
        <f>$L375*AY375</f>
        <v>0</v>
      </c>
      <c r="CG375" s="23">
        <f>$L375*AZ375</f>
        <v>0</v>
      </c>
      <c r="CH375" s="23">
        <f>$L375*BA375</f>
        <v>0</v>
      </c>
      <c r="CI375" s="23">
        <f>$L375*BB375</f>
        <v>0</v>
      </c>
      <c r="CJ375" s="23">
        <f>$L375*BC375</f>
        <v>0</v>
      </c>
      <c r="CK375" s="23">
        <f>$L375*BD375</f>
        <v>0</v>
      </c>
      <c r="CL375" s="23">
        <f>$L375*BE375</f>
        <v>0</v>
      </c>
      <c r="CM375" s="23">
        <f>$L375*BF375</f>
        <v>0</v>
      </c>
      <c r="CN375" s="23">
        <f>$L375*BG375</f>
        <v>1</v>
      </c>
      <c r="CO375" s="23">
        <f>$L375*BH375</f>
        <v>1</v>
      </c>
      <c r="CP375" s="23">
        <f>$L375*BI375</f>
        <v>1</v>
      </c>
      <c r="CQ375" s="23">
        <f>$L375*BJ375</f>
        <v>1</v>
      </c>
      <c r="CR375" s="23">
        <f>$L375*BK375</f>
        <v>1</v>
      </c>
      <c r="CS375" s="23">
        <f>$L375*BL375</f>
        <v>1</v>
      </c>
      <c r="CT375" s="23">
        <f>$L375*BM375</f>
        <v>1</v>
      </c>
      <c r="CU375" s="23">
        <f>$L375*BN375</f>
        <v>1</v>
      </c>
      <c r="CV375" s="23">
        <f>$L375*BO375</f>
        <v>1</v>
      </c>
    </row>
    <row r="376" spans="1:100" ht="13.5" x14ac:dyDescent="0.15">
      <c r="A376" s="15">
        <v>280</v>
      </c>
      <c r="B376" s="28" t="s">
        <v>759</v>
      </c>
      <c r="C376" t="s">
        <v>414</v>
      </c>
      <c r="E376" t="s">
        <v>140</v>
      </c>
      <c r="F376" t="s">
        <v>415</v>
      </c>
      <c r="G376" t="s">
        <v>140</v>
      </c>
      <c r="H376" t="s">
        <v>141</v>
      </c>
      <c r="I376" s="6" t="s">
        <v>136</v>
      </c>
      <c r="J376" s="6">
        <v>0</v>
      </c>
      <c r="L376" s="15">
        <v>1</v>
      </c>
      <c r="M376" s="7">
        <v>45803</v>
      </c>
      <c r="N376" s="7">
        <v>46184</v>
      </c>
      <c r="O376" s="7">
        <v>46181</v>
      </c>
      <c r="P376" s="7">
        <v>46182</v>
      </c>
      <c r="S376" s="6" t="s">
        <v>140</v>
      </c>
      <c r="U376" s="6" t="s">
        <v>413</v>
      </c>
      <c r="V376" s="6" t="str">
        <f>TEXT(N376,"YY/MM")</f>
        <v>26/06</v>
      </c>
      <c r="W376">
        <v>1748</v>
      </c>
      <c r="AA376">
        <v>1102</v>
      </c>
      <c r="AC376">
        <v>1155</v>
      </c>
      <c r="AI376" s="23">
        <v>0</v>
      </c>
      <c r="AJ376" s="23">
        <v>0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1</v>
      </c>
      <c r="BH376" s="23">
        <v>1</v>
      </c>
      <c r="BI376" s="23">
        <v>1</v>
      </c>
      <c r="BJ376" s="23">
        <v>1</v>
      </c>
      <c r="BK376" s="23">
        <v>1</v>
      </c>
      <c r="BL376" s="23">
        <v>1</v>
      </c>
      <c r="BM376" s="23">
        <v>1</v>
      </c>
      <c r="BN376" s="23">
        <v>1</v>
      </c>
      <c r="BO376" s="23">
        <v>1</v>
      </c>
      <c r="BP376" s="23">
        <f>$L376*AI376</f>
        <v>0</v>
      </c>
      <c r="BQ376" s="23">
        <f>$L376*AJ376</f>
        <v>0</v>
      </c>
      <c r="BR376" s="23">
        <f>$L376*AK376</f>
        <v>0</v>
      </c>
      <c r="BS376" s="23">
        <f>$L376*AL376</f>
        <v>0</v>
      </c>
      <c r="BT376" s="23">
        <f>$L376*AM376</f>
        <v>0</v>
      </c>
      <c r="BU376" s="23">
        <f>$L376*AN376</f>
        <v>0</v>
      </c>
      <c r="BV376" s="23">
        <f>$L376*AO376</f>
        <v>0</v>
      </c>
      <c r="BW376" s="23">
        <f>$L376*AP376</f>
        <v>0</v>
      </c>
      <c r="BX376" s="23">
        <f>$L376*AQ376</f>
        <v>0</v>
      </c>
      <c r="BY376" s="23">
        <f>$L376*AR376</f>
        <v>0</v>
      </c>
      <c r="BZ376" s="23">
        <f>$L376*AS376</f>
        <v>0</v>
      </c>
      <c r="CA376" s="23">
        <f>$L376*AT376</f>
        <v>0</v>
      </c>
      <c r="CB376" s="23">
        <f>$L376*AU376</f>
        <v>0</v>
      </c>
      <c r="CC376" s="23">
        <f>$L376*AV376</f>
        <v>0</v>
      </c>
      <c r="CD376" s="23">
        <f>$L376*AW376</f>
        <v>0</v>
      </c>
      <c r="CE376" s="23">
        <f>$L376*AX376</f>
        <v>0</v>
      </c>
      <c r="CF376" s="23">
        <f>$L376*AY376</f>
        <v>0</v>
      </c>
      <c r="CG376" s="23">
        <f>$L376*AZ376</f>
        <v>0</v>
      </c>
      <c r="CH376" s="23">
        <f>$L376*BA376</f>
        <v>0</v>
      </c>
      <c r="CI376" s="23">
        <f>$L376*BB376</f>
        <v>0</v>
      </c>
      <c r="CJ376" s="23">
        <f>$L376*BC376</f>
        <v>0</v>
      </c>
      <c r="CK376" s="23">
        <f>$L376*BD376</f>
        <v>0</v>
      </c>
      <c r="CL376" s="23">
        <f>$L376*BE376</f>
        <v>0</v>
      </c>
      <c r="CM376" s="23">
        <f>$L376*BF376</f>
        <v>0</v>
      </c>
      <c r="CN376" s="23">
        <f>$L376*BG376</f>
        <v>1</v>
      </c>
      <c r="CO376" s="23">
        <f>$L376*BH376</f>
        <v>1</v>
      </c>
      <c r="CP376" s="23">
        <f>$L376*BI376</f>
        <v>1</v>
      </c>
      <c r="CQ376" s="23">
        <f>$L376*BJ376</f>
        <v>1</v>
      </c>
      <c r="CR376" s="23">
        <f>$L376*BK376</f>
        <v>1</v>
      </c>
      <c r="CS376" s="23">
        <f>$L376*BL376</f>
        <v>1</v>
      </c>
      <c r="CT376" s="23">
        <f>$L376*BM376</f>
        <v>1</v>
      </c>
      <c r="CU376" s="23">
        <f>$L376*BN376</f>
        <v>1</v>
      </c>
      <c r="CV376" s="23">
        <f>$L376*BO376</f>
        <v>1</v>
      </c>
    </row>
    <row r="377" spans="1:100" ht="13.5" x14ac:dyDescent="0.15">
      <c r="A377" s="15">
        <v>280</v>
      </c>
      <c r="B377" s="28" t="s">
        <v>760</v>
      </c>
      <c r="C377" t="s">
        <v>414</v>
      </c>
      <c r="E377" t="s">
        <v>140</v>
      </c>
      <c r="F377" t="s">
        <v>415</v>
      </c>
      <c r="G377" t="s">
        <v>140</v>
      </c>
      <c r="H377" t="s">
        <v>141</v>
      </c>
      <c r="I377" s="6" t="s">
        <v>136</v>
      </c>
      <c r="J377" s="6">
        <v>0</v>
      </c>
      <c r="L377" s="15">
        <v>1</v>
      </c>
      <c r="M377" s="7">
        <v>45803</v>
      </c>
      <c r="N377" s="7">
        <v>46184</v>
      </c>
      <c r="O377" s="7">
        <v>46181</v>
      </c>
      <c r="P377" s="7">
        <v>46182</v>
      </c>
      <c r="S377" s="6" t="s">
        <v>140</v>
      </c>
      <c r="U377" s="6" t="s">
        <v>413</v>
      </c>
      <c r="V377" s="6" t="str">
        <f>TEXT(N377,"YY/MM")</f>
        <v>26/06</v>
      </c>
      <c r="W377">
        <v>1749</v>
      </c>
      <c r="AA377">
        <v>1103</v>
      </c>
      <c r="AC377">
        <v>1156</v>
      </c>
      <c r="AI377" s="23">
        <v>0</v>
      </c>
      <c r="AJ377" s="23">
        <v>0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1</v>
      </c>
      <c r="BH377" s="23">
        <v>1</v>
      </c>
      <c r="BI377" s="23">
        <v>1</v>
      </c>
      <c r="BJ377" s="23">
        <v>1</v>
      </c>
      <c r="BK377" s="23">
        <v>1</v>
      </c>
      <c r="BL377" s="23">
        <v>1</v>
      </c>
      <c r="BM377" s="23">
        <v>1</v>
      </c>
      <c r="BN377" s="23">
        <v>1</v>
      </c>
      <c r="BO377" s="23">
        <v>1</v>
      </c>
      <c r="BP377" s="23">
        <f>$L377*AI377</f>
        <v>0</v>
      </c>
      <c r="BQ377" s="23">
        <f>$L377*AJ377</f>
        <v>0</v>
      </c>
      <c r="BR377" s="23">
        <f>$L377*AK377</f>
        <v>0</v>
      </c>
      <c r="BS377" s="23">
        <f>$L377*AL377</f>
        <v>0</v>
      </c>
      <c r="BT377" s="23">
        <f>$L377*AM377</f>
        <v>0</v>
      </c>
      <c r="BU377" s="23">
        <f>$L377*AN377</f>
        <v>0</v>
      </c>
      <c r="BV377" s="23">
        <f>$L377*AO377</f>
        <v>0</v>
      </c>
      <c r="BW377" s="23">
        <f>$L377*AP377</f>
        <v>0</v>
      </c>
      <c r="BX377" s="23">
        <f>$L377*AQ377</f>
        <v>0</v>
      </c>
      <c r="BY377" s="23">
        <f>$L377*AR377</f>
        <v>0</v>
      </c>
      <c r="BZ377" s="23">
        <f>$L377*AS377</f>
        <v>0</v>
      </c>
      <c r="CA377" s="23">
        <f>$L377*AT377</f>
        <v>0</v>
      </c>
      <c r="CB377" s="23">
        <f>$L377*AU377</f>
        <v>0</v>
      </c>
      <c r="CC377" s="23">
        <f>$L377*AV377</f>
        <v>0</v>
      </c>
      <c r="CD377" s="23">
        <f>$L377*AW377</f>
        <v>0</v>
      </c>
      <c r="CE377" s="23">
        <f>$L377*AX377</f>
        <v>0</v>
      </c>
      <c r="CF377" s="23">
        <f>$L377*AY377</f>
        <v>0</v>
      </c>
      <c r="CG377" s="23">
        <f>$L377*AZ377</f>
        <v>0</v>
      </c>
      <c r="CH377" s="23">
        <f>$L377*BA377</f>
        <v>0</v>
      </c>
      <c r="CI377" s="23">
        <f>$L377*BB377</f>
        <v>0</v>
      </c>
      <c r="CJ377" s="23">
        <f>$L377*BC377</f>
        <v>0</v>
      </c>
      <c r="CK377" s="23">
        <f>$L377*BD377</f>
        <v>0</v>
      </c>
      <c r="CL377" s="23">
        <f>$L377*BE377</f>
        <v>0</v>
      </c>
      <c r="CM377" s="23">
        <f>$L377*BF377</f>
        <v>0</v>
      </c>
      <c r="CN377" s="23">
        <f>$L377*BG377</f>
        <v>1</v>
      </c>
      <c r="CO377" s="23">
        <f>$L377*BH377</f>
        <v>1</v>
      </c>
      <c r="CP377" s="23">
        <f>$L377*BI377</f>
        <v>1</v>
      </c>
      <c r="CQ377" s="23">
        <f>$L377*BJ377</f>
        <v>1</v>
      </c>
      <c r="CR377" s="23">
        <f>$L377*BK377</f>
        <v>1</v>
      </c>
      <c r="CS377" s="23">
        <f>$L377*BL377</f>
        <v>1</v>
      </c>
      <c r="CT377" s="23">
        <f>$L377*BM377</f>
        <v>1</v>
      </c>
      <c r="CU377" s="23">
        <f>$L377*BN377</f>
        <v>1</v>
      </c>
      <c r="CV377" s="23">
        <f>$L377*BO377</f>
        <v>1</v>
      </c>
    </row>
    <row r="378" spans="1:100" ht="13.5" x14ac:dyDescent="0.15">
      <c r="A378" s="15">
        <v>280</v>
      </c>
      <c r="B378" s="28" t="s">
        <v>761</v>
      </c>
      <c r="C378" t="s">
        <v>414</v>
      </c>
      <c r="E378" t="s">
        <v>140</v>
      </c>
      <c r="F378" t="s">
        <v>415</v>
      </c>
      <c r="G378" t="s">
        <v>140</v>
      </c>
      <c r="H378" t="s">
        <v>141</v>
      </c>
      <c r="I378" s="6" t="s">
        <v>136</v>
      </c>
      <c r="J378" s="6">
        <v>0</v>
      </c>
      <c r="L378" s="15">
        <v>1</v>
      </c>
      <c r="M378" s="7">
        <v>45803</v>
      </c>
      <c r="N378" s="7">
        <v>46184</v>
      </c>
      <c r="O378" s="7">
        <v>46181</v>
      </c>
      <c r="P378" s="7">
        <v>46182</v>
      </c>
      <c r="S378" s="6" t="s">
        <v>140</v>
      </c>
      <c r="U378" s="6" t="s">
        <v>413</v>
      </c>
      <c r="V378" s="6" t="str">
        <f>TEXT(N378,"YY/MM")</f>
        <v>26/06</v>
      </c>
      <c r="W378">
        <v>1750</v>
      </c>
      <c r="AA378">
        <v>1104</v>
      </c>
      <c r="AC378">
        <v>1157</v>
      </c>
      <c r="AI378" s="23">
        <v>0</v>
      </c>
      <c r="AJ378" s="23">
        <v>0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1</v>
      </c>
      <c r="BH378" s="23">
        <v>1</v>
      </c>
      <c r="BI378" s="23">
        <v>1</v>
      </c>
      <c r="BJ378" s="23">
        <v>1</v>
      </c>
      <c r="BK378" s="23">
        <v>1</v>
      </c>
      <c r="BL378" s="23">
        <v>1</v>
      </c>
      <c r="BM378" s="23">
        <v>1</v>
      </c>
      <c r="BN378" s="23">
        <v>1</v>
      </c>
      <c r="BO378" s="23">
        <v>1</v>
      </c>
      <c r="BP378" s="23">
        <f>$L378*AI378</f>
        <v>0</v>
      </c>
      <c r="BQ378" s="23">
        <f>$L378*AJ378</f>
        <v>0</v>
      </c>
      <c r="BR378" s="23">
        <f>$L378*AK378</f>
        <v>0</v>
      </c>
      <c r="BS378" s="23">
        <f>$L378*AL378</f>
        <v>0</v>
      </c>
      <c r="BT378" s="23">
        <f>$L378*AM378</f>
        <v>0</v>
      </c>
      <c r="BU378" s="23">
        <f>$L378*AN378</f>
        <v>0</v>
      </c>
      <c r="BV378" s="23">
        <f>$L378*AO378</f>
        <v>0</v>
      </c>
      <c r="BW378" s="23">
        <f>$L378*AP378</f>
        <v>0</v>
      </c>
      <c r="BX378" s="23">
        <f>$L378*AQ378</f>
        <v>0</v>
      </c>
      <c r="BY378" s="23">
        <f>$L378*AR378</f>
        <v>0</v>
      </c>
      <c r="BZ378" s="23">
        <f>$L378*AS378</f>
        <v>0</v>
      </c>
      <c r="CA378" s="23">
        <f>$L378*AT378</f>
        <v>0</v>
      </c>
      <c r="CB378" s="23">
        <f>$L378*AU378</f>
        <v>0</v>
      </c>
      <c r="CC378" s="23">
        <f>$L378*AV378</f>
        <v>0</v>
      </c>
      <c r="CD378" s="23">
        <f>$L378*AW378</f>
        <v>0</v>
      </c>
      <c r="CE378" s="23">
        <f>$L378*AX378</f>
        <v>0</v>
      </c>
      <c r="CF378" s="23">
        <f>$L378*AY378</f>
        <v>0</v>
      </c>
      <c r="CG378" s="23">
        <f>$L378*AZ378</f>
        <v>0</v>
      </c>
      <c r="CH378" s="23">
        <f>$L378*BA378</f>
        <v>0</v>
      </c>
      <c r="CI378" s="23">
        <f>$L378*BB378</f>
        <v>0</v>
      </c>
      <c r="CJ378" s="23">
        <f>$L378*BC378</f>
        <v>0</v>
      </c>
      <c r="CK378" s="23">
        <f>$L378*BD378</f>
        <v>0</v>
      </c>
      <c r="CL378" s="23">
        <f>$L378*BE378</f>
        <v>0</v>
      </c>
      <c r="CM378" s="23">
        <f>$L378*BF378</f>
        <v>0</v>
      </c>
      <c r="CN378" s="23">
        <f>$L378*BG378</f>
        <v>1</v>
      </c>
      <c r="CO378" s="23">
        <f>$L378*BH378</f>
        <v>1</v>
      </c>
      <c r="CP378" s="23">
        <f>$L378*BI378</f>
        <v>1</v>
      </c>
      <c r="CQ378" s="23">
        <f>$L378*BJ378</f>
        <v>1</v>
      </c>
      <c r="CR378" s="23">
        <f>$L378*BK378</f>
        <v>1</v>
      </c>
      <c r="CS378" s="23">
        <f>$L378*BL378</f>
        <v>1</v>
      </c>
      <c r="CT378" s="23">
        <f>$L378*BM378</f>
        <v>1</v>
      </c>
      <c r="CU378" s="23">
        <f>$L378*BN378</f>
        <v>1</v>
      </c>
      <c r="CV378" s="23">
        <f>$L378*BO378</f>
        <v>1</v>
      </c>
    </row>
    <row r="379" spans="1:100" ht="13.5" x14ac:dyDescent="0.15">
      <c r="A379" s="15">
        <v>280</v>
      </c>
      <c r="B379" s="28" t="s">
        <v>762</v>
      </c>
      <c r="C379" t="s">
        <v>414</v>
      </c>
      <c r="E379" t="s">
        <v>140</v>
      </c>
      <c r="F379" t="s">
        <v>415</v>
      </c>
      <c r="G379" t="s">
        <v>140</v>
      </c>
      <c r="H379" t="s">
        <v>141</v>
      </c>
      <c r="I379" s="6" t="s">
        <v>136</v>
      </c>
      <c r="J379" s="6">
        <v>0</v>
      </c>
      <c r="L379" s="15">
        <v>1</v>
      </c>
      <c r="M379" s="7">
        <v>45803</v>
      </c>
      <c r="N379" s="7">
        <v>46184</v>
      </c>
      <c r="O379" s="7">
        <v>46181</v>
      </c>
      <c r="P379" s="7">
        <v>46182</v>
      </c>
      <c r="S379" s="6" t="s">
        <v>140</v>
      </c>
      <c r="U379" s="6" t="s">
        <v>413</v>
      </c>
      <c r="V379" s="6" t="str">
        <f>TEXT(N379,"YY/MM")</f>
        <v>26/06</v>
      </c>
      <c r="W379">
        <v>1751</v>
      </c>
      <c r="AA379">
        <v>1105</v>
      </c>
      <c r="AC379">
        <v>1158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0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1</v>
      </c>
      <c r="BH379" s="23">
        <v>1</v>
      </c>
      <c r="BI379" s="23">
        <v>1</v>
      </c>
      <c r="BJ379" s="23">
        <v>1</v>
      </c>
      <c r="BK379" s="23">
        <v>1</v>
      </c>
      <c r="BL379" s="23">
        <v>1</v>
      </c>
      <c r="BM379" s="23">
        <v>1</v>
      </c>
      <c r="BN379" s="23">
        <v>1</v>
      </c>
      <c r="BO379" s="23">
        <v>1</v>
      </c>
      <c r="BP379" s="23">
        <f>$L379*AI379</f>
        <v>0</v>
      </c>
      <c r="BQ379" s="23">
        <f>$L379*AJ379</f>
        <v>0</v>
      </c>
      <c r="BR379" s="23">
        <f>$L379*AK379</f>
        <v>0</v>
      </c>
      <c r="BS379" s="23">
        <f>$L379*AL379</f>
        <v>0</v>
      </c>
      <c r="BT379" s="23">
        <f>$L379*AM379</f>
        <v>0</v>
      </c>
      <c r="BU379" s="23">
        <f>$L379*AN379</f>
        <v>0</v>
      </c>
      <c r="BV379" s="23">
        <f>$L379*AO379</f>
        <v>0</v>
      </c>
      <c r="BW379" s="23">
        <f>$L379*AP379</f>
        <v>0</v>
      </c>
      <c r="BX379" s="23">
        <f>$L379*AQ379</f>
        <v>0</v>
      </c>
      <c r="BY379" s="23">
        <f>$L379*AR379</f>
        <v>0</v>
      </c>
      <c r="BZ379" s="23">
        <f>$L379*AS379</f>
        <v>0</v>
      </c>
      <c r="CA379" s="23">
        <f>$L379*AT379</f>
        <v>0</v>
      </c>
      <c r="CB379" s="23">
        <f>$L379*AU379</f>
        <v>0</v>
      </c>
      <c r="CC379" s="23">
        <f>$L379*AV379</f>
        <v>0</v>
      </c>
      <c r="CD379" s="23">
        <f>$L379*AW379</f>
        <v>0</v>
      </c>
      <c r="CE379" s="23">
        <f>$L379*AX379</f>
        <v>0</v>
      </c>
      <c r="CF379" s="23">
        <f>$L379*AY379</f>
        <v>0</v>
      </c>
      <c r="CG379" s="23">
        <f>$L379*AZ379</f>
        <v>0</v>
      </c>
      <c r="CH379" s="23">
        <f>$L379*BA379</f>
        <v>0</v>
      </c>
      <c r="CI379" s="23">
        <f>$L379*BB379</f>
        <v>0</v>
      </c>
      <c r="CJ379" s="23">
        <f>$L379*BC379</f>
        <v>0</v>
      </c>
      <c r="CK379" s="23">
        <f>$L379*BD379</f>
        <v>0</v>
      </c>
      <c r="CL379" s="23">
        <f>$L379*BE379</f>
        <v>0</v>
      </c>
      <c r="CM379" s="23">
        <f>$L379*BF379</f>
        <v>0</v>
      </c>
      <c r="CN379" s="23">
        <f>$L379*BG379</f>
        <v>1</v>
      </c>
      <c r="CO379" s="23">
        <f>$L379*BH379</f>
        <v>1</v>
      </c>
      <c r="CP379" s="23">
        <f>$L379*BI379</f>
        <v>1</v>
      </c>
      <c r="CQ379" s="23">
        <f>$L379*BJ379</f>
        <v>1</v>
      </c>
      <c r="CR379" s="23">
        <f>$L379*BK379</f>
        <v>1</v>
      </c>
      <c r="CS379" s="23">
        <f>$L379*BL379</f>
        <v>1</v>
      </c>
      <c r="CT379" s="23">
        <f>$L379*BM379</f>
        <v>1</v>
      </c>
      <c r="CU379" s="23">
        <f>$L379*BN379</f>
        <v>1</v>
      </c>
      <c r="CV379" s="23">
        <f>$L379*BO379</f>
        <v>1</v>
      </c>
    </row>
    <row r="380" spans="1:100" ht="13.5" x14ac:dyDescent="0.15">
      <c r="A380" s="15">
        <v>280</v>
      </c>
      <c r="B380" s="28" t="s">
        <v>763</v>
      </c>
      <c r="C380" t="s">
        <v>414</v>
      </c>
      <c r="E380" t="s">
        <v>140</v>
      </c>
      <c r="F380" t="s">
        <v>415</v>
      </c>
      <c r="G380" t="s">
        <v>140</v>
      </c>
      <c r="H380" t="s">
        <v>141</v>
      </c>
      <c r="I380" s="6" t="s">
        <v>136</v>
      </c>
      <c r="J380" s="6">
        <v>0</v>
      </c>
      <c r="L380" s="15">
        <v>1</v>
      </c>
      <c r="M380" s="7">
        <v>45803</v>
      </c>
      <c r="N380" s="7">
        <v>46184</v>
      </c>
      <c r="O380" s="7">
        <v>46181</v>
      </c>
      <c r="P380" s="7">
        <v>46182</v>
      </c>
      <c r="S380" s="6" t="s">
        <v>140</v>
      </c>
      <c r="U380" s="6" t="s">
        <v>413</v>
      </c>
      <c r="V380" s="6" t="str">
        <f>TEXT(N380,"YY/MM")</f>
        <v>26/06</v>
      </c>
      <c r="W380">
        <v>1752</v>
      </c>
      <c r="AA380">
        <v>1106</v>
      </c>
      <c r="AC380">
        <v>1159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0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1</v>
      </c>
      <c r="BH380" s="23">
        <v>1</v>
      </c>
      <c r="BI380" s="23">
        <v>1</v>
      </c>
      <c r="BJ380" s="23">
        <v>1</v>
      </c>
      <c r="BK380" s="23">
        <v>1</v>
      </c>
      <c r="BL380" s="23">
        <v>1</v>
      </c>
      <c r="BM380" s="23">
        <v>1</v>
      </c>
      <c r="BN380" s="23">
        <v>1</v>
      </c>
      <c r="BO380" s="23">
        <v>1</v>
      </c>
      <c r="BP380" s="23">
        <f>$L380*AI380</f>
        <v>0</v>
      </c>
      <c r="BQ380" s="23">
        <f>$L380*AJ380</f>
        <v>0</v>
      </c>
      <c r="BR380" s="23">
        <f>$L380*AK380</f>
        <v>0</v>
      </c>
      <c r="BS380" s="23">
        <f>$L380*AL380</f>
        <v>0</v>
      </c>
      <c r="BT380" s="23">
        <f>$L380*AM380</f>
        <v>0</v>
      </c>
      <c r="BU380" s="23">
        <f>$L380*AN380</f>
        <v>0</v>
      </c>
      <c r="BV380" s="23">
        <f>$L380*AO380</f>
        <v>0</v>
      </c>
      <c r="BW380" s="23">
        <f>$L380*AP380</f>
        <v>0</v>
      </c>
      <c r="BX380" s="23">
        <f>$L380*AQ380</f>
        <v>0</v>
      </c>
      <c r="BY380" s="23">
        <f>$L380*AR380</f>
        <v>0</v>
      </c>
      <c r="BZ380" s="23">
        <f>$L380*AS380</f>
        <v>0</v>
      </c>
      <c r="CA380" s="23">
        <f>$L380*AT380</f>
        <v>0</v>
      </c>
      <c r="CB380" s="23">
        <f>$L380*AU380</f>
        <v>0</v>
      </c>
      <c r="CC380" s="23">
        <f>$L380*AV380</f>
        <v>0</v>
      </c>
      <c r="CD380" s="23">
        <f>$L380*AW380</f>
        <v>0</v>
      </c>
      <c r="CE380" s="23">
        <f>$L380*AX380</f>
        <v>0</v>
      </c>
      <c r="CF380" s="23">
        <f>$L380*AY380</f>
        <v>0</v>
      </c>
      <c r="CG380" s="23">
        <f>$L380*AZ380</f>
        <v>0</v>
      </c>
      <c r="CH380" s="23">
        <f>$L380*BA380</f>
        <v>0</v>
      </c>
      <c r="CI380" s="23">
        <f>$L380*BB380</f>
        <v>0</v>
      </c>
      <c r="CJ380" s="23">
        <f>$L380*BC380</f>
        <v>0</v>
      </c>
      <c r="CK380" s="23">
        <f>$L380*BD380</f>
        <v>0</v>
      </c>
      <c r="CL380" s="23">
        <f>$L380*BE380</f>
        <v>0</v>
      </c>
      <c r="CM380" s="23">
        <f>$L380*BF380</f>
        <v>0</v>
      </c>
      <c r="CN380" s="23">
        <f>$L380*BG380</f>
        <v>1</v>
      </c>
      <c r="CO380" s="23">
        <f>$L380*BH380</f>
        <v>1</v>
      </c>
      <c r="CP380" s="23">
        <f>$L380*BI380</f>
        <v>1</v>
      </c>
      <c r="CQ380" s="23">
        <f>$L380*BJ380</f>
        <v>1</v>
      </c>
      <c r="CR380" s="23">
        <f>$L380*BK380</f>
        <v>1</v>
      </c>
      <c r="CS380" s="23">
        <f>$L380*BL380</f>
        <v>1</v>
      </c>
      <c r="CT380" s="23">
        <f>$L380*BM380</f>
        <v>1</v>
      </c>
      <c r="CU380" s="23">
        <f>$L380*BN380</f>
        <v>1</v>
      </c>
      <c r="CV380" s="23">
        <f>$L380*BO380</f>
        <v>1</v>
      </c>
    </row>
    <row r="381" spans="1:100" ht="13.5" x14ac:dyDescent="0.15">
      <c r="A381" s="15">
        <v>280</v>
      </c>
      <c r="B381" s="28" t="s">
        <v>764</v>
      </c>
      <c r="C381" t="s">
        <v>414</v>
      </c>
      <c r="E381" t="s">
        <v>140</v>
      </c>
      <c r="F381" t="s">
        <v>415</v>
      </c>
      <c r="G381" t="s">
        <v>140</v>
      </c>
      <c r="H381" t="s">
        <v>141</v>
      </c>
      <c r="I381" s="6" t="s">
        <v>136</v>
      </c>
      <c r="J381" s="6">
        <v>0</v>
      </c>
      <c r="L381" s="15">
        <v>1</v>
      </c>
      <c r="M381" s="7">
        <v>45803</v>
      </c>
      <c r="N381" s="7">
        <v>46184</v>
      </c>
      <c r="O381" s="7">
        <v>46181</v>
      </c>
      <c r="P381" s="7">
        <v>46182</v>
      </c>
      <c r="S381" s="6" t="s">
        <v>140</v>
      </c>
      <c r="U381" s="6" t="s">
        <v>413</v>
      </c>
      <c r="V381" s="6" t="str">
        <f>TEXT(N381,"YY/MM")</f>
        <v>26/06</v>
      </c>
      <c r="W381">
        <v>1753</v>
      </c>
      <c r="AA381">
        <v>1107</v>
      </c>
      <c r="AC381">
        <v>1160</v>
      </c>
      <c r="AI381" s="23">
        <v>0</v>
      </c>
      <c r="AJ381" s="23">
        <v>0</v>
      </c>
      <c r="AK381" s="23">
        <v>0</v>
      </c>
      <c r="AL381" s="23">
        <v>0</v>
      </c>
      <c r="AM381" s="23">
        <v>0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1</v>
      </c>
      <c r="BH381" s="23">
        <v>1</v>
      </c>
      <c r="BI381" s="23">
        <v>1</v>
      </c>
      <c r="BJ381" s="23">
        <v>1</v>
      </c>
      <c r="BK381" s="23">
        <v>1</v>
      </c>
      <c r="BL381" s="23">
        <v>1</v>
      </c>
      <c r="BM381" s="23">
        <v>1</v>
      </c>
      <c r="BN381" s="23">
        <v>1</v>
      </c>
      <c r="BO381" s="23">
        <v>1</v>
      </c>
      <c r="BP381" s="23">
        <f>$L381*AI381</f>
        <v>0</v>
      </c>
      <c r="BQ381" s="23">
        <f>$L381*AJ381</f>
        <v>0</v>
      </c>
      <c r="BR381" s="23">
        <f>$L381*AK381</f>
        <v>0</v>
      </c>
      <c r="BS381" s="23">
        <f>$L381*AL381</f>
        <v>0</v>
      </c>
      <c r="BT381" s="23">
        <f>$L381*AM381</f>
        <v>0</v>
      </c>
      <c r="BU381" s="23">
        <f>$L381*AN381</f>
        <v>0</v>
      </c>
      <c r="BV381" s="23">
        <f>$L381*AO381</f>
        <v>0</v>
      </c>
      <c r="BW381" s="23">
        <f>$L381*AP381</f>
        <v>0</v>
      </c>
      <c r="BX381" s="23">
        <f>$L381*AQ381</f>
        <v>0</v>
      </c>
      <c r="BY381" s="23">
        <f>$L381*AR381</f>
        <v>0</v>
      </c>
      <c r="BZ381" s="23">
        <f>$L381*AS381</f>
        <v>0</v>
      </c>
      <c r="CA381" s="23">
        <f>$L381*AT381</f>
        <v>0</v>
      </c>
      <c r="CB381" s="23">
        <f>$L381*AU381</f>
        <v>0</v>
      </c>
      <c r="CC381" s="23">
        <f>$L381*AV381</f>
        <v>0</v>
      </c>
      <c r="CD381" s="23">
        <f>$L381*AW381</f>
        <v>0</v>
      </c>
      <c r="CE381" s="23">
        <f>$L381*AX381</f>
        <v>0</v>
      </c>
      <c r="CF381" s="23">
        <f>$L381*AY381</f>
        <v>0</v>
      </c>
      <c r="CG381" s="23">
        <f>$L381*AZ381</f>
        <v>0</v>
      </c>
      <c r="CH381" s="23">
        <f>$L381*BA381</f>
        <v>0</v>
      </c>
      <c r="CI381" s="23">
        <f>$L381*BB381</f>
        <v>0</v>
      </c>
      <c r="CJ381" s="23">
        <f>$L381*BC381</f>
        <v>0</v>
      </c>
      <c r="CK381" s="23">
        <f>$L381*BD381</f>
        <v>0</v>
      </c>
      <c r="CL381" s="23">
        <f>$L381*BE381</f>
        <v>0</v>
      </c>
      <c r="CM381" s="23">
        <f>$L381*BF381</f>
        <v>0</v>
      </c>
      <c r="CN381" s="23">
        <f>$L381*BG381</f>
        <v>1</v>
      </c>
      <c r="CO381" s="23">
        <f>$L381*BH381</f>
        <v>1</v>
      </c>
      <c r="CP381" s="23">
        <f>$L381*BI381</f>
        <v>1</v>
      </c>
      <c r="CQ381" s="23">
        <f>$L381*BJ381</f>
        <v>1</v>
      </c>
      <c r="CR381" s="23">
        <f>$L381*BK381</f>
        <v>1</v>
      </c>
      <c r="CS381" s="23">
        <f>$L381*BL381</f>
        <v>1</v>
      </c>
      <c r="CT381" s="23">
        <f>$L381*BM381</f>
        <v>1</v>
      </c>
      <c r="CU381" s="23">
        <f>$L381*BN381</f>
        <v>1</v>
      </c>
      <c r="CV381" s="23">
        <f>$L381*BO381</f>
        <v>1</v>
      </c>
    </row>
    <row r="382" spans="1:100" ht="13.5" x14ac:dyDescent="0.15">
      <c r="A382" s="15">
        <v>280</v>
      </c>
      <c r="B382" s="28" t="s">
        <v>765</v>
      </c>
      <c r="C382" t="s">
        <v>414</v>
      </c>
      <c r="E382" t="s">
        <v>140</v>
      </c>
      <c r="F382" t="s">
        <v>415</v>
      </c>
      <c r="G382" t="s">
        <v>140</v>
      </c>
      <c r="H382" t="s">
        <v>141</v>
      </c>
      <c r="I382" s="6" t="s">
        <v>136</v>
      </c>
      <c r="J382" s="6">
        <v>0</v>
      </c>
      <c r="L382" s="15">
        <v>1</v>
      </c>
      <c r="M382" s="7">
        <v>45803</v>
      </c>
      <c r="N382" s="7">
        <v>46185</v>
      </c>
      <c r="O382" s="7">
        <v>46181</v>
      </c>
      <c r="P382" s="7">
        <v>46182</v>
      </c>
      <c r="S382" s="6" t="s">
        <v>140</v>
      </c>
      <c r="U382" s="6" t="s">
        <v>413</v>
      </c>
      <c r="V382" s="6" t="str">
        <f>TEXT(N382,"YY/MM")</f>
        <v>26/06</v>
      </c>
      <c r="W382">
        <v>1754</v>
      </c>
      <c r="AA382">
        <v>1108</v>
      </c>
      <c r="AC382">
        <v>1161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1</v>
      </c>
      <c r="BH382" s="23">
        <v>1</v>
      </c>
      <c r="BI382" s="23">
        <v>1</v>
      </c>
      <c r="BJ382" s="23">
        <v>1</v>
      </c>
      <c r="BK382" s="23">
        <v>1</v>
      </c>
      <c r="BL382" s="23">
        <v>1</v>
      </c>
      <c r="BM382" s="23">
        <v>1</v>
      </c>
      <c r="BN382" s="23">
        <v>1</v>
      </c>
      <c r="BO382" s="23">
        <v>1</v>
      </c>
      <c r="BP382" s="23">
        <f>$L382*AI382</f>
        <v>0</v>
      </c>
      <c r="BQ382" s="23">
        <f>$L382*AJ382</f>
        <v>0</v>
      </c>
      <c r="BR382" s="23">
        <f>$L382*AK382</f>
        <v>0</v>
      </c>
      <c r="BS382" s="23">
        <f>$L382*AL382</f>
        <v>0</v>
      </c>
      <c r="BT382" s="23">
        <f>$L382*AM382</f>
        <v>0</v>
      </c>
      <c r="BU382" s="23">
        <f>$L382*AN382</f>
        <v>0</v>
      </c>
      <c r="BV382" s="23">
        <f>$L382*AO382</f>
        <v>0</v>
      </c>
      <c r="BW382" s="23">
        <f>$L382*AP382</f>
        <v>0</v>
      </c>
      <c r="BX382" s="23">
        <f>$L382*AQ382</f>
        <v>0</v>
      </c>
      <c r="BY382" s="23">
        <f>$L382*AR382</f>
        <v>0</v>
      </c>
      <c r="BZ382" s="23">
        <f>$L382*AS382</f>
        <v>0</v>
      </c>
      <c r="CA382" s="23">
        <f>$L382*AT382</f>
        <v>0</v>
      </c>
      <c r="CB382" s="23">
        <f>$L382*AU382</f>
        <v>0</v>
      </c>
      <c r="CC382" s="23">
        <f>$L382*AV382</f>
        <v>0</v>
      </c>
      <c r="CD382" s="23">
        <f>$L382*AW382</f>
        <v>0</v>
      </c>
      <c r="CE382" s="23">
        <f>$L382*AX382</f>
        <v>0</v>
      </c>
      <c r="CF382" s="23">
        <f>$L382*AY382</f>
        <v>0</v>
      </c>
      <c r="CG382" s="23">
        <f>$L382*AZ382</f>
        <v>0</v>
      </c>
      <c r="CH382" s="23">
        <f>$L382*BA382</f>
        <v>0</v>
      </c>
      <c r="CI382" s="23">
        <f>$L382*BB382</f>
        <v>0</v>
      </c>
      <c r="CJ382" s="23">
        <f>$L382*BC382</f>
        <v>0</v>
      </c>
      <c r="CK382" s="23">
        <f>$L382*BD382</f>
        <v>0</v>
      </c>
      <c r="CL382" s="23">
        <f>$L382*BE382</f>
        <v>0</v>
      </c>
      <c r="CM382" s="23">
        <f>$L382*BF382</f>
        <v>0</v>
      </c>
      <c r="CN382" s="23">
        <f>$L382*BG382</f>
        <v>1</v>
      </c>
      <c r="CO382" s="23">
        <f>$L382*BH382</f>
        <v>1</v>
      </c>
      <c r="CP382" s="23">
        <f>$L382*BI382</f>
        <v>1</v>
      </c>
      <c r="CQ382" s="23">
        <f>$L382*BJ382</f>
        <v>1</v>
      </c>
      <c r="CR382" s="23">
        <f>$L382*BK382</f>
        <v>1</v>
      </c>
      <c r="CS382" s="23">
        <f>$L382*BL382</f>
        <v>1</v>
      </c>
      <c r="CT382" s="23">
        <f>$L382*BM382</f>
        <v>1</v>
      </c>
      <c r="CU382" s="23">
        <f>$L382*BN382</f>
        <v>1</v>
      </c>
      <c r="CV382" s="23">
        <f>$L382*BO382</f>
        <v>1</v>
      </c>
    </row>
    <row r="383" spans="1:100" ht="13.5" x14ac:dyDescent="0.15">
      <c r="A383" s="15">
        <v>280</v>
      </c>
      <c r="B383" s="28" t="s">
        <v>766</v>
      </c>
      <c r="C383" t="s">
        <v>414</v>
      </c>
      <c r="E383" t="s">
        <v>140</v>
      </c>
      <c r="F383" t="s">
        <v>415</v>
      </c>
      <c r="G383" t="s">
        <v>140</v>
      </c>
      <c r="H383" t="s">
        <v>141</v>
      </c>
      <c r="I383" s="6" t="s">
        <v>136</v>
      </c>
      <c r="J383" s="6">
        <v>0</v>
      </c>
      <c r="L383" s="15">
        <v>1</v>
      </c>
      <c r="M383" s="7">
        <v>45803</v>
      </c>
      <c r="N383" s="7">
        <v>46185</v>
      </c>
      <c r="O383" s="7">
        <v>46181</v>
      </c>
      <c r="P383" s="7">
        <v>46182</v>
      </c>
      <c r="S383" s="6" t="s">
        <v>140</v>
      </c>
      <c r="U383" s="6" t="s">
        <v>413</v>
      </c>
      <c r="V383" s="6" t="str">
        <f>TEXT(N383,"YY/MM")</f>
        <v>26/06</v>
      </c>
      <c r="W383">
        <v>1755</v>
      </c>
      <c r="AA383">
        <v>1109</v>
      </c>
      <c r="AC383">
        <v>1162</v>
      </c>
      <c r="AI383" s="23">
        <v>0</v>
      </c>
      <c r="AJ383" s="23">
        <v>0</v>
      </c>
      <c r="AK383" s="23">
        <v>0</v>
      </c>
      <c r="AL383" s="23">
        <v>0</v>
      </c>
      <c r="AM383" s="23">
        <v>0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1</v>
      </c>
      <c r="BH383" s="23">
        <v>1</v>
      </c>
      <c r="BI383" s="23">
        <v>1</v>
      </c>
      <c r="BJ383" s="23">
        <v>1</v>
      </c>
      <c r="BK383" s="23">
        <v>1</v>
      </c>
      <c r="BL383" s="23">
        <v>1</v>
      </c>
      <c r="BM383" s="23">
        <v>1</v>
      </c>
      <c r="BN383" s="23">
        <v>1</v>
      </c>
      <c r="BO383" s="23">
        <v>1</v>
      </c>
      <c r="BP383" s="23">
        <f>$L383*AI383</f>
        <v>0</v>
      </c>
      <c r="BQ383" s="23">
        <f>$L383*AJ383</f>
        <v>0</v>
      </c>
      <c r="BR383" s="23">
        <f>$L383*AK383</f>
        <v>0</v>
      </c>
      <c r="BS383" s="23">
        <f>$L383*AL383</f>
        <v>0</v>
      </c>
      <c r="BT383" s="23">
        <f>$L383*AM383</f>
        <v>0</v>
      </c>
      <c r="BU383" s="23">
        <f>$L383*AN383</f>
        <v>0</v>
      </c>
      <c r="BV383" s="23">
        <f>$L383*AO383</f>
        <v>0</v>
      </c>
      <c r="BW383" s="23">
        <f>$L383*AP383</f>
        <v>0</v>
      </c>
      <c r="BX383" s="23">
        <f>$L383*AQ383</f>
        <v>0</v>
      </c>
      <c r="BY383" s="23">
        <f>$L383*AR383</f>
        <v>0</v>
      </c>
      <c r="BZ383" s="23">
        <f>$L383*AS383</f>
        <v>0</v>
      </c>
      <c r="CA383" s="23">
        <f>$L383*AT383</f>
        <v>0</v>
      </c>
      <c r="CB383" s="23">
        <f>$L383*AU383</f>
        <v>0</v>
      </c>
      <c r="CC383" s="23">
        <f>$L383*AV383</f>
        <v>0</v>
      </c>
      <c r="CD383" s="23">
        <f>$L383*AW383</f>
        <v>0</v>
      </c>
      <c r="CE383" s="23">
        <f>$L383*AX383</f>
        <v>0</v>
      </c>
      <c r="CF383" s="23">
        <f>$L383*AY383</f>
        <v>0</v>
      </c>
      <c r="CG383" s="23">
        <f>$L383*AZ383</f>
        <v>0</v>
      </c>
      <c r="CH383" s="23">
        <f>$L383*BA383</f>
        <v>0</v>
      </c>
      <c r="CI383" s="23">
        <f>$L383*BB383</f>
        <v>0</v>
      </c>
      <c r="CJ383" s="23">
        <f>$L383*BC383</f>
        <v>0</v>
      </c>
      <c r="CK383" s="23">
        <f>$L383*BD383</f>
        <v>0</v>
      </c>
      <c r="CL383" s="23">
        <f>$L383*BE383</f>
        <v>0</v>
      </c>
      <c r="CM383" s="23">
        <f>$L383*BF383</f>
        <v>0</v>
      </c>
      <c r="CN383" s="23">
        <f>$L383*BG383</f>
        <v>1</v>
      </c>
      <c r="CO383" s="23">
        <f>$L383*BH383</f>
        <v>1</v>
      </c>
      <c r="CP383" s="23">
        <f>$L383*BI383</f>
        <v>1</v>
      </c>
      <c r="CQ383" s="23">
        <f>$L383*BJ383</f>
        <v>1</v>
      </c>
      <c r="CR383" s="23">
        <f>$L383*BK383</f>
        <v>1</v>
      </c>
      <c r="CS383" s="23">
        <f>$L383*BL383</f>
        <v>1</v>
      </c>
      <c r="CT383" s="23">
        <f>$L383*BM383</f>
        <v>1</v>
      </c>
      <c r="CU383" s="23">
        <f>$L383*BN383</f>
        <v>1</v>
      </c>
      <c r="CV383" s="23">
        <f>$L383*BO383</f>
        <v>1</v>
      </c>
    </row>
    <row r="384" spans="1:100" ht="13.5" x14ac:dyDescent="0.15">
      <c r="A384" s="15">
        <v>280</v>
      </c>
      <c r="B384" s="28" t="s">
        <v>767</v>
      </c>
      <c r="C384" t="s">
        <v>414</v>
      </c>
      <c r="E384" t="s">
        <v>140</v>
      </c>
      <c r="F384" t="s">
        <v>415</v>
      </c>
      <c r="G384" t="s">
        <v>140</v>
      </c>
      <c r="H384" t="s">
        <v>141</v>
      </c>
      <c r="I384" s="6" t="s">
        <v>136</v>
      </c>
      <c r="J384" s="6">
        <v>0</v>
      </c>
      <c r="L384" s="15">
        <v>1</v>
      </c>
      <c r="M384" s="7">
        <v>45803</v>
      </c>
      <c r="N384" s="7">
        <v>46185</v>
      </c>
      <c r="O384" s="7">
        <v>46181</v>
      </c>
      <c r="P384" s="7">
        <v>46182</v>
      </c>
      <c r="S384" s="6" t="s">
        <v>140</v>
      </c>
      <c r="U384" s="6" t="s">
        <v>413</v>
      </c>
      <c r="V384" s="6" t="str">
        <f>TEXT(N384,"YY/MM")</f>
        <v>26/06</v>
      </c>
      <c r="W384">
        <v>1756</v>
      </c>
      <c r="AA384">
        <v>1110</v>
      </c>
      <c r="AC384">
        <v>1163</v>
      </c>
      <c r="AI384" s="23">
        <v>0</v>
      </c>
      <c r="AJ384" s="23">
        <v>0</v>
      </c>
      <c r="AK384" s="23">
        <v>0</v>
      </c>
      <c r="AL384" s="23">
        <v>0</v>
      </c>
      <c r="AM384" s="23">
        <v>0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1</v>
      </c>
      <c r="BH384" s="23">
        <v>1</v>
      </c>
      <c r="BI384" s="23">
        <v>1</v>
      </c>
      <c r="BJ384" s="23">
        <v>1</v>
      </c>
      <c r="BK384" s="23">
        <v>1</v>
      </c>
      <c r="BL384" s="23">
        <v>1</v>
      </c>
      <c r="BM384" s="23">
        <v>1</v>
      </c>
      <c r="BN384" s="23">
        <v>1</v>
      </c>
      <c r="BO384" s="23">
        <v>1</v>
      </c>
      <c r="BP384" s="23">
        <f>$L384*AI384</f>
        <v>0</v>
      </c>
      <c r="BQ384" s="23">
        <f>$L384*AJ384</f>
        <v>0</v>
      </c>
      <c r="BR384" s="23">
        <f>$L384*AK384</f>
        <v>0</v>
      </c>
      <c r="BS384" s="23">
        <f>$L384*AL384</f>
        <v>0</v>
      </c>
      <c r="BT384" s="23">
        <f>$L384*AM384</f>
        <v>0</v>
      </c>
      <c r="BU384" s="23">
        <f>$L384*AN384</f>
        <v>0</v>
      </c>
      <c r="BV384" s="23">
        <f>$L384*AO384</f>
        <v>0</v>
      </c>
      <c r="BW384" s="23">
        <f>$L384*AP384</f>
        <v>0</v>
      </c>
      <c r="BX384" s="23">
        <f>$L384*AQ384</f>
        <v>0</v>
      </c>
      <c r="BY384" s="23">
        <f>$L384*AR384</f>
        <v>0</v>
      </c>
      <c r="BZ384" s="23">
        <f>$L384*AS384</f>
        <v>0</v>
      </c>
      <c r="CA384" s="23">
        <f>$L384*AT384</f>
        <v>0</v>
      </c>
      <c r="CB384" s="23">
        <f>$L384*AU384</f>
        <v>0</v>
      </c>
      <c r="CC384" s="23">
        <f>$L384*AV384</f>
        <v>0</v>
      </c>
      <c r="CD384" s="23">
        <f>$L384*AW384</f>
        <v>0</v>
      </c>
      <c r="CE384" s="23">
        <f>$L384*AX384</f>
        <v>0</v>
      </c>
      <c r="CF384" s="23">
        <f>$L384*AY384</f>
        <v>0</v>
      </c>
      <c r="CG384" s="23">
        <f>$L384*AZ384</f>
        <v>0</v>
      </c>
      <c r="CH384" s="23">
        <f>$L384*BA384</f>
        <v>0</v>
      </c>
      <c r="CI384" s="23">
        <f>$L384*BB384</f>
        <v>0</v>
      </c>
      <c r="CJ384" s="23">
        <f>$L384*BC384</f>
        <v>0</v>
      </c>
      <c r="CK384" s="23">
        <f>$L384*BD384</f>
        <v>0</v>
      </c>
      <c r="CL384" s="23">
        <f>$L384*BE384</f>
        <v>0</v>
      </c>
      <c r="CM384" s="23">
        <f>$L384*BF384</f>
        <v>0</v>
      </c>
      <c r="CN384" s="23">
        <f>$L384*BG384</f>
        <v>1</v>
      </c>
      <c r="CO384" s="23">
        <f>$L384*BH384</f>
        <v>1</v>
      </c>
      <c r="CP384" s="23">
        <f>$L384*BI384</f>
        <v>1</v>
      </c>
      <c r="CQ384" s="23">
        <f>$L384*BJ384</f>
        <v>1</v>
      </c>
      <c r="CR384" s="23">
        <f>$L384*BK384</f>
        <v>1</v>
      </c>
      <c r="CS384" s="23">
        <f>$L384*BL384</f>
        <v>1</v>
      </c>
      <c r="CT384" s="23">
        <f>$L384*BM384</f>
        <v>1</v>
      </c>
      <c r="CU384" s="23">
        <f>$L384*BN384</f>
        <v>1</v>
      </c>
      <c r="CV384" s="23">
        <f>$L384*BO384</f>
        <v>1</v>
      </c>
    </row>
    <row r="385" spans="1:100" ht="13.5" x14ac:dyDescent="0.15">
      <c r="A385" s="15">
        <v>280</v>
      </c>
      <c r="B385" s="28" t="s">
        <v>768</v>
      </c>
      <c r="C385" t="s">
        <v>414</v>
      </c>
      <c r="E385" t="s">
        <v>140</v>
      </c>
      <c r="F385" t="s">
        <v>415</v>
      </c>
      <c r="G385" t="s">
        <v>140</v>
      </c>
      <c r="H385" t="s">
        <v>141</v>
      </c>
      <c r="I385" s="6" t="s">
        <v>136</v>
      </c>
      <c r="J385" s="6">
        <v>0</v>
      </c>
      <c r="L385" s="15">
        <v>1</v>
      </c>
      <c r="M385" s="7">
        <v>45803</v>
      </c>
      <c r="N385" s="7">
        <v>46185</v>
      </c>
      <c r="O385" s="7">
        <v>46181</v>
      </c>
      <c r="P385" s="7">
        <v>46182</v>
      </c>
      <c r="S385" s="6" t="s">
        <v>140</v>
      </c>
      <c r="U385" s="6" t="s">
        <v>413</v>
      </c>
      <c r="V385" s="6" t="str">
        <f>TEXT(N385,"YY/MM")</f>
        <v>26/06</v>
      </c>
      <c r="W385">
        <v>1757</v>
      </c>
      <c r="AA385">
        <v>1111</v>
      </c>
      <c r="AC385">
        <v>1164</v>
      </c>
      <c r="AI385" s="23">
        <v>0</v>
      </c>
      <c r="AJ385" s="23">
        <v>0</v>
      </c>
      <c r="AK385" s="23">
        <v>0</v>
      </c>
      <c r="AL385" s="23">
        <v>0</v>
      </c>
      <c r="AM385" s="23">
        <v>0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1</v>
      </c>
      <c r="BH385" s="23">
        <v>1</v>
      </c>
      <c r="BI385" s="23">
        <v>1</v>
      </c>
      <c r="BJ385" s="23">
        <v>1</v>
      </c>
      <c r="BK385" s="23">
        <v>1</v>
      </c>
      <c r="BL385" s="23">
        <v>1</v>
      </c>
      <c r="BM385" s="23">
        <v>1</v>
      </c>
      <c r="BN385" s="23">
        <v>1</v>
      </c>
      <c r="BO385" s="23">
        <v>1</v>
      </c>
      <c r="BP385" s="23">
        <f>$L385*AI385</f>
        <v>0</v>
      </c>
      <c r="BQ385" s="23">
        <f>$L385*AJ385</f>
        <v>0</v>
      </c>
      <c r="BR385" s="23">
        <f>$L385*AK385</f>
        <v>0</v>
      </c>
      <c r="BS385" s="23">
        <f>$L385*AL385</f>
        <v>0</v>
      </c>
      <c r="BT385" s="23">
        <f>$L385*AM385</f>
        <v>0</v>
      </c>
      <c r="BU385" s="23">
        <f>$L385*AN385</f>
        <v>0</v>
      </c>
      <c r="BV385" s="23">
        <f>$L385*AO385</f>
        <v>0</v>
      </c>
      <c r="BW385" s="23">
        <f>$L385*AP385</f>
        <v>0</v>
      </c>
      <c r="BX385" s="23">
        <f>$L385*AQ385</f>
        <v>0</v>
      </c>
      <c r="BY385" s="23">
        <f>$L385*AR385</f>
        <v>0</v>
      </c>
      <c r="BZ385" s="23">
        <f>$L385*AS385</f>
        <v>0</v>
      </c>
      <c r="CA385" s="23">
        <f>$L385*AT385</f>
        <v>0</v>
      </c>
      <c r="CB385" s="23">
        <f>$L385*AU385</f>
        <v>0</v>
      </c>
      <c r="CC385" s="23">
        <f>$L385*AV385</f>
        <v>0</v>
      </c>
      <c r="CD385" s="23">
        <f>$L385*AW385</f>
        <v>0</v>
      </c>
      <c r="CE385" s="23">
        <f>$L385*AX385</f>
        <v>0</v>
      </c>
      <c r="CF385" s="23">
        <f>$L385*AY385</f>
        <v>0</v>
      </c>
      <c r="CG385" s="23">
        <f>$L385*AZ385</f>
        <v>0</v>
      </c>
      <c r="CH385" s="23">
        <f>$L385*BA385</f>
        <v>0</v>
      </c>
      <c r="CI385" s="23">
        <f>$L385*BB385</f>
        <v>0</v>
      </c>
      <c r="CJ385" s="23">
        <f>$L385*BC385</f>
        <v>0</v>
      </c>
      <c r="CK385" s="23">
        <f>$L385*BD385</f>
        <v>0</v>
      </c>
      <c r="CL385" s="23">
        <f>$L385*BE385</f>
        <v>0</v>
      </c>
      <c r="CM385" s="23">
        <f>$L385*BF385</f>
        <v>0</v>
      </c>
      <c r="CN385" s="23">
        <f>$L385*BG385</f>
        <v>1</v>
      </c>
      <c r="CO385" s="23">
        <f>$L385*BH385</f>
        <v>1</v>
      </c>
      <c r="CP385" s="23">
        <f>$L385*BI385</f>
        <v>1</v>
      </c>
      <c r="CQ385" s="23">
        <f>$L385*BJ385</f>
        <v>1</v>
      </c>
      <c r="CR385" s="23">
        <f>$L385*BK385</f>
        <v>1</v>
      </c>
      <c r="CS385" s="23">
        <f>$L385*BL385</f>
        <v>1</v>
      </c>
      <c r="CT385" s="23">
        <f>$L385*BM385</f>
        <v>1</v>
      </c>
      <c r="CU385" s="23">
        <f>$L385*BN385</f>
        <v>1</v>
      </c>
      <c r="CV385" s="23">
        <f>$L385*BO385</f>
        <v>1</v>
      </c>
    </row>
    <row r="386" spans="1:100" ht="13.5" x14ac:dyDescent="0.15">
      <c r="A386" s="15">
        <v>280</v>
      </c>
      <c r="B386" s="28" t="s">
        <v>769</v>
      </c>
      <c r="C386" t="s">
        <v>414</v>
      </c>
      <c r="E386" t="s">
        <v>140</v>
      </c>
      <c r="F386" t="s">
        <v>415</v>
      </c>
      <c r="G386" t="s">
        <v>140</v>
      </c>
      <c r="H386" t="s">
        <v>141</v>
      </c>
      <c r="I386" s="6" t="s">
        <v>136</v>
      </c>
      <c r="J386" s="6">
        <v>0</v>
      </c>
      <c r="L386" s="15">
        <v>1</v>
      </c>
      <c r="M386" s="7">
        <v>45803</v>
      </c>
      <c r="N386" s="7">
        <v>46185</v>
      </c>
      <c r="O386" s="7">
        <v>46181</v>
      </c>
      <c r="P386" s="7">
        <v>46182</v>
      </c>
      <c r="S386" s="6" t="s">
        <v>140</v>
      </c>
      <c r="U386" s="6" t="s">
        <v>413</v>
      </c>
      <c r="V386" s="6" t="str">
        <f>TEXT(N386,"YY/MM")</f>
        <v>26/06</v>
      </c>
      <c r="W386">
        <v>1758</v>
      </c>
      <c r="AA386">
        <v>1112</v>
      </c>
      <c r="AC386">
        <v>1165</v>
      </c>
      <c r="AI386" s="23">
        <v>0</v>
      </c>
      <c r="AJ386" s="23">
        <v>0</v>
      </c>
      <c r="AK386" s="23">
        <v>0</v>
      </c>
      <c r="AL386" s="23">
        <v>0</v>
      </c>
      <c r="AM386" s="23">
        <v>0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1</v>
      </c>
      <c r="BH386" s="23">
        <v>1</v>
      </c>
      <c r="BI386" s="23">
        <v>1</v>
      </c>
      <c r="BJ386" s="23">
        <v>1</v>
      </c>
      <c r="BK386" s="23">
        <v>1</v>
      </c>
      <c r="BL386" s="23">
        <v>1</v>
      </c>
      <c r="BM386" s="23">
        <v>1</v>
      </c>
      <c r="BN386" s="23">
        <v>1</v>
      </c>
      <c r="BO386" s="23">
        <v>1</v>
      </c>
      <c r="BP386" s="23">
        <f>$L386*AI386</f>
        <v>0</v>
      </c>
      <c r="BQ386" s="23">
        <f>$L386*AJ386</f>
        <v>0</v>
      </c>
      <c r="BR386" s="23">
        <f>$L386*AK386</f>
        <v>0</v>
      </c>
      <c r="BS386" s="23">
        <f>$L386*AL386</f>
        <v>0</v>
      </c>
      <c r="BT386" s="23">
        <f>$L386*AM386</f>
        <v>0</v>
      </c>
      <c r="BU386" s="23">
        <f>$L386*AN386</f>
        <v>0</v>
      </c>
      <c r="BV386" s="23">
        <f>$L386*AO386</f>
        <v>0</v>
      </c>
      <c r="BW386" s="23">
        <f>$L386*AP386</f>
        <v>0</v>
      </c>
      <c r="BX386" s="23">
        <f>$L386*AQ386</f>
        <v>0</v>
      </c>
      <c r="BY386" s="23">
        <f>$L386*AR386</f>
        <v>0</v>
      </c>
      <c r="BZ386" s="23">
        <f>$L386*AS386</f>
        <v>0</v>
      </c>
      <c r="CA386" s="23">
        <f>$L386*AT386</f>
        <v>0</v>
      </c>
      <c r="CB386" s="23">
        <f>$L386*AU386</f>
        <v>0</v>
      </c>
      <c r="CC386" s="23">
        <f>$L386*AV386</f>
        <v>0</v>
      </c>
      <c r="CD386" s="23">
        <f>$L386*AW386</f>
        <v>0</v>
      </c>
      <c r="CE386" s="23">
        <f>$L386*AX386</f>
        <v>0</v>
      </c>
      <c r="CF386" s="23">
        <f>$L386*AY386</f>
        <v>0</v>
      </c>
      <c r="CG386" s="23">
        <f>$L386*AZ386</f>
        <v>0</v>
      </c>
      <c r="CH386" s="23">
        <f>$L386*BA386</f>
        <v>0</v>
      </c>
      <c r="CI386" s="23">
        <f>$L386*BB386</f>
        <v>0</v>
      </c>
      <c r="CJ386" s="23">
        <f>$L386*BC386</f>
        <v>0</v>
      </c>
      <c r="CK386" s="23">
        <f>$L386*BD386</f>
        <v>0</v>
      </c>
      <c r="CL386" s="23">
        <f>$L386*BE386</f>
        <v>0</v>
      </c>
      <c r="CM386" s="23">
        <f>$L386*BF386</f>
        <v>0</v>
      </c>
      <c r="CN386" s="23">
        <f>$L386*BG386</f>
        <v>1</v>
      </c>
      <c r="CO386" s="23">
        <f>$L386*BH386</f>
        <v>1</v>
      </c>
      <c r="CP386" s="23">
        <f>$L386*BI386</f>
        <v>1</v>
      </c>
      <c r="CQ386" s="23">
        <f>$L386*BJ386</f>
        <v>1</v>
      </c>
      <c r="CR386" s="23">
        <f>$L386*BK386</f>
        <v>1</v>
      </c>
      <c r="CS386" s="23">
        <f>$L386*BL386</f>
        <v>1</v>
      </c>
      <c r="CT386" s="23">
        <f>$L386*BM386</f>
        <v>1</v>
      </c>
      <c r="CU386" s="23">
        <f>$L386*BN386</f>
        <v>1</v>
      </c>
      <c r="CV386" s="23">
        <f>$L386*BO386</f>
        <v>1</v>
      </c>
    </row>
    <row r="387" spans="1:100" ht="13.5" x14ac:dyDescent="0.15">
      <c r="A387" s="15">
        <v>280</v>
      </c>
      <c r="B387" s="28" t="s">
        <v>770</v>
      </c>
      <c r="C387" t="s">
        <v>414</v>
      </c>
      <c r="E387" t="s">
        <v>140</v>
      </c>
      <c r="F387" t="s">
        <v>415</v>
      </c>
      <c r="G387" t="s">
        <v>140</v>
      </c>
      <c r="H387" t="s">
        <v>141</v>
      </c>
      <c r="I387" s="6" t="s">
        <v>136</v>
      </c>
      <c r="J387" s="6">
        <v>0</v>
      </c>
      <c r="L387" s="15">
        <v>1</v>
      </c>
      <c r="M387" s="7">
        <v>45803</v>
      </c>
      <c r="N387" s="7">
        <v>46188</v>
      </c>
      <c r="O387" s="7">
        <v>46181</v>
      </c>
      <c r="P387" s="7">
        <v>46182</v>
      </c>
      <c r="S387" s="6" t="s">
        <v>140</v>
      </c>
      <c r="U387" s="6" t="s">
        <v>413</v>
      </c>
      <c r="V387" s="6" t="str">
        <f>TEXT(N387,"YY/MM")</f>
        <v>26/06</v>
      </c>
      <c r="W387">
        <v>1759</v>
      </c>
      <c r="AA387">
        <v>1113</v>
      </c>
      <c r="AC387">
        <v>1166</v>
      </c>
      <c r="AI387" s="23">
        <v>0</v>
      </c>
      <c r="AJ387" s="23">
        <v>0</v>
      </c>
      <c r="AK387" s="23">
        <v>0</v>
      </c>
      <c r="AL387" s="23">
        <v>0</v>
      </c>
      <c r="AM387" s="23">
        <v>0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1</v>
      </c>
      <c r="BP387" s="23">
        <f>$L387*AI387</f>
        <v>0</v>
      </c>
      <c r="BQ387" s="23">
        <f>$L387*AJ387</f>
        <v>0</v>
      </c>
      <c r="BR387" s="23">
        <f>$L387*AK387</f>
        <v>0</v>
      </c>
      <c r="BS387" s="23">
        <f>$L387*AL387</f>
        <v>0</v>
      </c>
      <c r="BT387" s="23">
        <f>$L387*AM387</f>
        <v>0</v>
      </c>
      <c r="BU387" s="23">
        <f>$L387*AN387</f>
        <v>0</v>
      </c>
      <c r="BV387" s="23">
        <f>$L387*AO387</f>
        <v>0</v>
      </c>
      <c r="BW387" s="23">
        <f>$L387*AP387</f>
        <v>0</v>
      </c>
      <c r="BX387" s="23">
        <f>$L387*AQ387</f>
        <v>0</v>
      </c>
      <c r="BY387" s="23">
        <f>$L387*AR387</f>
        <v>0</v>
      </c>
      <c r="BZ387" s="23">
        <f>$L387*AS387</f>
        <v>0</v>
      </c>
      <c r="CA387" s="23">
        <f>$L387*AT387</f>
        <v>0</v>
      </c>
      <c r="CB387" s="23">
        <f>$L387*AU387</f>
        <v>0</v>
      </c>
      <c r="CC387" s="23">
        <f>$L387*AV387</f>
        <v>0</v>
      </c>
      <c r="CD387" s="23">
        <f>$L387*AW387</f>
        <v>0</v>
      </c>
      <c r="CE387" s="23">
        <f>$L387*AX387</f>
        <v>0</v>
      </c>
      <c r="CF387" s="23">
        <f>$L387*AY387</f>
        <v>0</v>
      </c>
      <c r="CG387" s="23">
        <f>$L387*AZ387</f>
        <v>0</v>
      </c>
      <c r="CH387" s="23">
        <f>$L387*BA387</f>
        <v>0</v>
      </c>
      <c r="CI387" s="23">
        <f>$L387*BB387</f>
        <v>0</v>
      </c>
      <c r="CJ387" s="23">
        <f>$L387*BC387</f>
        <v>0</v>
      </c>
      <c r="CK387" s="23">
        <f>$L387*BD387</f>
        <v>0</v>
      </c>
      <c r="CL387" s="23">
        <f>$L387*BE387</f>
        <v>0</v>
      </c>
      <c r="CM387" s="23">
        <f>$L387*BF387</f>
        <v>0</v>
      </c>
      <c r="CN387" s="23">
        <f>$L387*BG387</f>
        <v>1</v>
      </c>
      <c r="CO387" s="23">
        <f>$L387*BH387</f>
        <v>1</v>
      </c>
      <c r="CP387" s="23">
        <f>$L387*BI387</f>
        <v>1</v>
      </c>
      <c r="CQ387" s="23">
        <f>$L387*BJ387</f>
        <v>1</v>
      </c>
      <c r="CR387" s="23">
        <f>$L387*BK387</f>
        <v>1</v>
      </c>
      <c r="CS387" s="23">
        <f>$L387*BL387</f>
        <v>1</v>
      </c>
      <c r="CT387" s="23">
        <f>$L387*BM387</f>
        <v>1</v>
      </c>
      <c r="CU387" s="23">
        <f>$L387*BN387</f>
        <v>1</v>
      </c>
      <c r="CV387" s="23">
        <f>$L387*BO387</f>
        <v>1</v>
      </c>
    </row>
    <row r="388" spans="1:100" ht="13.5" x14ac:dyDescent="0.15">
      <c r="A388" s="15">
        <v>280</v>
      </c>
      <c r="B388" s="28" t="s">
        <v>771</v>
      </c>
      <c r="C388" t="s">
        <v>414</v>
      </c>
      <c r="E388" t="s">
        <v>140</v>
      </c>
      <c r="F388" t="s">
        <v>415</v>
      </c>
      <c r="G388" t="s">
        <v>140</v>
      </c>
      <c r="H388" t="s">
        <v>141</v>
      </c>
      <c r="I388" s="6" t="s">
        <v>136</v>
      </c>
      <c r="J388" s="6">
        <v>0</v>
      </c>
      <c r="L388" s="15">
        <v>1</v>
      </c>
      <c r="M388" s="7">
        <v>45803</v>
      </c>
      <c r="N388" s="7">
        <v>46188</v>
      </c>
      <c r="O388" s="7">
        <v>46181</v>
      </c>
      <c r="P388" s="7">
        <v>46182</v>
      </c>
      <c r="S388" s="6" t="s">
        <v>140</v>
      </c>
      <c r="U388" s="6" t="s">
        <v>413</v>
      </c>
      <c r="V388" s="6" t="str">
        <f>TEXT(N388,"YY/MM")</f>
        <v>26/06</v>
      </c>
      <c r="W388">
        <v>1760</v>
      </c>
      <c r="AA388">
        <v>1114</v>
      </c>
      <c r="AC388">
        <v>1167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1</v>
      </c>
      <c r="BH388" s="23">
        <v>1</v>
      </c>
      <c r="BI388" s="23">
        <v>1</v>
      </c>
      <c r="BJ388" s="23">
        <v>1</v>
      </c>
      <c r="BK388" s="23">
        <v>1</v>
      </c>
      <c r="BL388" s="23">
        <v>1</v>
      </c>
      <c r="BM388" s="23">
        <v>1</v>
      </c>
      <c r="BN388" s="23">
        <v>1</v>
      </c>
      <c r="BO388" s="23">
        <v>1</v>
      </c>
      <c r="BP388" s="23">
        <f>$L388*AI388</f>
        <v>0</v>
      </c>
      <c r="BQ388" s="23">
        <f>$L388*AJ388</f>
        <v>0</v>
      </c>
      <c r="BR388" s="23">
        <f>$L388*AK388</f>
        <v>0</v>
      </c>
      <c r="BS388" s="23">
        <f>$L388*AL388</f>
        <v>0</v>
      </c>
      <c r="BT388" s="23">
        <f>$L388*AM388</f>
        <v>0</v>
      </c>
      <c r="BU388" s="23">
        <f>$L388*AN388</f>
        <v>0</v>
      </c>
      <c r="BV388" s="23">
        <f>$L388*AO388</f>
        <v>0</v>
      </c>
      <c r="BW388" s="23">
        <f>$L388*AP388</f>
        <v>0</v>
      </c>
      <c r="BX388" s="23">
        <f>$L388*AQ388</f>
        <v>0</v>
      </c>
      <c r="BY388" s="23">
        <f>$L388*AR388</f>
        <v>0</v>
      </c>
      <c r="BZ388" s="23">
        <f>$L388*AS388</f>
        <v>0</v>
      </c>
      <c r="CA388" s="23">
        <f>$L388*AT388</f>
        <v>0</v>
      </c>
      <c r="CB388" s="23">
        <f>$L388*AU388</f>
        <v>0</v>
      </c>
      <c r="CC388" s="23">
        <f>$L388*AV388</f>
        <v>0</v>
      </c>
      <c r="CD388" s="23">
        <f>$L388*AW388</f>
        <v>0</v>
      </c>
      <c r="CE388" s="23">
        <f>$L388*AX388</f>
        <v>0</v>
      </c>
      <c r="CF388" s="23">
        <f>$L388*AY388</f>
        <v>0</v>
      </c>
      <c r="CG388" s="23">
        <f>$L388*AZ388</f>
        <v>0</v>
      </c>
      <c r="CH388" s="23">
        <f>$L388*BA388</f>
        <v>0</v>
      </c>
      <c r="CI388" s="23">
        <f>$L388*BB388</f>
        <v>0</v>
      </c>
      <c r="CJ388" s="23">
        <f>$L388*BC388</f>
        <v>0</v>
      </c>
      <c r="CK388" s="23">
        <f>$L388*BD388</f>
        <v>0</v>
      </c>
      <c r="CL388" s="23">
        <f>$L388*BE388</f>
        <v>0</v>
      </c>
      <c r="CM388" s="23">
        <f>$L388*BF388</f>
        <v>0</v>
      </c>
      <c r="CN388" s="23">
        <f>$L388*BG388</f>
        <v>1</v>
      </c>
      <c r="CO388" s="23">
        <f>$L388*BH388</f>
        <v>1</v>
      </c>
      <c r="CP388" s="23">
        <f>$L388*BI388</f>
        <v>1</v>
      </c>
      <c r="CQ388" s="23">
        <f>$L388*BJ388</f>
        <v>1</v>
      </c>
      <c r="CR388" s="23">
        <f>$L388*BK388</f>
        <v>1</v>
      </c>
      <c r="CS388" s="23">
        <f>$L388*BL388</f>
        <v>1</v>
      </c>
      <c r="CT388" s="23">
        <f>$L388*BM388</f>
        <v>1</v>
      </c>
      <c r="CU388" s="23">
        <f>$L388*BN388</f>
        <v>1</v>
      </c>
      <c r="CV388" s="23">
        <f>$L388*BO388</f>
        <v>1</v>
      </c>
    </row>
    <row r="389" spans="1:100" ht="13.5" x14ac:dyDescent="0.15">
      <c r="A389" s="15">
        <v>280</v>
      </c>
      <c r="B389" s="28" t="s">
        <v>772</v>
      </c>
      <c r="C389" t="s">
        <v>414</v>
      </c>
      <c r="E389" t="s">
        <v>140</v>
      </c>
      <c r="F389" t="s">
        <v>415</v>
      </c>
      <c r="G389" t="s">
        <v>140</v>
      </c>
      <c r="H389" t="s">
        <v>141</v>
      </c>
      <c r="I389" s="6" t="s">
        <v>136</v>
      </c>
      <c r="J389" s="6">
        <v>0</v>
      </c>
      <c r="L389" s="15">
        <v>1</v>
      </c>
      <c r="M389" s="7">
        <v>45803</v>
      </c>
      <c r="N389" s="7">
        <v>46188</v>
      </c>
      <c r="O389" s="7">
        <v>46181</v>
      </c>
      <c r="P389" s="7">
        <v>46182</v>
      </c>
      <c r="S389" s="6" t="s">
        <v>140</v>
      </c>
      <c r="U389" s="6" t="s">
        <v>413</v>
      </c>
      <c r="V389" s="6" t="str">
        <f>TEXT(N389,"YY/MM")</f>
        <v>26/06</v>
      </c>
      <c r="W389">
        <v>1761</v>
      </c>
      <c r="AA389">
        <v>1115</v>
      </c>
      <c r="AC389">
        <v>1168</v>
      </c>
      <c r="AI389" s="23">
        <v>0</v>
      </c>
      <c r="AJ389" s="23">
        <v>0</v>
      </c>
      <c r="AK389" s="23">
        <v>0</v>
      </c>
      <c r="AL389" s="23">
        <v>0</v>
      </c>
      <c r="AM389" s="23">
        <v>0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1</v>
      </c>
      <c r="BH389" s="23">
        <v>1</v>
      </c>
      <c r="BI389" s="23">
        <v>1</v>
      </c>
      <c r="BJ389" s="23">
        <v>1</v>
      </c>
      <c r="BK389" s="23">
        <v>1</v>
      </c>
      <c r="BL389" s="23">
        <v>1</v>
      </c>
      <c r="BM389" s="23">
        <v>1</v>
      </c>
      <c r="BN389" s="23">
        <v>1</v>
      </c>
      <c r="BO389" s="23">
        <v>1</v>
      </c>
      <c r="BP389" s="23">
        <f>$L389*AI389</f>
        <v>0</v>
      </c>
      <c r="BQ389" s="23">
        <f>$L389*AJ389</f>
        <v>0</v>
      </c>
      <c r="BR389" s="23">
        <f>$L389*AK389</f>
        <v>0</v>
      </c>
      <c r="BS389" s="23">
        <f>$L389*AL389</f>
        <v>0</v>
      </c>
      <c r="BT389" s="23">
        <f>$L389*AM389</f>
        <v>0</v>
      </c>
      <c r="BU389" s="23">
        <f>$L389*AN389</f>
        <v>0</v>
      </c>
      <c r="BV389" s="23">
        <f>$L389*AO389</f>
        <v>0</v>
      </c>
      <c r="BW389" s="23">
        <f>$L389*AP389</f>
        <v>0</v>
      </c>
      <c r="BX389" s="23">
        <f>$L389*AQ389</f>
        <v>0</v>
      </c>
      <c r="BY389" s="23">
        <f>$L389*AR389</f>
        <v>0</v>
      </c>
      <c r="BZ389" s="23">
        <f>$L389*AS389</f>
        <v>0</v>
      </c>
      <c r="CA389" s="23">
        <f>$L389*AT389</f>
        <v>0</v>
      </c>
      <c r="CB389" s="23">
        <f>$L389*AU389</f>
        <v>0</v>
      </c>
      <c r="CC389" s="23">
        <f>$L389*AV389</f>
        <v>0</v>
      </c>
      <c r="CD389" s="23">
        <f>$L389*AW389</f>
        <v>0</v>
      </c>
      <c r="CE389" s="23">
        <f>$L389*AX389</f>
        <v>0</v>
      </c>
      <c r="CF389" s="23">
        <f>$L389*AY389</f>
        <v>0</v>
      </c>
      <c r="CG389" s="23">
        <f>$L389*AZ389</f>
        <v>0</v>
      </c>
      <c r="CH389" s="23">
        <f>$L389*BA389</f>
        <v>0</v>
      </c>
      <c r="CI389" s="23">
        <f>$L389*BB389</f>
        <v>0</v>
      </c>
      <c r="CJ389" s="23">
        <f>$L389*BC389</f>
        <v>0</v>
      </c>
      <c r="CK389" s="23">
        <f>$L389*BD389</f>
        <v>0</v>
      </c>
      <c r="CL389" s="23">
        <f>$L389*BE389</f>
        <v>0</v>
      </c>
      <c r="CM389" s="23">
        <f>$L389*BF389</f>
        <v>0</v>
      </c>
      <c r="CN389" s="23">
        <f>$L389*BG389</f>
        <v>1</v>
      </c>
      <c r="CO389" s="23">
        <f>$L389*BH389</f>
        <v>1</v>
      </c>
      <c r="CP389" s="23">
        <f>$L389*BI389</f>
        <v>1</v>
      </c>
      <c r="CQ389" s="23">
        <f>$L389*BJ389</f>
        <v>1</v>
      </c>
      <c r="CR389" s="23">
        <f>$L389*BK389</f>
        <v>1</v>
      </c>
      <c r="CS389" s="23">
        <f>$L389*BL389</f>
        <v>1</v>
      </c>
      <c r="CT389" s="23">
        <f>$L389*BM389</f>
        <v>1</v>
      </c>
      <c r="CU389" s="23">
        <f>$L389*BN389</f>
        <v>1</v>
      </c>
      <c r="CV389" s="23">
        <f>$L389*BO389</f>
        <v>1</v>
      </c>
    </row>
    <row r="390" spans="1:100" ht="13.5" x14ac:dyDescent="0.15">
      <c r="A390" s="15">
        <v>280</v>
      </c>
      <c r="B390" s="28" t="s">
        <v>773</v>
      </c>
      <c r="C390" t="s">
        <v>414</v>
      </c>
      <c r="E390" t="s">
        <v>140</v>
      </c>
      <c r="F390" t="s">
        <v>415</v>
      </c>
      <c r="G390" t="s">
        <v>140</v>
      </c>
      <c r="H390" t="s">
        <v>141</v>
      </c>
      <c r="I390" s="6" t="s">
        <v>136</v>
      </c>
      <c r="J390" s="6">
        <v>0</v>
      </c>
      <c r="L390" s="15">
        <v>1</v>
      </c>
      <c r="M390" s="7">
        <v>45803</v>
      </c>
      <c r="N390" s="7">
        <v>46188</v>
      </c>
      <c r="O390" s="7">
        <v>46181</v>
      </c>
      <c r="P390" s="7">
        <v>46182</v>
      </c>
      <c r="S390" s="6" t="s">
        <v>140</v>
      </c>
      <c r="U390" s="6" t="s">
        <v>413</v>
      </c>
      <c r="V390" s="6" t="str">
        <f>TEXT(N390,"YY/MM")</f>
        <v>26/06</v>
      </c>
      <c r="W390">
        <v>1762</v>
      </c>
      <c r="AA390">
        <v>1116</v>
      </c>
      <c r="AC390">
        <v>1169</v>
      </c>
      <c r="AI390" s="23">
        <v>0</v>
      </c>
      <c r="AJ390" s="23">
        <v>0</v>
      </c>
      <c r="AK390" s="23">
        <v>0</v>
      </c>
      <c r="AL390" s="23">
        <v>0</v>
      </c>
      <c r="AM390" s="23">
        <v>0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1</v>
      </c>
      <c r="BH390" s="23">
        <v>1</v>
      </c>
      <c r="BI390" s="23">
        <v>1</v>
      </c>
      <c r="BJ390" s="23">
        <v>1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  <c r="BP390" s="23">
        <f>$L390*AI390</f>
        <v>0</v>
      </c>
      <c r="BQ390" s="23">
        <f>$L390*AJ390</f>
        <v>0</v>
      </c>
      <c r="BR390" s="23">
        <f>$L390*AK390</f>
        <v>0</v>
      </c>
      <c r="BS390" s="23">
        <f>$L390*AL390</f>
        <v>0</v>
      </c>
      <c r="BT390" s="23">
        <f>$L390*AM390</f>
        <v>0</v>
      </c>
      <c r="BU390" s="23">
        <f>$L390*AN390</f>
        <v>0</v>
      </c>
      <c r="BV390" s="23">
        <f>$L390*AO390</f>
        <v>0</v>
      </c>
      <c r="BW390" s="23">
        <f>$L390*AP390</f>
        <v>0</v>
      </c>
      <c r="BX390" s="23">
        <f>$L390*AQ390</f>
        <v>0</v>
      </c>
      <c r="BY390" s="23">
        <f>$L390*AR390</f>
        <v>0</v>
      </c>
      <c r="BZ390" s="23">
        <f>$L390*AS390</f>
        <v>0</v>
      </c>
      <c r="CA390" s="23">
        <f>$L390*AT390</f>
        <v>0</v>
      </c>
      <c r="CB390" s="23">
        <f>$L390*AU390</f>
        <v>0</v>
      </c>
      <c r="CC390" s="23">
        <f>$L390*AV390</f>
        <v>0</v>
      </c>
      <c r="CD390" s="23">
        <f>$L390*AW390</f>
        <v>0</v>
      </c>
      <c r="CE390" s="23">
        <f>$L390*AX390</f>
        <v>0</v>
      </c>
      <c r="CF390" s="23">
        <f>$L390*AY390</f>
        <v>0</v>
      </c>
      <c r="CG390" s="23">
        <f>$L390*AZ390</f>
        <v>0</v>
      </c>
      <c r="CH390" s="23">
        <f>$L390*BA390</f>
        <v>0</v>
      </c>
      <c r="CI390" s="23">
        <f>$L390*BB390</f>
        <v>0</v>
      </c>
      <c r="CJ390" s="23">
        <f>$L390*BC390</f>
        <v>0</v>
      </c>
      <c r="CK390" s="23">
        <f>$L390*BD390</f>
        <v>0</v>
      </c>
      <c r="CL390" s="23">
        <f>$L390*BE390</f>
        <v>0</v>
      </c>
      <c r="CM390" s="23">
        <f>$L390*BF390</f>
        <v>0</v>
      </c>
      <c r="CN390" s="23">
        <f>$L390*BG390</f>
        <v>1</v>
      </c>
      <c r="CO390" s="23">
        <f>$L390*BH390</f>
        <v>1</v>
      </c>
      <c r="CP390" s="23">
        <f>$L390*BI390</f>
        <v>1</v>
      </c>
      <c r="CQ390" s="23">
        <f>$L390*BJ390</f>
        <v>1</v>
      </c>
      <c r="CR390" s="23">
        <f>$L390*BK390</f>
        <v>1</v>
      </c>
      <c r="CS390" s="23">
        <f>$L390*BL390</f>
        <v>1</v>
      </c>
      <c r="CT390" s="23">
        <f>$L390*BM390</f>
        <v>1</v>
      </c>
      <c r="CU390" s="23">
        <f>$L390*BN390</f>
        <v>1</v>
      </c>
      <c r="CV390" s="23">
        <f>$L390*BO390</f>
        <v>1</v>
      </c>
    </row>
    <row r="391" spans="1:100" ht="13.5" x14ac:dyDescent="0.15">
      <c r="A391" s="15">
        <v>280</v>
      </c>
      <c r="B391" s="28" t="s">
        <v>774</v>
      </c>
      <c r="C391" t="s">
        <v>414</v>
      </c>
      <c r="E391" t="s">
        <v>140</v>
      </c>
      <c r="F391" t="s">
        <v>415</v>
      </c>
      <c r="G391" t="s">
        <v>140</v>
      </c>
      <c r="H391" t="s">
        <v>141</v>
      </c>
      <c r="I391" s="6" t="s">
        <v>136</v>
      </c>
      <c r="J391" s="6">
        <v>0</v>
      </c>
      <c r="L391" s="15">
        <v>1</v>
      </c>
      <c r="M391" s="7">
        <v>45803</v>
      </c>
      <c r="N391" s="7">
        <v>46188</v>
      </c>
      <c r="O391" s="7">
        <v>46181</v>
      </c>
      <c r="P391" s="7">
        <v>46182</v>
      </c>
      <c r="S391" s="6" t="s">
        <v>140</v>
      </c>
      <c r="U391" s="6" t="s">
        <v>413</v>
      </c>
      <c r="V391" s="6" t="str">
        <f>TEXT(N391,"YY/MM")</f>
        <v>26/06</v>
      </c>
      <c r="W391">
        <v>1763</v>
      </c>
      <c r="AA391">
        <v>1117</v>
      </c>
      <c r="AC391">
        <v>1170</v>
      </c>
      <c r="AI391" s="23">
        <v>0</v>
      </c>
      <c r="AJ391" s="23">
        <v>0</v>
      </c>
      <c r="AK391" s="23">
        <v>0</v>
      </c>
      <c r="AL391" s="23">
        <v>0</v>
      </c>
      <c r="AM391" s="23">
        <v>0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1</v>
      </c>
      <c r="BH391" s="23">
        <v>1</v>
      </c>
      <c r="BI391" s="23">
        <v>1</v>
      </c>
      <c r="BJ391" s="23">
        <v>1</v>
      </c>
      <c r="BK391" s="23">
        <v>1</v>
      </c>
      <c r="BL391" s="23">
        <v>1</v>
      </c>
      <c r="BM391" s="23">
        <v>1</v>
      </c>
      <c r="BN391" s="23">
        <v>1</v>
      </c>
      <c r="BO391" s="23">
        <v>1</v>
      </c>
      <c r="BP391" s="23">
        <f>$L391*AI391</f>
        <v>0</v>
      </c>
      <c r="BQ391" s="23">
        <f>$L391*AJ391</f>
        <v>0</v>
      </c>
      <c r="BR391" s="23">
        <f>$L391*AK391</f>
        <v>0</v>
      </c>
      <c r="BS391" s="23">
        <f>$L391*AL391</f>
        <v>0</v>
      </c>
      <c r="BT391" s="23">
        <f>$L391*AM391</f>
        <v>0</v>
      </c>
      <c r="BU391" s="23">
        <f>$L391*AN391</f>
        <v>0</v>
      </c>
      <c r="BV391" s="23">
        <f>$L391*AO391</f>
        <v>0</v>
      </c>
      <c r="BW391" s="23">
        <f>$L391*AP391</f>
        <v>0</v>
      </c>
      <c r="BX391" s="23">
        <f>$L391*AQ391</f>
        <v>0</v>
      </c>
      <c r="BY391" s="23">
        <f>$L391*AR391</f>
        <v>0</v>
      </c>
      <c r="BZ391" s="23">
        <f>$L391*AS391</f>
        <v>0</v>
      </c>
      <c r="CA391" s="23">
        <f>$L391*AT391</f>
        <v>0</v>
      </c>
      <c r="CB391" s="23">
        <f>$L391*AU391</f>
        <v>0</v>
      </c>
      <c r="CC391" s="23">
        <f>$L391*AV391</f>
        <v>0</v>
      </c>
      <c r="CD391" s="23">
        <f>$L391*AW391</f>
        <v>0</v>
      </c>
      <c r="CE391" s="23">
        <f>$L391*AX391</f>
        <v>0</v>
      </c>
      <c r="CF391" s="23">
        <f>$L391*AY391</f>
        <v>0</v>
      </c>
      <c r="CG391" s="23">
        <f>$L391*AZ391</f>
        <v>0</v>
      </c>
      <c r="CH391" s="23">
        <f>$L391*BA391</f>
        <v>0</v>
      </c>
      <c r="CI391" s="23">
        <f>$L391*BB391</f>
        <v>0</v>
      </c>
      <c r="CJ391" s="23">
        <f>$L391*BC391</f>
        <v>0</v>
      </c>
      <c r="CK391" s="23">
        <f>$L391*BD391</f>
        <v>0</v>
      </c>
      <c r="CL391" s="23">
        <f>$L391*BE391</f>
        <v>0</v>
      </c>
      <c r="CM391" s="23">
        <f>$L391*BF391</f>
        <v>0</v>
      </c>
      <c r="CN391" s="23">
        <f>$L391*BG391</f>
        <v>1</v>
      </c>
      <c r="CO391" s="23">
        <f>$L391*BH391</f>
        <v>1</v>
      </c>
      <c r="CP391" s="23">
        <f>$L391*BI391</f>
        <v>1</v>
      </c>
      <c r="CQ391" s="23">
        <f>$L391*BJ391</f>
        <v>1</v>
      </c>
      <c r="CR391" s="23">
        <f>$L391*BK391</f>
        <v>1</v>
      </c>
      <c r="CS391" s="23">
        <f>$L391*BL391</f>
        <v>1</v>
      </c>
      <c r="CT391" s="23">
        <f>$L391*BM391</f>
        <v>1</v>
      </c>
      <c r="CU391" s="23">
        <f>$L391*BN391</f>
        <v>1</v>
      </c>
      <c r="CV391" s="23">
        <f>$L391*BO391</f>
        <v>1</v>
      </c>
    </row>
    <row r="392" spans="1:100" ht="13.5" x14ac:dyDescent="0.15">
      <c r="A392" s="15">
        <v>280</v>
      </c>
      <c r="B392" s="28" t="s">
        <v>775</v>
      </c>
      <c r="C392" t="s">
        <v>414</v>
      </c>
      <c r="E392" t="s">
        <v>140</v>
      </c>
      <c r="F392" t="s">
        <v>415</v>
      </c>
      <c r="G392" t="s">
        <v>140</v>
      </c>
      <c r="H392" t="s">
        <v>141</v>
      </c>
      <c r="I392" s="6" t="s">
        <v>136</v>
      </c>
      <c r="J392" s="6">
        <v>0</v>
      </c>
      <c r="L392" s="15">
        <v>1</v>
      </c>
      <c r="M392" s="7">
        <v>45803</v>
      </c>
      <c r="N392" s="7">
        <v>46189</v>
      </c>
      <c r="O392" s="7">
        <v>46181</v>
      </c>
      <c r="P392" s="7">
        <v>46182</v>
      </c>
      <c r="S392" s="6" t="s">
        <v>140</v>
      </c>
      <c r="U392" s="6" t="s">
        <v>413</v>
      </c>
      <c r="V392" s="6" t="str">
        <f>TEXT(N392,"YY/MM")</f>
        <v>26/06</v>
      </c>
      <c r="W392">
        <v>1764</v>
      </c>
      <c r="AA392">
        <v>1118</v>
      </c>
      <c r="AC392">
        <v>1171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1</v>
      </c>
      <c r="BH392" s="23">
        <v>1</v>
      </c>
      <c r="BI392" s="23">
        <v>1</v>
      </c>
      <c r="BJ392" s="23">
        <v>1</v>
      </c>
      <c r="BK392" s="23">
        <v>1</v>
      </c>
      <c r="BL392" s="23">
        <v>1</v>
      </c>
      <c r="BM392" s="23">
        <v>1</v>
      </c>
      <c r="BN392" s="23">
        <v>1</v>
      </c>
      <c r="BO392" s="23">
        <v>1</v>
      </c>
      <c r="BP392" s="23">
        <f>$L392*AI392</f>
        <v>0</v>
      </c>
      <c r="BQ392" s="23">
        <f>$L392*AJ392</f>
        <v>0</v>
      </c>
      <c r="BR392" s="23">
        <f>$L392*AK392</f>
        <v>0</v>
      </c>
      <c r="BS392" s="23">
        <f>$L392*AL392</f>
        <v>0</v>
      </c>
      <c r="BT392" s="23">
        <f>$L392*AM392</f>
        <v>0</v>
      </c>
      <c r="BU392" s="23">
        <f>$L392*AN392</f>
        <v>0</v>
      </c>
      <c r="BV392" s="23">
        <f>$L392*AO392</f>
        <v>0</v>
      </c>
      <c r="BW392" s="23">
        <f>$L392*AP392</f>
        <v>0</v>
      </c>
      <c r="BX392" s="23">
        <f>$L392*AQ392</f>
        <v>0</v>
      </c>
      <c r="BY392" s="23">
        <f>$L392*AR392</f>
        <v>0</v>
      </c>
      <c r="BZ392" s="23">
        <f>$L392*AS392</f>
        <v>0</v>
      </c>
      <c r="CA392" s="23">
        <f>$L392*AT392</f>
        <v>0</v>
      </c>
      <c r="CB392" s="23">
        <f>$L392*AU392</f>
        <v>0</v>
      </c>
      <c r="CC392" s="23">
        <f>$L392*AV392</f>
        <v>0</v>
      </c>
      <c r="CD392" s="23">
        <f>$L392*AW392</f>
        <v>0</v>
      </c>
      <c r="CE392" s="23">
        <f>$L392*AX392</f>
        <v>0</v>
      </c>
      <c r="CF392" s="23">
        <f>$L392*AY392</f>
        <v>0</v>
      </c>
      <c r="CG392" s="23">
        <f>$L392*AZ392</f>
        <v>0</v>
      </c>
      <c r="CH392" s="23">
        <f>$L392*BA392</f>
        <v>0</v>
      </c>
      <c r="CI392" s="23">
        <f>$L392*BB392</f>
        <v>0</v>
      </c>
      <c r="CJ392" s="23">
        <f>$L392*BC392</f>
        <v>0</v>
      </c>
      <c r="CK392" s="23">
        <f>$L392*BD392</f>
        <v>0</v>
      </c>
      <c r="CL392" s="23">
        <f>$L392*BE392</f>
        <v>0</v>
      </c>
      <c r="CM392" s="23">
        <f>$L392*BF392</f>
        <v>0</v>
      </c>
      <c r="CN392" s="23">
        <f>$L392*BG392</f>
        <v>1</v>
      </c>
      <c r="CO392" s="23">
        <f>$L392*BH392</f>
        <v>1</v>
      </c>
      <c r="CP392" s="23">
        <f>$L392*BI392</f>
        <v>1</v>
      </c>
      <c r="CQ392" s="23">
        <f>$L392*BJ392</f>
        <v>1</v>
      </c>
      <c r="CR392" s="23">
        <f>$L392*BK392</f>
        <v>1</v>
      </c>
      <c r="CS392" s="23">
        <f>$L392*BL392</f>
        <v>1</v>
      </c>
      <c r="CT392" s="23">
        <f>$L392*BM392</f>
        <v>1</v>
      </c>
      <c r="CU392" s="23">
        <f>$L392*BN392</f>
        <v>1</v>
      </c>
      <c r="CV392" s="23">
        <f>$L392*BO392</f>
        <v>1</v>
      </c>
    </row>
    <row r="393" spans="1:100" ht="13.5" x14ac:dyDescent="0.15">
      <c r="A393" s="15">
        <v>280</v>
      </c>
      <c r="B393" s="28" t="s">
        <v>776</v>
      </c>
      <c r="C393" t="s">
        <v>414</v>
      </c>
      <c r="E393" t="s">
        <v>140</v>
      </c>
      <c r="F393" t="s">
        <v>415</v>
      </c>
      <c r="G393" t="s">
        <v>140</v>
      </c>
      <c r="H393" t="s">
        <v>141</v>
      </c>
      <c r="I393" s="6" t="s">
        <v>136</v>
      </c>
      <c r="J393" s="6">
        <v>0</v>
      </c>
      <c r="L393" s="15">
        <v>1</v>
      </c>
      <c r="M393" s="7">
        <v>45803</v>
      </c>
      <c r="N393" s="7">
        <v>46189</v>
      </c>
      <c r="O393" s="7">
        <v>46181</v>
      </c>
      <c r="P393" s="7">
        <v>46182</v>
      </c>
      <c r="S393" s="6" t="s">
        <v>140</v>
      </c>
      <c r="U393" s="6" t="s">
        <v>413</v>
      </c>
      <c r="V393" s="6" t="str">
        <f>TEXT(N393,"YY/MM")</f>
        <v>26/06</v>
      </c>
      <c r="W393">
        <v>1765</v>
      </c>
      <c r="AA393">
        <v>1119</v>
      </c>
      <c r="AC393">
        <v>1172</v>
      </c>
      <c r="AI393" s="23">
        <v>0</v>
      </c>
      <c r="AJ393" s="23">
        <v>0</v>
      </c>
      <c r="AK393" s="23">
        <v>0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1</v>
      </c>
      <c r="BH393" s="23">
        <v>1</v>
      </c>
      <c r="BI393" s="23">
        <v>1</v>
      </c>
      <c r="BJ393" s="23">
        <v>1</v>
      </c>
      <c r="BK393" s="23">
        <v>1</v>
      </c>
      <c r="BL393" s="23">
        <v>1</v>
      </c>
      <c r="BM393" s="23">
        <v>1</v>
      </c>
      <c r="BN393" s="23">
        <v>1</v>
      </c>
      <c r="BO393" s="23">
        <v>1</v>
      </c>
      <c r="BP393" s="23">
        <f>$L393*AI393</f>
        <v>0</v>
      </c>
      <c r="BQ393" s="23">
        <f>$L393*AJ393</f>
        <v>0</v>
      </c>
      <c r="BR393" s="23">
        <f>$L393*AK393</f>
        <v>0</v>
      </c>
      <c r="BS393" s="23">
        <f>$L393*AL393</f>
        <v>0</v>
      </c>
      <c r="BT393" s="23">
        <f>$L393*AM393</f>
        <v>0</v>
      </c>
      <c r="BU393" s="23">
        <f>$L393*AN393</f>
        <v>0</v>
      </c>
      <c r="BV393" s="23">
        <f>$L393*AO393</f>
        <v>0</v>
      </c>
      <c r="BW393" s="23">
        <f>$L393*AP393</f>
        <v>0</v>
      </c>
      <c r="BX393" s="23">
        <f>$L393*AQ393</f>
        <v>0</v>
      </c>
      <c r="BY393" s="23">
        <f>$L393*AR393</f>
        <v>0</v>
      </c>
      <c r="BZ393" s="23">
        <f>$L393*AS393</f>
        <v>0</v>
      </c>
      <c r="CA393" s="23">
        <f>$L393*AT393</f>
        <v>0</v>
      </c>
      <c r="CB393" s="23">
        <f>$L393*AU393</f>
        <v>0</v>
      </c>
      <c r="CC393" s="23">
        <f>$L393*AV393</f>
        <v>0</v>
      </c>
      <c r="CD393" s="23">
        <f>$L393*AW393</f>
        <v>0</v>
      </c>
      <c r="CE393" s="23">
        <f>$L393*AX393</f>
        <v>0</v>
      </c>
      <c r="CF393" s="23">
        <f>$L393*AY393</f>
        <v>0</v>
      </c>
      <c r="CG393" s="23">
        <f>$L393*AZ393</f>
        <v>0</v>
      </c>
      <c r="CH393" s="23">
        <f>$L393*BA393</f>
        <v>0</v>
      </c>
      <c r="CI393" s="23">
        <f>$L393*BB393</f>
        <v>0</v>
      </c>
      <c r="CJ393" s="23">
        <f>$L393*BC393</f>
        <v>0</v>
      </c>
      <c r="CK393" s="23">
        <f>$L393*BD393</f>
        <v>0</v>
      </c>
      <c r="CL393" s="23">
        <f>$L393*BE393</f>
        <v>0</v>
      </c>
      <c r="CM393" s="23">
        <f>$L393*BF393</f>
        <v>0</v>
      </c>
      <c r="CN393" s="23">
        <f>$L393*BG393</f>
        <v>1</v>
      </c>
      <c r="CO393" s="23">
        <f>$L393*BH393</f>
        <v>1</v>
      </c>
      <c r="CP393" s="23">
        <f>$L393*BI393</f>
        <v>1</v>
      </c>
      <c r="CQ393" s="23">
        <f>$L393*BJ393</f>
        <v>1</v>
      </c>
      <c r="CR393" s="23">
        <f>$L393*BK393</f>
        <v>1</v>
      </c>
      <c r="CS393" s="23">
        <f>$L393*BL393</f>
        <v>1</v>
      </c>
      <c r="CT393" s="23">
        <f>$L393*BM393</f>
        <v>1</v>
      </c>
      <c r="CU393" s="23">
        <f>$L393*BN393</f>
        <v>1</v>
      </c>
      <c r="CV393" s="23">
        <f>$L393*BO393</f>
        <v>1</v>
      </c>
    </row>
    <row r="394" spans="1:100" ht="13.5" x14ac:dyDescent="0.15">
      <c r="A394" s="15">
        <v>280</v>
      </c>
      <c r="B394" s="28" t="s">
        <v>777</v>
      </c>
      <c r="C394" t="s">
        <v>414</v>
      </c>
      <c r="E394" t="s">
        <v>140</v>
      </c>
      <c r="F394" t="s">
        <v>415</v>
      </c>
      <c r="G394" t="s">
        <v>140</v>
      </c>
      <c r="H394" t="s">
        <v>141</v>
      </c>
      <c r="I394" s="6" t="s">
        <v>136</v>
      </c>
      <c r="J394" s="6">
        <v>0</v>
      </c>
      <c r="L394" s="15">
        <v>1</v>
      </c>
      <c r="M394" s="7">
        <v>45803</v>
      </c>
      <c r="N394" s="7">
        <v>46189</v>
      </c>
      <c r="O394" s="7">
        <v>46181</v>
      </c>
      <c r="P394" s="7">
        <v>46182</v>
      </c>
      <c r="S394" s="6" t="s">
        <v>140</v>
      </c>
      <c r="U394" s="6" t="s">
        <v>413</v>
      </c>
      <c r="V394" s="6" t="str">
        <f>TEXT(N394,"YY/MM")</f>
        <v>26/06</v>
      </c>
      <c r="W394">
        <v>1766</v>
      </c>
      <c r="AA394">
        <v>1120</v>
      </c>
      <c r="AC394">
        <v>1173</v>
      </c>
      <c r="AI394" s="23">
        <v>0</v>
      </c>
      <c r="AJ394" s="23">
        <v>0</v>
      </c>
      <c r="AK394" s="23">
        <v>0</v>
      </c>
      <c r="AL394" s="23">
        <v>0</v>
      </c>
      <c r="AM394" s="23">
        <v>0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1</v>
      </c>
      <c r="BH394" s="23">
        <v>1</v>
      </c>
      <c r="BI394" s="23">
        <v>1</v>
      </c>
      <c r="BJ394" s="23">
        <v>1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>
        <f>$L394*AI394</f>
        <v>0</v>
      </c>
      <c r="BQ394" s="23">
        <f>$L394*AJ394</f>
        <v>0</v>
      </c>
      <c r="BR394" s="23">
        <f>$L394*AK394</f>
        <v>0</v>
      </c>
      <c r="BS394" s="23">
        <f>$L394*AL394</f>
        <v>0</v>
      </c>
      <c r="BT394" s="23">
        <f>$L394*AM394</f>
        <v>0</v>
      </c>
      <c r="BU394" s="23">
        <f>$L394*AN394</f>
        <v>0</v>
      </c>
      <c r="BV394" s="23">
        <f>$L394*AO394</f>
        <v>0</v>
      </c>
      <c r="BW394" s="23">
        <f>$L394*AP394</f>
        <v>0</v>
      </c>
      <c r="BX394" s="23">
        <f>$L394*AQ394</f>
        <v>0</v>
      </c>
      <c r="BY394" s="23">
        <f>$L394*AR394</f>
        <v>0</v>
      </c>
      <c r="BZ394" s="23">
        <f>$L394*AS394</f>
        <v>0</v>
      </c>
      <c r="CA394" s="23">
        <f>$L394*AT394</f>
        <v>0</v>
      </c>
      <c r="CB394" s="23">
        <f>$L394*AU394</f>
        <v>0</v>
      </c>
      <c r="CC394" s="23">
        <f>$L394*AV394</f>
        <v>0</v>
      </c>
      <c r="CD394" s="23">
        <f>$L394*AW394</f>
        <v>0</v>
      </c>
      <c r="CE394" s="23">
        <f>$L394*AX394</f>
        <v>0</v>
      </c>
      <c r="CF394" s="23">
        <f>$L394*AY394</f>
        <v>0</v>
      </c>
      <c r="CG394" s="23">
        <f>$L394*AZ394</f>
        <v>0</v>
      </c>
      <c r="CH394" s="23">
        <f>$L394*BA394</f>
        <v>0</v>
      </c>
      <c r="CI394" s="23">
        <f>$L394*BB394</f>
        <v>0</v>
      </c>
      <c r="CJ394" s="23">
        <f>$L394*BC394</f>
        <v>0</v>
      </c>
      <c r="CK394" s="23">
        <f>$L394*BD394</f>
        <v>0</v>
      </c>
      <c r="CL394" s="23">
        <f>$L394*BE394</f>
        <v>0</v>
      </c>
      <c r="CM394" s="23">
        <f>$L394*BF394</f>
        <v>0</v>
      </c>
      <c r="CN394" s="23">
        <f>$L394*BG394</f>
        <v>1</v>
      </c>
      <c r="CO394" s="23">
        <f>$L394*BH394</f>
        <v>1</v>
      </c>
      <c r="CP394" s="23">
        <f>$L394*BI394</f>
        <v>1</v>
      </c>
      <c r="CQ394" s="23">
        <f>$L394*BJ394</f>
        <v>1</v>
      </c>
      <c r="CR394" s="23">
        <f>$L394*BK394</f>
        <v>1</v>
      </c>
      <c r="CS394" s="23">
        <f>$L394*BL394</f>
        <v>1</v>
      </c>
      <c r="CT394" s="23">
        <f>$L394*BM394</f>
        <v>1</v>
      </c>
      <c r="CU394" s="23">
        <f>$L394*BN394</f>
        <v>1</v>
      </c>
      <c r="CV394" s="23">
        <f>$L394*BO394</f>
        <v>1</v>
      </c>
    </row>
    <row r="395" spans="1:100" ht="13.5" x14ac:dyDescent="0.15">
      <c r="A395" s="15">
        <v>280</v>
      </c>
      <c r="B395" s="28" t="s">
        <v>778</v>
      </c>
      <c r="C395" t="s">
        <v>414</v>
      </c>
      <c r="E395" t="s">
        <v>140</v>
      </c>
      <c r="F395" t="s">
        <v>415</v>
      </c>
      <c r="G395" t="s">
        <v>140</v>
      </c>
      <c r="H395" t="s">
        <v>141</v>
      </c>
      <c r="I395" s="6" t="s">
        <v>136</v>
      </c>
      <c r="J395" s="6">
        <v>0</v>
      </c>
      <c r="L395" s="15">
        <v>1</v>
      </c>
      <c r="M395" s="7">
        <v>45803</v>
      </c>
      <c r="N395" s="7">
        <v>46189</v>
      </c>
      <c r="O395" s="7">
        <v>46181</v>
      </c>
      <c r="P395" s="7">
        <v>46182</v>
      </c>
      <c r="S395" s="6" t="s">
        <v>140</v>
      </c>
      <c r="U395" s="6" t="s">
        <v>413</v>
      </c>
      <c r="V395" s="6" t="str">
        <f>TEXT(N395,"YY/MM")</f>
        <v>26/06</v>
      </c>
      <c r="W395">
        <v>1767</v>
      </c>
      <c r="AA395">
        <v>1121</v>
      </c>
      <c r="AC395">
        <v>1174</v>
      </c>
      <c r="AI395" s="23">
        <v>0</v>
      </c>
      <c r="AJ395" s="23">
        <v>0</v>
      </c>
      <c r="AK395" s="23">
        <v>0</v>
      </c>
      <c r="AL395" s="23">
        <v>0</v>
      </c>
      <c r="AM395" s="23">
        <v>0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1</v>
      </c>
      <c r="BH395" s="23">
        <v>1</v>
      </c>
      <c r="BI395" s="23">
        <v>1</v>
      </c>
      <c r="BJ395" s="23">
        <v>1</v>
      </c>
      <c r="BK395" s="23">
        <v>1</v>
      </c>
      <c r="BL395" s="23">
        <v>1</v>
      </c>
      <c r="BM395" s="23">
        <v>1</v>
      </c>
      <c r="BN395" s="23">
        <v>1</v>
      </c>
      <c r="BO395" s="23">
        <v>1</v>
      </c>
      <c r="BP395" s="23">
        <f>$L395*AI395</f>
        <v>0</v>
      </c>
      <c r="BQ395" s="23">
        <f>$L395*AJ395</f>
        <v>0</v>
      </c>
      <c r="BR395" s="23">
        <f>$L395*AK395</f>
        <v>0</v>
      </c>
      <c r="BS395" s="23">
        <f>$L395*AL395</f>
        <v>0</v>
      </c>
      <c r="BT395" s="23">
        <f>$L395*AM395</f>
        <v>0</v>
      </c>
      <c r="BU395" s="23">
        <f>$L395*AN395</f>
        <v>0</v>
      </c>
      <c r="BV395" s="23">
        <f>$L395*AO395</f>
        <v>0</v>
      </c>
      <c r="BW395" s="23">
        <f>$L395*AP395</f>
        <v>0</v>
      </c>
      <c r="BX395" s="23">
        <f>$L395*AQ395</f>
        <v>0</v>
      </c>
      <c r="BY395" s="23">
        <f>$L395*AR395</f>
        <v>0</v>
      </c>
      <c r="BZ395" s="23">
        <f>$L395*AS395</f>
        <v>0</v>
      </c>
      <c r="CA395" s="23">
        <f>$L395*AT395</f>
        <v>0</v>
      </c>
      <c r="CB395" s="23">
        <f>$L395*AU395</f>
        <v>0</v>
      </c>
      <c r="CC395" s="23">
        <f>$L395*AV395</f>
        <v>0</v>
      </c>
      <c r="CD395" s="23">
        <f>$L395*AW395</f>
        <v>0</v>
      </c>
      <c r="CE395" s="23">
        <f>$L395*AX395</f>
        <v>0</v>
      </c>
      <c r="CF395" s="23">
        <f>$L395*AY395</f>
        <v>0</v>
      </c>
      <c r="CG395" s="23">
        <f>$L395*AZ395</f>
        <v>0</v>
      </c>
      <c r="CH395" s="23">
        <f>$L395*BA395</f>
        <v>0</v>
      </c>
      <c r="CI395" s="23">
        <f>$L395*BB395</f>
        <v>0</v>
      </c>
      <c r="CJ395" s="23">
        <f>$L395*BC395</f>
        <v>0</v>
      </c>
      <c r="CK395" s="23">
        <f>$L395*BD395</f>
        <v>0</v>
      </c>
      <c r="CL395" s="23">
        <f>$L395*BE395</f>
        <v>0</v>
      </c>
      <c r="CM395" s="23">
        <f>$L395*BF395</f>
        <v>0</v>
      </c>
      <c r="CN395" s="23">
        <f>$L395*BG395</f>
        <v>1</v>
      </c>
      <c r="CO395" s="23">
        <f>$L395*BH395</f>
        <v>1</v>
      </c>
      <c r="CP395" s="23">
        <f>$L395*BI395</f>
        <v>1</v>
      </c>
      <c r="CQ395" s="23">
        <f>$L395*BJ395</f>
        <v>1</v>
      </c>
      <c r="CR395" s="23">
        <f>$L395*BK395</f>
        <v>1</v>
      </c>
      <c r="CS395" s="23">
        <f>$L395*BL395</f>
        <v>1</v>
      </c>
      <c r="CT395" s="23">
        <f>$L395*BM395</f>
        <v>1</v>
      </c>
      <c r="CU395" s="23">
        <f>$L395*BN395</f>
        <v>1</v>
      </c>
      <c r="CV395" s="23">
        <f>$L395*BO395</f>
        <v>1</v>
      </c>
    </row>
    <row r="396" spans="1:100" ht="13.5" x14ac:dyDescent="0.15">
      <c r="A396" s="15">
        <v>280</v>
      </c>
      <c r="B396" s="28" t="s">
        <v>779</v>
      </c>
      <c r="C396" t="s">
        <v>414</v>
      </c>
      <c r="E396" t="s">
        <v>140</v>
      </c>
      <c r="F396" t="s">
        <v>415</v>
      </c>
      <c r="G396" t="s">
        <v>140</v>
      </c>
      <c r="H396" t="s">
        <v>141</v>
      </c>
      <c r="I396" s="6" t="s">
        <v>136</v>
      </c>
      <c r="J396" s="6">
        <v>0</v>
      </c>
      <c r="L396" s="15">
        <v>1</v>
      </c>
      <c r="M396" s="7">
        <v>45803</v>
      </c>
      <c r="N396" s="7">
        <v>46189</v>
      </c>
      <c r="O396" s="7">
        <v>46181</v>
      </c>
      <c r="P396" s="7">
        <v>46182</v>
      </c>
      <c r="S396" s="6" t="s">
        <v>140</v>
      </c>
      <c r="U396" s="6" t="s">
        <v>413</v>
      </c>
      <c r="V396" s="6" t="str">
        <f>TEXT(N396,"YY/MM")</f>
        <v>26/06</v>
      </c>
      <c r="W396">
        <v>1768</v>
      </c>
      <c r="AA396">
        <v>1122</v>
      </c>
      <c r="AC396">
        <v>1175</v>
      </c>
      <c r="AI396" s="23">
        <v>0</v>
      </c>
      <c r="AJ396" s="23">
        <v>0</v>
      </c>
      <c r="AK396" s="23">
        <v>0</v>
      </c>
      <c r="AL396" s="23">
        <v>0</v>
      </c>
      <c r="AM396" s="23">
        <v>0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1</v>
      </c>
      <c r="BH396" s="23">
        <v>1</v>
      </c>
      <c r="BI396" s="23">
        <v>1</v>
      </c>
      <c r="BJ396" s="23">
        <v>1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  <c r="BP396" s="23">
        <f>$L396*AI396</f>
        <v>0</v>
      </c>
      <c r="BQ396" s="23">
        <f>$L396*AJ396</f>
        <v>0</v>
      </c>
      <c r="BR396" s="23">
        <f>$L396*AK396</f>
        <v>0</v>
      </c>
      <c r="BS396" s="23">
        <f>$L396*AL396</f>
        <v>0</v>
      </c>
      <c r="BT396" s="23">
        <f>$L396*AM396</f>
        <v>0</v>
      </c>
      <c r="BU396" s="23">
        <f>$L396*AN396</f>
        <v>0</v>
      </c>
      <c r="BV396" s="23">
        <f>$L396*AO396</f>
        <v>0</v>
      </c>
      <c r="BW396" s="23">
        <f>$L396*AP396</f>
        <v>0</v>
      </c>
      <c r="BX396" s="23">
        <f>$L396*AQ396</f>
        <v>0</v>
      </c>
      <c r="BY396" s="23">
        <f>$L396*AR396</f>
        <v>0</v>
      </c>
      <c r="BZ396" s="23">
        <f>$L396*AS396</f>
        <v>0</v>
      </c>
      <c r="CA396" s="23">
        <f>$L396*AT396</f>
        <v>0</v>
      </c>
      <c r="CB396" s="23">
        <f>$L396*AU396</f>
        <v>0</v>
      </c>
      <c r="CC396" s="23">
        <f>$L396*AV396</f>
        <v>0</v>
      </c>
      <c r="CD396" s="23">
        <f>$L396*AW396</f>
        <v>0</v>
      </c>
      <c r="CE396" s="23">
        <f>$L396*AX396</f>
        <v>0</v>
      </c>
      <c r="CF396" s="23">
        <f>$L396*AY396</f>
        <v>0</v>
      </c>
      <c r="CG396" s="23">
        <f>$L396*AZ396</f>
        <v>0</v>
      </c>
      <c r="CH396" s="23">
        <f>$L396*BA396</f>
        <v>0</v>
      </c>
      <c r="CI396" s="23">
        <f>$L396*BB396</f>
        <v>0</v>
      </c>
      <c r="CJ396" s="23">
        <f>$L396*BC396</f>
        <v>0</v>
      </c>
      <c r="CK396" s="23">
        <f>$L396*BD396</f>
        <v>0</v>
      </c>
      <c r="CL396" s="23">
        <f>$L396*BE396</f>
        <v>0</v>
      </c>
      <c r="CM396" s="23">
        <f>$L396*BF396</f>
        <v>0</v>
      </c>
      <c r="CN396" s="23">
        <f>$L396*BG396</f>
        <v>1</v>
      </c>
      <c r="CO396" s="23">
        <f>$L396*BH396</f>
        <v>1</v>
      </c>
      <c r="CP396" s="23">
        <f>$L396*BI396</f>
        <v>1</v>
      </c>
      <c r="CQ396" s="23">
        <f>$L396*BJ396</f>
        <v>1</v>
      </c>
      <c r="CR396" s="23">
        <f>$L396*BK396</f>
        <v>1</v>
      </c>
      <c r="CS396" s="23">
        <f>$L396*BL396</f>
        <v>1</v>
      </c>
      <c r="CT396" s="23">
        <f>$L396*BM396</f>
        <v>1</v>
      </c>
      <c r="CU396" s="23">
        <f>$L396*BN396</f>
        <v>1</v>
      </c>
      <c r="CV396" s="23">
        <f>$L396*BO396</f>
        <v>1</v>
      </c>
    </row>
    <row r="397" spans="1:100" ht="13.5" x14ac:dyDescent="0.15">
      <c r="A397" s="15">
        <v>306</v>
      </c>
      <c r="B397" s="28" t="s">
        <v>780</v>
      </c>
      <c r="C397" t="s">
        <v>414</v>
      </c>
      <c r="E397" t="s">
        <v>140</v>
      </c>
      <c r="F397" t="s">
        <v>415</v>
      </c>
      <c r="G397" t="s">
        <v>140</v>
      </c>
      <c r="H397" t="s">
        <v>141</v>
      </c>
      <c r="I397" s="6" t="s">
        <v>136</v>
      </c>
      <c r="J397" s="6">
        <v>0</v>
      </c>
      <c r="L397" s="15">
        <v>1</v>
      </c>
      <c r="M397" s="7">
        <v>45803</v>
      </c>
      <c r="N397" s="7">
        <v>46190</v>
      </c>
      <c r="O397" s="7">
        <v>46188</v>
      </c>
      <c r="P397" s="7">
        <v>46189</v>
      </c>
      <c r="S397" s="6" t="s">
        <v>140</v>
      </c>
      <c r="U397" s="6" t="s">
        <v>413</v>
      </c>
      <c r="V397" s="6" t="str">
        <f>TEXT(N397,"YY/MM")</f>
        <v>26/06</v>
      </c>
      <c r="W397">
        <v>1769</v>
      </c>
      <c r="AA397">
        <v>1123</v>
      </c>
      <c r="AC397">
        <v>1176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1</v>
      </c>
      <c r="BH397" s="23">
        <v>1</v>
      </c>
      <c r="BI397" s="23">
        <v>1</v>
      </c>
      <c r="BJ397" s="23">
        <v>1</v>
      </c>
      <c r="BK397" s="23">
        <v>1</v>
      </c>
      <c r="BL397" s="23">
        <v>1</v>
      </c>
      <c r="BM397" s="23">
        <v>1</v>
      </c>
      <c r="BN397" s="23">
        <v>1</v>
      </c>
      <c r="BO397" s="23">
        <v>1</v>
      </c>
      <c r="BP397" s="23">
        <f>$L397*AI397</f>
        <v>0</v>
      </c>
      <c r="BQ397" s="23">
        <f>$L397*AJ397</f>
        <v>0</v>
      </c>
      <c r="BR397" s="23">
        <f>$L397*AK397</f>
        <v>0</v>
      </c>
      <c r="BS397" s="23">
        <f>$L397*AL397</f>
        <v>0</v>
      </c>
      <c r="BT397" s="23">
        <f>$L397*AM397</f>
        <v>0</v>
      </c>
      <c r="BU397" s="23">
        <f>$L397*AN397</f>
        <v>0</v>
      </c>
      <c r="BV397" s="23">
        <f>$L397*AO397</f>
        <v>0</v>
      </c>
      <c r="BW397" s="23">
        <f>$L397*AP397</f>
        <v>0</v>
      </c>
      <c r="BX397" s="23">
        <f>$L397*AQ397</f>
        <v>0</v>
      </c>
      <c r="BY397" s="23">
        <f>$L397*AR397</f>
        <v>0</v>
      </c>
      <c r="BZ397" s="23">
        <f>$L397*AS397</f>
        <v>0</v>
      </c>
      <c r="CA397" s="23">
        <f>$L397*AT397</f>
        <v>0</v>
      </c>
      <c r="CB397" s="23">
        <f>$L397*AU397</f>
        <v>0</v>
      </c>
      <c r="CC397" s="23">
        <f>$L397*AV397</f>
        <v>0</v>
      </c>
      <c r="CD397" s="23">
        <f>$L397*AW397</f>
        <v>0</v>
      </c>
      <c r="CE397" s="23">
        <f>$L397*AX397</f>
        <v>0</v>
      </c>
      <c r="CF397" s="23">
        <f>$L397*AY397</f>
        <v>0</v>
      </c>
      <c r="CG397" s="23">
        <f>$L397*AZ397</f>
        <v>0</v>
      </c>
      <c r="CH397" s="23">
        <f>$L397*BA397</f>
        <v>0</v>
      </c>
      <c r="CI397" s="23">
        <f>$L397*BB397</f>
        <v>0</v>
      </c>
      <c r="CJ397" s="23">
        <f>$L397*BC397</f>
        <v>0</v>
      </c>
      <c r="CK397" s="23">
        <f>$L397*BD397</f>
        <v>0</v>
      </c>
      <c r="CL397" s="23">
        <f>$L397*BE397</f>
        <v>0</v>
      </c>
      <c r="CM397" s="23">
        <f>$L397*BF397</f>
        <v>0</v>
      </c>
      <c r="CN397" s="23">
        <f>$L397*BG397</f>
        <v>1</v>
      </c>
      <c r="CO397" s="23">
        <f>$L397*BH397</f>
        <v>1</v>
      </c>
      <c r="CP397" s="23">
        <f>$L397*BI397</f>
        <v>1</v>
      </c>
      <c r="CQ397" s="23">
        <f>$L397*BJ397</f>
        <v>1</v>
      </c>
      <c r="CR397" s="23">
        <f>$L397*BK397</f>
        <v>1</v>
      </c>
      <c r="CS397" s="23">
        <f>$L397*BL397</f>
        <v>1</v>
      </c>
      <c r="CT397" s="23">
        <f>$L397*BM397</f>
        <v>1</v>
      </c>
      <c r="CU397" s="23">
        <f>$L397*BN397</f>
        <v>1</v>
      </c>
      <c r="CV397" s="23">
        <f>$L397*BO397</f>
        <v>1</v>
      </c>
    </row>
    <row r="398" spans="1:100" ht="13.5" x14ac:dyDescent="0.15">
      <c r="A398" s="15">
        <v>306</v>
      </c>
      <c r="B398" s="28" t="s">
        <v>781</v>
      </c>
      <c r="C398" t="s">
        <v>414</v>
      </c>
      <c r="E398" t="s">
        <v>140</v>
      </c>
      <c r="F398" t="s">
        <v>415</v>
      </c>
      <c r="G398" t="s">
        <v>140</v>
      </c>
      <c r="H398" t="s">
        <v>141</v>
      </c>
      <c r="I398" s="6" t="s">
        <v>136</v>
      </c>
      <c r="J398" s="6">
        <v>0</v>
      </c>
      <c r="L398" s="15">
        <v>1</v>
      </c>
      <c r="M398" s="7">
        <v>45803</v>
      </c>
      <c r="N398" s="7">
        <v>46190</v>
      </c>
      <c r="O398" s="7">
        <v>46188</v>
      </c>
      <c r="P398" s="7">
        <v>46189</v>
      </c>
      <c r="S398" s="6" t="s">
        <v>140</v>
      </c>
      <c r="U398" s="6" t="s">
        <v>413</v>
      </c>
      <c r="V398" s="6" t="str">
        <f>TEXT(N398,"YY/MM")</f>
        <v>26/06</v>
      </c>
      <c r="W398">
        <v>1770</v>
      </c>
      <c r="AA398">
        <v>1124</v>
      </c>
      <c r="AC398">
        <v>1177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1</v>
      </c>
      <c r="BH398" s="23">
        <v>1</v>
      </c>
      <c r="BI398" s="23">
        <v>1</v>
      </c>
      <c r="BJ398" s="23">
        <v>1</v>
      </c>
      <c r="BK398" s="23">
        <v>1</v>
      </c>
      <c r="BL398" s="23">
        <v>1</v>
      </c>
      <c r="BM398" s="23">
        <v>1</v>
      </c>
      <c r="BN398" s="23">
        <v>1</v>
      </c>
      <c r="BO398" s="23">
        <v>1</v>
      </c>
      <c r="BP398" s="23">
        <f>$L398*AI398</f>
        <v>0</v>
      </c>
      <c r="BQ398" s="23">
        <f>$L398*AJ398</f>
        <v>0</v>
      </c>
      <c r="BR398" s="23">
        <f>$L398*AK398</f>
        <v>0</v>
      </c>
      <c r="BS398" s="23">
        <f>$L398*AL398</f>
        <v>0</v>
      </c>
      <c r="BT398" s="23">
        <f>$L398*AM398</f>
        <v>0</v>
      </c>
      <c r="BU398" s="23">
        <f>$L398*AN398</f>
        <v>0</v>
      </c>
      <c r="BV398" s="23">
        <f>$L398*AO398</f>
        <v>0</v>
      </c>
      <c r="BW398" s="23">
        <f>$L398*AP398</f>
        <v>0</v>
      </c>
      <c r="BX398" s="23">
        <f>$L398*AQ398</f>
        <v>0</v>
      </c>
      <c r="BY398" s="23">
        <f>$L398*AR398</f>
        <v>0</v>
      </c>
      <c r="BZ398" s="23">
        <f>$L398*AS398</f>
        <v>0</v>
      </c>
      <c r="CA398" s="23">
        <f>$L398*AT398</f>
        <v>0</v>
      </c>
      <c r="CB398" s="23">
        <f>$L398*AU398</f>
        <v>0</v>
      </c>
      <c r="CC398" s="23">
        <f>$L398*AV398</f>
        <v>0</v>
      </c>
      <c r="CD398" s="23">
        <f>$L398*AW398</f>
        <v>0</v>
      </c>
      <c r="CE398" s="23">
        <f>$L398*AX398</f>
        <v>0</v>
      </c>
      <c r="CF398" s="23">
        <f>$L398*AY398</f>
        <v>0</v>
      </c>
      <c r="CG398" s="23">
        <f>$L398*AZ398</f>
        <v>0</v>
      </c>
      <c r="CH398" s="23">
        <f>$L398*BA398</f>
        <v>0</v>
      </c>
      <c r="CI398" s="23">
        <f>$L398*BB398</f>
        <v>0</v>
      </c>
      <c r="CJ398" s="23">
        <f>$L398*BC398</f>
        <v>0</v>
      </c>
      <c r="CK398" s="23">
        <f>$L398*BD398</f>
        <v>0</v>
      </c>
      <c r="CL398" s="23">
        <f>$L398*BE398</f>
        <v>0</v>
      </c>
      <c r="CM398" s="23">
        <f>$L398*BF398</f>
        <v>0</v>
      </c>
      <c r="CN398" s="23">
        <f>$L398*BG398</f>
        <v>1</v>
      </c>
      <c r="CO398" s="23">
        <f>$L398*BH398</f>
        <v>1</v>
      </c>
      <c r="CP398" s="23">
        <f>$L398*BI398</f>
        <v>1</v>
      </c>
      <c r="CQ398" s="23">
        <f>$L398*BJ398</f>
        <v>1</v>
      </c>
      <c r="CR398" s="23">
        <f>$L398*BK398</f>
        <v>1</v>
      </c>
      <c r="CS398" s="23">
        <f>$L398*BL398</f>
        <v>1</v>
      </c>
      <c r="CT398" s="23">
        <f>$L398*BM398</f>
        <v>1</v>
      </c>
      <c r="CU398" s="23">
        <f>$L398*BN398</f>
        <v>1</v>
      </c>
      <c r="CV398" s="23">
        <f>$L398*BO398</f>
        <v>1</v>
      </c>
    </row>
    <row r="399" spans="1:100" ht="13.5" x14ac:dyDescent="0.15">
      <c r="A399" s="15">
        <v>306</v>
      </c>
      <c r="B399" s="28" t="s">
        <v>782</v>
      </c>
      <c r="C399" t="s">
        <v>414</v>
      </c>
      <c r="E399" t="s">
        <v>140</v>
      </c>
      <c r="F399" t="s">
        <v>415</v>
      </c>
      <c r="G399" t="s">
        <v>140</v>
      </c>
      <c r="H399" t="s">
        <v>141</v>
      </c>
      <c r="I399" s="6" t="s">
        <v>136</v>
      </c>
      <c r="J399" s="6">
        <v>0</v>
      </c>
      <c r="L399" s="15">
        <v>1</v>
      </c>
      <c r="M399" s="7">
        <v>45803</v>
      </c>
      <c r="N399" s="7">
        <v>46190</v>
      </c>
      <c r="O399" s="7">
        <v>46188</v>
      </c>
      <c r="P399" s="7">
        <v>46189</v>
      </c>
      <c r="S399" s="6" t="s">
        <v>140</v>
      </c>
      <c r="U399" s="6" t="s">
        <v>413</v>
      </c>
      <c r="V399" s="6" t="str">
        <f>TEXT(N399,"YY/MM")</f>
        <v>26/06</v>
      </c>
      <c r="W399">
        <v>1771</v>
      </c>
      <c r="AA399">
        <v>1125</v>
      </c>
      <c r="AC399">
        <v>1178</v>
      </c>
      <c r="AI399" s="23">
        <v>0</v>
      </c>
      <c r="AJ399" s="23">
        <v>0</v>
      </c>
      <c r="AK399" s="23">
        <v>0</v>
      </c>
      <c r="AL399" s="23">
        <v>0</v>
      </c>
      <c r="AM399" s="23">
        <v>0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  <c r="BP399" s="23">
        <f>$L399*AI399</f>
        <v>0</v>
      </c>
      <c r="BQ399" s="23">
        <f>$L399*AJ399</f>
        <v>0</v>
      </c>
      <c r="BR399" s="23">
        <f>$L399*AK399</f>
        <v>0</v>
      </c>
      <c r="BS399" s="23">
        <f>$L399*AL399</f>
        <v>0</v>
      </c>
      <c r="BT399" s="23">
        <f>$L399*AM399</f>
        <v>0</v>
      </c>
      <c r="BU399" s="23">
        <f>$L399*AN399</f>
        <v>0</v>
      </c>
      <c r="BV399" s="23">
        <f>$L399*AO399</f>
        <v>0</v>
      </c>
      <c r="BW399" s="23">
        <f>$L399*AP399</f>
        <v>0</v>
      </c>
      <c r="BX399" s="23">
        <f>$L399*AQ399</f>
        <v>0</v>
      </c>
      <c r="BY399" s="23">
        <f>$L399*AR399</f>
        <v>0</v>
      </c>
      <c r="BZ399" s="23">
        <f>$L399*AS399</f>
        <v>0</v>
      </c>
      <c r="CA399" s="23">
        <f>$L399*AT399</f>
        <v>0</v>
      </c>
      <c r="CB399" s="23">
        <f>$L399*AU399</f>
        <v>0</v>
      </c>
      <c r="CC399" s="23">
        <f>$L399*AV399</f>
        <v>0</v>
      </c>
      <c r="CD399" s="23">
        <f>$L399*AW399</f>
        <v>0</v>
      </c>
      <c r="CE399" s="23">
        <f>$L399*AX399</f>
        <v>0</v>
      </c>
      <c r="CF399" s="23">
        <f>$L399*AY399</f>
        <v>0</v>
      </c>
      <c r="CG399" s="23">
        <f>$L399*AZ399</f>
        <v>0</v>
      </c>
      <c r="CH399" s="23">
        <f>$L399*BA399</f>
        <v>0</v>
      </c>
      <c r="CI399" s="23">
        <f>$L399*BB399</f>
        <v>0</v>
      </c>
      <c r="CJ399" s="23">
        <f>$L399*BC399</f>
        <v>0</v>
      </c>
      <c r="CK399" s="23">
        <f>$L399*BD399</f>
        <v>0</v>
      </c>
      <c r="CL399" s="23">
        <f>$L399*BE399</f>
        <v>0</v>
      </c>
      <c r="CM399" s="23">
        <f>$L399*BF399</f>
        <v>0</v>
      </c>
      <c r="CN399" s="23">
        <f>$L399*BG399</f>
        <v>1</v>
      </c>
      <c r="CO399" s="23">
        <f>$L399*BH399</f>
        <v>1</v>
      </c>
      <c r="CP399" s="23">
        <f>$L399*BI399</f>
        <v>1</v>
      </c>
      <c r="CQ399" s="23">
        <f>$L399*BJ399</f>
        <v>1</v>
      </c>
      <c r="CR399" s="23">
        <f>$L399*BK399</f>
        <v>1</v>
      </c>
      <c r="CS399" s="23">
        <f>$L399*BL399</f>
        <v>1</v>
      </c>
      <c r="CT399" s="23">
        <f>$L399*BM399</f>
        <v>1</v>
      </c>
      <c r="CU399" s="23">
        <f>$L399*BN399</f>
        <v>1</v>
      </c>
      <c r="CV399" s="23">
        <f>$L399*BO399</f>
        <v>1</v>
      </c>
    </row>
    <row r="400" spans="1:100" ht="13.5" x14ac:dyDescent="0.15">
      <c r="A400" s="15">
        <v>306</v>
      </c>
      <c r="B400" s="28" t="s">
        <v>783</v>
      </c>
      <c r="C400" t="s">
        <v>414</v>
      </c>
      <c r="E400" t="s">
        <v>140</v>
      </c>
      <c r="F400" t="s">
        <v>415</v>
      </c>
      <c r="G400" t="s">
        <v>140</v>
      </c>
      <c r="H400" t="s">
        <v>141</v>
      </c>
      <c r="I400" s="6" t="s">
        <v>136</v>
      </c>
      <c r="J400" s="6">
        <v>0</v>
      </c>
      <c r="L400" s="15">
        <v>1</v>
      </c>
      <c r="M400" s="7">
        <v>45803</v>
      </c>
      <c r="N400" s="7">
        <v>46190</v>
      </c>
      <c r="O400" s="7">
        <v>46188</v>
      </c>
      <c r="P400" s="7">
        <v>46189</v>
      </c>
      <c r="S400" s="6" t="s">
        <v>140</v>
      </c>
      <c r="U400" s="6" t="s">
        <v>413</v>
      </c>
      <c r="V400" s="6" t="str">
        <f>TEXT(N400,"YY/MM")</f>
        <v>26/06</v>
      </c>
      <c r="W400">
        <v>1772</v>
      </c>
      <c r="AA400">
        <v>1126</v>
      </c>
      <c r="AC400">
        <v>1179</v>
      </c>
      <c r="AI400" s="23">
        <v>0</v>
      </c>
      <c r="AJ400" s="23">
        <v>0</v>
      </c>
      <c r="AK400" s="23">
        <v>0</v>
      </c>
      <c r="AL400" s="23">
        <v>0</v>
      </c>
      <c r="AM400" s="23">
        <v>0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1</v>
      </c>
      <c r="BH400" s="23">
        <v>1</v>
      </c>
      <c r="BI400" s="23">
        <v>1</v>
      </c>
      <c r="BJ400" s="23">
        <v>1</v>
      </c>
      <c r="BK400" s="23">
        <v>1</v>
      </c>
      <c r="BL400" s="23">
        <v>1</v>
      </c>
      <c r="BM400" s="23">
        <v>1</v>
      </c>
      <c r="BN400" s="23">
        <v>1</v>
      </c>
      <c r="BO400" s="23">
        <v>1</v>
      </c>
      <c r="BP400" s="23">
        <f>$L400*AI400</f>
        <v>0</v>
      </c>
      <c r="BQ400" s="23">
        <f>$L400*AJ400</f>
        <v>0</v>
      </c>
      <c r="BR400" s="23">
        <f>$L400*AK400</f>
        <v>0</v>
      </c>
      <c r="BS400" s="23">
        <f>$L400*AL400</f>
        <v>0</v>
      </c>
      <c r="BT400" s="23">
        <f>$L400*AM400</f>
        <v>0</v>
      </c>
      <c r="BU400" s="23">
        <f>$L400*AN400</f>
        <v>0</v>
      </c>
      <c r="BV400" s="23">
        <f>$L400*AO400</f>
        <v>0</v>
      </c>
      <c r="BW400" s="23">
        <f>$L400*AP400</f>
        <v>0</v>
      </c>
      <c r="BX400" s="23">
        <f>$L400*AQ400</f>
        <v>0</v>
      </c>
      <c r="BY400" s="23">
        <f>$L400*AR400</f>
        <v>0</v>
      </c>
      <c r="BZ400" s="23">
        <f>$L400*AS400</f>
        <v>0</v>
      </c>
      <c r="CA400" s="23">
        <f>$L400*AT400</f>
        <v>0</v>
      </c>
      <c r="CB400" s="23">
        <f>$L400*AU400</f>
        <v>0</v>
      </c>
      <c r="CC400" s="23">
        <f>$L400*AV400</f>
        <v>0</v>
      </c>
      <c r="CD400" s="23">
        <f>$L400*AW400</f>
        <v>0</v>
      </c>
      <c r="CE400" s="23">
        <f>$L400*AX400</f>
        <v>0</v>
      </c>
      <c r="CF400" s="23">
        <f>$L400*AY400</f>
        <v>0</v>
      </c>
      <c r="CG400" s="23">
        <f>$L400*AZ400</f>
        <v>0</v>
      </c>
      <c r="CH400" s="23">
        <f>$L400*BA400</f>
        <v>0</v>
      </c>
      <c r="CI400" s="23">
        <f>$L400*BB400</f>
        <v>0</v>
      </c>
      <c r="CJ400" s="23">
        <f>$L400*BC400</f>
        <v>0</v>
      </c>
      <c r="CK400" s="23">
        <f>$L400*BD400</f>
        <v>0</v>
      </c>
      <c r="CL400" s="23">
        <f>$L400*BE400</f>
        <v>0</v>
      </c>
      <c r="CM400" s="23">
        <f>$L400*BF400</f>
        <v>0</v>
      </c>
      <c r="CN400" s="23">
        <f>$L400*BG400</f>
        <v>1</v>
      </c>
      <c r="CO400" s="23">
        <f>$L400*BH400</f>
        <v>1</v>
      </c>
      <c r="CP400" s="23">
        <f>$L400*BI400</f>
        <v>1</v>
      </c>
      <c r="CQ400" s="23">
        <f>$L400*BJ400</f>
        <v>1</v>
      </c>
      <c r="CR400" s="23">
        <f>$L400*BK400</f>
        <v>1</v>
      </c>
      <c r="CS400" s="23">
        <f>$L400*BL400</f>
        <v>1</v>
      </c>
      <c r="CT400" s="23">
        <f>$L400*BM400</f>
        <v>1</v>
      </c>
      <c r="CU400" s="23">
        <f>$L400*BN400</f>
        <v>1</v>
      </c>
      <c r="CV400" s="23">
        <f>$L400*BO400</f>
        <v>1</v>
      </c>
    </row>
    <row r="401" spans="1:100" ht="13.5" x14ac:dyDescent="0.15">
      <c r="A401" s="15">
        <v>306</v>
      </c>
      <c r="B401" s="28" t="s">
        <v>784</v>
      </c>
      <c r="C401" t="s">
        <v>414</v>
      </c>
      <c r="E401" t="s">
        <v>140</v>
      </c>
      <c r="F401" t="s">
        <v>415</v>
      </c>
      <c r="G401" t="s">
        <v>140</v>
      </c>
      <c r="H401" t="s">
        <v>141</v>
      </c>
      <c r="I401" s="6" t="s">
        <v>136</v>
      </c>
      <c r="J401" s="6">
        <v>0</v>
      </c>
      <c r="L401" s="15">
        <v>1</v>
      </c>
      <c r="M401" s="7">
        <v>45803</v>
      </c>
      <c r="N401" s="7">
        <v>46190</v>
      </c>
      <c r="O401" s="7">
        <v>46188</v>
      </c>
      <c r="P401" s="7">
        <v>46189</v>
      </c>
      <c r="S401" s="6" t="s">
        <v>140</v>
      </c>
      <c r="U401" s="6" t="s">
        <v>413</v>
      </c>
      <c r="V401" s="6" t="str">
        <f>TEXT(N401,"YY/MM")</f>
        <v>26/06</v>
      </c>
      <c r="W401">
        <v>1773</v>
      </c>
      <c r="AA401">
        <v>1127</v>
      </c>
      <c r="AC401">
        <v>1180</v>
      </c>
      <c r="AI401" s="23">
        <v>0</v>
      </c>
      <c r="AJ401" s="23">
        <v>0</v>
      </c>
      <c r="AK401" s="23">
        <v>0</v>
      </c>
      <c r="AL401" s="23">
        <v>0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1</v>
      </c>
      <c r="BH401" s="23">
        <v>1</v>
      </c>
      <c r="BI401" s="23">
        <v>1</v>
      </c>
      <c r="BJ401" s="23">
        <v>1</v>
      </c>
      <c r="BK401" s="23">
        <v>1</v>
      </c>
      <c r="BL401" s="23">
        <v>1</v>
      </c>
      <c r="BM401" s="23">
        <v>1</v>
      </c>
      <c r="BN401" s="23">
        <v>1</v>
      </c>
      <c r="BO401" s="23">
        <v>1</v>
      </c>
      <c r="BP401" s="23">
        <f>$L401*AI401</f>
        <v>0</v>
      </c>
      <c r="BQ401" s="23">
        <f>$L401*AJ401</f>
        <v>0</v>
      </c>
      <c r="BR401" s="23">
        <f>$L401*AK401</f>
        <v>0</v>
      </c>
      <c r="BS401" s="23">
        <f>$L401*AL401</f>
        <v>0</v>
      </c>
      <c r="BT401" s="23">
        <f>$L401*AM401</f>
        <v>0</v>
      </c>
      <c r="BU401" s="23">
        <f>$L401*AN401</f>
        <v>0</v>
      </c>
      <c r="BV401" s="23">
        <f>$L401*AO401</f>
        <v>0</v>
      </c>
      <c r="BW401" s="23">
        <f>$L401*AP401</f>
        <v>0</v>
      </c>
      <c r="BX401" s="23">
        <f>$L401*AQ401</f>
        <v>0</v>
      </c>
      <c r="BY401" s="23">
        <f>$L401*AR401</f>
        <v>0</v>
      </c>
      <c r="BZ401" s="23">
        <f>$L401*AS401</f>
        <v>0</v>
      </c>
      <c r="CA401" s="23">
        <f>$L401*AT401</f>
        <v>0</v>
      </c>
      <c r="CB401" s="23">
        <f>$L401*AU401</f>
        <v>0</v>
      </c>
      <c r="CC401" s="23">
        <f>$L401*AV401</f>
        <v>0</v>
      </c>
      <c r="CD401" s="23">
        <f>$L401*AW401</f>
        <v>0</v>
      </c>
      <c r="CE401" s="23">
        <f>$L401*AX401</f>
        <v>0</v>
      </c>
      <c r="CF401" s="23">
        <f>$L401*AY401</f>
        <v>0</v>
      </c>
      <c r="CG401" s="23">
        <f>$L401*AZ401</f>
        <v>0</v>
      </c>
      <c r="CH401" s="23">
        <f>$L401*BA401</f>
        <v>0</v>
      </c>
      <c r="CI401" s="23">
        <f>$L401*BB401</f>
        <v>0</v>
      </c>
      <c r="CJ401" s="23">
        <f>$L401*BC401</f>
        <v>0</v>
      </c>
      <c r="CK401" s="23">
        <f>$L401*BD401</f>
        <v>0</v>
      </c>
      <c r="CL401" s="23">
        <f>$L401*BE401</f>
        <v>0</v>
      </c>
      <c r="CM401" s="23">
        <f>$L401*BF401</f>
        <v>0</v>
      </c>
      <c r="CN401" s="23">
        <f>$L401*BG401</f>
        <v>1</v>
      </c>
      <c r="CO401" s="23">
        <f>$L401*BH401</f>
        <v>1</v>
      </c>
      <c r="CP401" s="23">
        <f>$L401*BI401</f>
        <v>1</v>
      </c>
      <c r="CQ401" s="23">
        <f>$L401*BJ401</f>
        <v>1</v>
      </c>
      <c r="CR401" s="23">
        <f>$L401*BK401</f>
        <v>1</v>
      </c>
      <c r="CS401" s="23">
        <f>$L401*BL401</f>
        <v>1</v>
      </c>
      <c r="CT401" s="23">
        <f>$L401*BM401</f>
        <v>1</v>
      </c>
      <c r="CU401" s="23">
        <f>$L401*BN401</f>
        <v>1</v>
      </c>
      <c r="CV401" s="23">
        <f>$L401*BO401</f>
        <v>1</v>
      </c>
    </row>
    <row r="402" spans="1:100" ht="13.5" x14ac:dyDescent="0.15">
      <c r="A402" s="15">
        <v>306</v>
      </c>
      <c r="B402" s="28" t="s">
        <v>785</v>
      </c>
      <c r="C402" t="s">
        <v>414</v>
      </c>
      <c r="E402" t="s">
        <v>140</v>
      </c>
      <c r="F402" t="s">
        <v>415</v>
      </c>
      <c r="G402" t="s">
        <v>140</v>
      </c>
      <c r="H402" t="s">
        <v>141</v>
      </c>
      <c r="I402" s="6" t="s">
        <v>136</v>
      </c>
      <c r="J402" s="6">
        <v>0</v>
      </c>
      <c r="L402" s="15">
        <v>1</v>
      </c>
      <c r="M402" s="7">
        <v>45803</v>
      </c>
      <c r="N402" s="7">
        <v>46190</v>
      </c>
      <c r="O402" s="7">
        <v>46188</v>
      </c>
      <c r="P402" s="7">
        <v>46189</v>
      </c>
      <c r="S402" s="6" t="s">
        <v>140</v>
      </c>
      <c r="U402" s="6" t="s">
        <v>413</v>
      </c>
      <c r="V402" s="6" t="str">
        <f>TEXT(N402,"YY/MM")</f>
        <v>26/06</v>
      </c>
      <c r="W402">
        <v>1774</v>
      </c>
      <c r="AA402">
        <v>1128</v>
      </c>
      <c r="AC402">
        <v>1181</v>
      </c>
      <c r="AI402" s="23">
        <v>0</v>
      </c>
      <c r="AJ402" s="23">
        <v>0</v>
      </c>
      <c r="AK402" s="23">
        <v>0</v>
      </c>
      <c r="AL402" s="23">
        <v>0</v>
      </c>
      <c r="AM402" s="23">
        <v>0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1</v>
      </c>
      <c r="BH402" s="23">
        <v>1</v>
      </c>
      <c r="BI402" s="23">
        <v>1</v>
      </c>
      <c r="BJ402" s="23">
        <v>1</v>
      </c>
      <c r="BK402" s="23">
        <v>1</v>
      </c>
      <c r="BL402" s="23">
        <v>1</v>
      </c>
      <c r="BM402" s="23">
        <v>1</v>
      </c>
      <c r="BN402" s="23">
        <v>1</v>
      </c>
      <c r="BO402" s="23">
        <v>1</v>
      </c>
      <c r="BP402" s="23">
        <f>$L402*AI402</f>
        <v>0</v>
      </c>
      <c r="BQ402" s="23">
        <f>$L402*AJ402</f>
        <v>0</v>
      </c>
      <c r="BR402" s="23">
        <f>$L402*AK402</f>
        <v>0</v>
      </c>
      <c r="BS402" s="23">
        <f>$L402*AL402</f>
        <v>0</v>
      </c>
      <c r="BT402" s="23">
        <f>$L402*AM402</f>
        <v>0</v>
      </c>
      <c r="BU402" s="23">
        <f>$L402*AN402</f>
        <v>0</v>
      </c>
      <c r="BV402" s="23">
        <f>$L402*AO402</f>
        <v>0</v>
      </c>
      <c r="BW402" s="23">
        <f>$L402*AP402</f>
        <v>0</v>
      </c>
      <c r="BX402" s="23">
        <f>$L402*AQ402</f>
        <v>0</v>
      </c>
      <c r="BY402" s="23">
        <f>$L402*AR402</f>
        <v>0</v>
      </c>
      <c r="BZ402" s="23">
        <f>$L402*AS402</f>
        <v>0</v>
      </c>
      <c r="CA402" s="23">
        <f>$L402*AT402</f>
        <v>0</v>
      </c>
      <c r="CB402" s="23">
        <f>$L402*AU402</f>
        <v>0</v>
      </c>
      <c r="CC402" s="23">
        <f>$L402*AV402</f>
        <v>0</v>
      </c>
      <c r="CD402" s="23">
        <f>$L402*AW402</f>
        <v>0</v>
      </c>
      <c r="CE402" s="23">
        <f>$L402*AX402</f>
        <v>0</v>
      </c>
      <c r="CF402" s="23">
        <f>$L402*AY402</f>
        <v>0</v>
      </c>
      <c r="CG402" s="23">
        <f>$L402*AZ402</f>
        <v>0</v>
      </c>
      <c r="CH402" s="23">
        <f>$L402*BA402</f>
        <v>0</v>
      </c>
      <c r="CI402" s="23">
        <f>$L402*BB402</f>
        <v>0</v>
      </c>
      <c r="CJ402" s="23">
        <f>$L402*BC402</f>
        <v>0</v>
      </c>
      <c r="CK402" s="23">
        <f>$L402*BD402</f>
        <v>0</v>
      </c>
      <c r="CL402" s="23">
        <f>$L402*BE402</f>
        <v>0</v>
      </c>
      <c r="CM402" s="23">
        <f>$L402*BF402</f>
        <v>0</v>
      </c>
      <c r="CN402" s="23">
        <f>$L402*BG402</f>
        <v>1</v>
      </c>
      <c r="CO402" s="23">
        <f>$L402*BH402</f>
        <v>1</v>
      </c>
      <c r="CP402" s="23">
        <f>$L402*BI402</f>
        <v>1</v>
      </c>
      <c r="CQ402" s="23">
        <f>$L402*BJ402</f>
        <v>1</v>
      </c>
      <c r="CR402" s="23">
        <f>$L402*BK402</f>
        <v>1</v>
      </c>
      <c r="CS402" s="23">
        <f>$L402*BL402</f>
        <v>1</v>
      </c>
      <c r="CT402" s="23">
        <f>$L402*BM402</f>
        <v>1</v>
      </c>
      <c r="CU402" s="23">
        <f>$L402*BN402</f>
        <v>1</v>
      </c>
      <c r="CV402" s="23">
        <f>$L402*BO402</f>
        <v>1</v>
      </c>
    </row>
    <row r="403" spans="1:100" ht="13.5" x14ac:dyDescent="0.15">
      <c r="A403" s="15">
        <v>306</v>
      </c>
      <c r="B403" s="28" t="s">
        <v>786</v>
      </c>
      <c r="C403" t="s">
        <v>414</v>
      </c>
      <c r="E403" t="s">
        <v>140</v>
      </c>
      <c r="F403" t="s">
        <v>415</v>
      </c>
      <c r="G403" t="s">
        <v>140</v>
      </c>
      <c r="H403" t="s">
        <v>141</v>
      </c>
      <c r="I403" s="6" t="s">
        <v>136</v>
      </c>
      <c r="J403" s="6">
        <v>0</v>
      </c>
      <c r="L403" s="15">
        <v>1</v>
      </c>
      <c r="M403" s="7">
        <v>45803</v>
      </c>
      <c r="N403" s="7">
        <v>46191</v>
      </c>
      <c r="O403" s="7">
        <v>46188</v>
      </c>
      <c r="P403" s="7">
        <v>46189</v>
      </c>
      <c r="S403" s="6" t="s">
        <v>140</v>
      </c>
      <c r="U403" s="6" t="s">
        <v>413</v>
      </c>
      <c r="V403" s="6" t="str">
        <f>TEXT(N403,"YY/MM")</f>
        <v>26/06</v>
      </c>
      <c r="W403">
        <v>1775</v>
      </c>
      <c r="AA403">
        <v>1129</v>
      </c>
      <c r="AC403">
        <v>1182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1</v>
      </c>
      <c r="BH403" s="23">
        <v>1</v>
      </c>
      <c r="BI403" s="23">
        <v>1</v>
      </c>
      <c r="BJ403" s="23">
        <v>1</v>
      </c>
      <c r="BK403" s="23">
        <v>1</v>
      </c>
      <c r="BL403" s="23">
        <v>1</v>
      </c>
      <c r="BM403" s="23">
        <v>1</v>
      </c>
      <c r="BN403" s="23">
        <v>1</v>
      </c>
      <c r="BO403" s="23">
        <v>1</v>
      </c>
      <c r="BP403" s="23">
        <f>$L403*AI403</f>
        <v>0</v>
      </c>
      <c r="BQ403" s="23">
        <f>$L403*AJ403</f>
        <v>0</v>
      </c>
      <c r="BR403" s="23">
        <f>$L403*AK403</f>
        <v>0</v>
      </c>
      <c r="BS403" s="23">
        <f>$L403*AL403</f>
        <v>0</v>
      </c>
      <c r="BT403" s="23">
        <f>$L403*AM403</f>
        <v>0</v>
      </c>
      <c r="BU403" s="23">
        <f>$L403*AN403</f>
        <v>0</v>
      </c>
      <c r="BV403" s="23">
        <f>$L403*AO403</f>
        <v>0</v>
      </c>
      <c r="BW403" s="23">
        <f>$L403*AP403</f>
        <v>0</v>
      </c>
      <c r="BX403" s="23">
        <f>$L403*AQ403</f>
        <v>0</v>
      </c>
      <c r="BY403" s="23">
        <f>$L403*AR403</f>
        <v>0</v>
      </c>
      <c r="BZ403" s="23">
        <f>$L403*AS403</f>
        <v>0</v>
      </c>
      <c r="CA403" s="23">
        <f>$L403*AT403</f>
        <v>0</v>
      </c>
      <c r="CB403" s="23">
        <f>$L403*AU403</f>
        <v>0</v>
      </c>
      <c r="CC403" s="23">
        <f>$L403*AV403</f>
        <v>0</v>
      </c>
      <c r="CD403" s="23">
        <f>$L403*AW403</f>
        <v>0</v>
      </c>
      <c r="CE403" s="23">
        <f>$L403*AX403</f>
        <v>0</v>
      </c>
      <c r="CF403" s="23">
        <f>$L403*AY403</f>
        <v>0</v>
      </c>
      <c r="CG403" s="23">
        <f>$L403*AZ403</f>
        <v>0</v>
      </c>
      <c r="CH403" s="23">
        <f>$L403*BA403</f>
        <v>0</v>
      </c>
      <c r="CI403" s="23">
        <f>$L403*BB403</f>
        <v>0</v>
      </c>
      <c r="CJ403" s="23">
        <f>$L403*BC403</f>
        <v>0</v>
      </c>
      <c r="CK403" s="23">
        <f>$L403*BD403</f>
        <v>0</v>
      </c>
      <c r="CL403" s="23">
        <f>$L403*BE403</f>
        <v>0</v>
      </c>
      <c r="CM403" s="23">
        <f>$L403*BF403</f>
        <v>0</v>
      </c>
      <c r="CN403" s="23">
        <f>$L403*BG403</f>
        <v>1</v>
      </c>
      <c r="CO403" s="23">
        <f>$L403*BH403</f>
        <v>1</v>
      </c>
      <c r="CP403" s="23">
        <f>$L403*BI403</f>
        <v>1</v>
      </c>
      <c r="CQ403" s="23">
        <f>$L403*BJ403</f>
        <v>1</v>
      </c>
      <c r="CR403" s="23">
        <f>$L403*BK403</f>
        <v>1</v>
      </c>
      <c r="CS403" s="23">
        <f>$L403*BL403</f>
        <v>1</v>
      </c>
      <c r="CT403" s="23">
        <f>$L403*BM403</f>
        <v>1</v>
      </c>
      <c r="CU403" s="23">
        <f>$L403*BN403</f>
        <v>1</v>
      </c>
      <c r="CV403" s="23">
        <f>$L403*BO403</f>
        <v>1</v>
      </c>
    </row>
    <row r="404" spans="1:100" ht="13.5" x14ac:dyDescent="0.15">
      <c r="A404" s="15">
        <v>306</v>
      </c>
      <c r="B404" s="28" t="s">
        <v>787</v>
      </c>
      <c r="C404" t="s">
        <v>414</v>
      </c>
      <c r="E404" t="s">
        <v>140</v>
      </c>
      <c r="F404" t="s">
        <v>415</v>
      </c>
      <c r="G404" t="s">
        <v>140</v>
      </c>
      <c r="H404" t="s">
        <v>141</v>
      </c>
      <c r="I404" s="6" t="s">
        <v>136</v>
      </c>
      <c r="J404" s="6">
        <v>0</v>
      </c>
      <c r="L404" s="15">
        <v>1</v>
      </c>
      <c r="M404" s="7">
        <v>45803</v>
      </c>
      <c r="N404" s="7">
        <v>46191</v>
      </c>
      <c r="O404" s="7">
        <v>46188</v>
      </c>
      <c r="P404" s="7">
        <v>46189</v>
      </c>
      <c r="S404" s="6" t="s">
        <v>140</v>
      </c>
      <c r="U404" s="6" t="s">
        <v>413</v>
      </c>
      <c r="V404" s="6" t="str">
        <f>TEXT(N404,"YY/MM")</f>
        <v>26/06</v>
      </c>
      <c r="W404">
        <v>1776</v>
      </c>
      <c r="AA404">
        <v>1130</v>
      </c>
      <c r="AC404">
        <v>1183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1</v>
      </c>
      <c r="BM404" s="23">
        <v>1</v>
      </c>
      <c r="BN404" s="23">
        <v>1</v>
      </c>
      <c r="BO404" s="23">
        <v>1</v>
      </c>
      <c r="BP404" s="23">
        <f>$L404*AI404</f>
        <v>0</v>
      </c>
      <c r="BQ404" s="23">
        <f>$L404*AJ404</f>
        <v>0</v>
      </c>
      <c r="BR404" s="23">
        <f>$L404*AK404</f>
        <v>0</v>
      </c>
      <c r="BS404" s="23">
        <f>$L404*AL404</f>
        <v>0</v>
      </c>
      <c r="BT404" s="23">
        <f>$L404*AM404</f>
        <v>0</v>
      </c>
      <c r="BU404" s="23">
        <f>$L404*AN404</f>
        <v>0</v>
      </c>
      <c r="BV404" s="23">
        <f>$L404*AO404</f>
        <v>0</v>
      </c>
      <c r="BW404" s="23">
        <f>$L404*AP404</f>
        <v>0</v>
      </c>
      <c r="BX404" s="23">
        <f>$L404*AQ404</f>
        <v>0</v>
      </c>
      <c r="BY404" s="23">
        <f>$L404*AR404</f>
        <v>0</v>
      </c>
      <c r="BZ404" s="23">
        <f>$L404*AS404</f>
        <v>0</v>
      </c>
      <c r="CA404" s="23">
        <f>$L404*AT404</f>
        <v>0</v>
      </c>
      <c r="CB404" s="23">
        <f>$L404*AU404</f>
        <v>0</v>
      </c>
      <c r="CC404" s="23">
        <f>$L404*AV404</f>
        <v>0</v>
      </c>
      <c r="CD404" s="23">
        <f>$L404*AW404</f>
        <v>0</v>
      </c>
      <c r="CE404" s="23">
        <f>$L404*AX404</f>
        <v>0</v>
      </c>
      <c r="CF404" s="23">
        <f>$L404*AY404</f>
        <v>0</v>
      </c>
      <c r="CG404" s="23">
        <f>$L404*AZ404</f>
        <v>0</v>
      </c>
      <c r="CH404" s="23">
        <f>$L404*BA404</f>
        <v>0</v>
      </c>
      <c r="CI404" s="23">
        <f>$L404*BB404</f>
        <v>0</v>
      </c>
      <c r="CJ404" s="23">
        <f>$L404*BC404</f>
        <v>0</v>
      </c>
      <c r="CK404" s="23">
        <f>$L404*BD404</f>
        <v>0</v>
      </c>
      <c r="CL404" s="23">
        <f>$L404*BE404</f>
        <v>0</v>
      </c>
      <c r="CM404" s="23">
        <f>$L404*BF404</f>
        <v>0</v>
      </c>
      <c r="CN404" s="23">
        <f>$L404*BG404</f>
        <v>1</v>
      </c>
      <c r="CO404" s="23">
        <f>$L404*BH404</f>
        <v>1</v>
      </c>
      <c r="CP404" s="23">
        <f>$L404*BI404</f>
        <v>1</v>
      </c>
      <c r="CQ404" s="23">
        <f>$L404*BJ404</f>
        <v>1</v>
      </c>
      <c r="CR404" s="23">
        <f>$L404*BK404</f>
        <v>1</v>
      </c>
      <c r="CS404" s="23">
        <f>$L404*BL404</f>
        <v>1</v>
      </c>
      <c r="CT404" s="23">
        <f>$L404*BM404</f>
        <v>1</v>
      </c>
      <c r="CU404" s="23">
        <f>$L404*BN404</f>
        <v>1</v>
      </c>
      <c r="CV404" s="23">
        <f>$L404*BO404</f>
        <v>1</v>
      </c>
    </row>
    <row r="405" spans="1:100" ht="13.5" x14ac:dyDescent="0.15">
      <c r="A405" s="15">
        <v>306</v>
      </c>
      <c r="B405" s="28" t="s">
        <v>788</v>
      </c>
      <c r="C405" t="s">
        <v>414</v>
      </c>
      <c r="E405" t="s">
        <v>140</v>
      </c>
      <c r="F405" t="s">
        <v>415</v>
      </c>
      <c r="G405" t="s">
        <v>140</v>
      </c>
      <c r="H405" t="s">
        <v>141</v>
      </c>
      <c r="I405" s="6" t="s">
        <v>136</v>
      </c>
      <c r="J405" s="6">
        <v>0</v>
      </c>
      <c r="L405" s="15">
        <v>1</v>
      </c>
      <c r="M405" s="7">
        <v>45803</v>
      </c>
      <c r="N405" s="7">
        <v>46191</v>
      </c>
      <c r="O405" s="7">
        <v>46188</v>
      </c>
      <c r="P405" s="7">
        <v>46189</v>
      </c>
      <c r="S405" s="6" t="s">
        <v>140</v>
      </c>
      <c r="U405" s="6" t="s">
        <v>413</v>
      </c>
      <c r="V405" s="6" t="str">
        <f>TEXT(N405,"YY/MM")</f>
        <v>26/06</v>
      </c>
      <c r="W405">
        <v>1777</v>
      </c>
      <c r="AA405">
        <v>1131</v>
      </c>
      <c r="AC405">
        <v>1184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1</v>
      </c>
      <c r="BH405" s="23">
        <v>1</v>
      </c>
      <c r="BI405" s="23">
        <v>1</v>
      </c>
      <c r="BJ405" s="23">
        <v>1</v>
      </c>
      <c r="BK405" s="23">
        <v>1</v>
      </c>
      <c r="BL405" s="23">
        <v>1</v>
      </c>
      <c r="BM405" s="23">
        <v>1</v>
      </c>
      <c r="BN405" s="23">
        <v>1</v>
      </c>
      <c r="BO405" s="23">
        <v>1</v>
      </c>
      <c r="BP405" s="23">
        <f>$L405*AI405</f>
        <v>0</v>
      </c>
      <c r="BQ405" s="23">
        <f>$L405*AJ405</f>
        <v>0</v>
      </c>
      <c r="BR405" s="23">
        <f>$L405*AK405</f>
        <v>0</v>
      </c>
      <c r="BS405" s="23">
        <f>$L405*AL405</f>
        <v>0</v>
      </c>
      <c r="BT405" s="23">
        <f>$L405*AM405</f>
        <v>0</v>
      </c>
      <c r="BU405" s="23">
        <f>$L405*AN405</f>
        <v>0</v>
      </c>
      <c r="BV405" s="23">
        <f>$L405*AO405</f>
        <v>0</v>
      </c>
      <c r="BW405" s="23">
        <f>$L405*AP405</f>
        <v>0</v>
      </c>
      <c r="BX405" s="23">
        <f>$L405*AQ405</f>
        <v>0</v>
      </c>
      <c r="BY405" s="23">
        <f>$L405*AR405</f>
        <v>0</v>
      </c>
      <c r="BZ405" s="23">
        <f>$L405*AS405</f>
        <v>0</v>
      </c>
      <c r="CA405" s="23">
        <f>$L405*AT405</f>
        <v>0</v>
      </c>
      <c r="CB405" s="23">
        <f>$L405*AU405</f>
        <v>0</v>
      </c>
      <c r="CC405" s="23">
        <f>$L405*AV405</f>
        <v>0</v>
      </c>
      <c r="CD405" s="23">
        <f>$L405*AW405</f>
        <v>0</v>
      </c>
      <c r="CE405" s="23">
        <f>$L405*AX405</f>
        <v>0</v>
      </c>
      <c r="CF405" s="23">
        <f>$L405*AY405</f>
        <v>0</v>
      </c>
      <c r="CG405" s="23">
        <f>$L405*AZ405</f>
        <v>0</v>
      </c>
      <c r="CH405" s="23">
        <f>$L405*BA405</f>
        <v>0</v>
      </c>
      <c r="CI405" s="23">
        <f>$L405*BB405</f>
        <v>0</v>
      </c>
      <c r="CJ405" s="23">
        <f>$L405*BC405</f>
        <v>0</v>
      </c>
      <c r="CK405" s="23">
        <f>$L405*BD405</f>
        <v>0</v>
      </c>
      <c r="CL405" s="23">
        <f>$L405*BE405</f>
        <v>0</v>
      </c>
      <c r="CM405" s="23">
        <f>$L405*BF405</f>
        <v>0</v>
      </c>
      <c r="CN405" s="23">
        <f>$L405*BG405</f>
        <v>1</v>
      </c>
      <c r="CO405" s="23">
        <f>$L405*BH405</f>
        <v>1</v>
      </c>
      <c r="CP405" s="23">
        <f>$L405*BI405</f>
        <v>1</v>
      </c>
      <c r="CQ405" s="23">
        <f>$L405*BJ405</f>
        <v>1</v>
      </c>
      <c r="CR405" s="23">
        <f>$L405*BK405</f>
        <v>1</v>
      </c>
      <c r="CS405" s="23">
        <f>$L405*BL405</f>
        <v>1</v>
      </c>
      <c r="CT405" s="23">
        <f>$L405*BM405</f>
        <v>1</v>
      </c>
      <c r="CU405" s="23">
        <f>$L405*BN405</f>
        <v>1</v>
      </c>
      <c r="CV405" s="23">
        <f>$L405*BO405</f>
        <v>1</v>
      </c>
    </row>
    <row r="406" spans="1:100" ht="13.5" x14ac:dyDescent="0.15">
      <c r="A406" s="15">
        <v>306</v>
      </c>
      <c r="B406" s="28" t="s">
        <v>789</v>
      </c>
      <c r="C406" t="s">
        <v>414</v>
      </c>
      <c r="E406" t="s">
        <v>140</v>
      </c>
      <c r="F406" t="s">
        <v>415</v>
      </c>
      <c r="G406" t="s">
        <v>140</v>
      </c>
      <c r="H406" t="s">
        <v>141</v>
      </c>
      <c r="I406" s="6" t="s">
        <v>136</v>
      </c>
      <c r="J406" s="6">
        <v>0</v>
      </c>
      <c r="L406" s="15">
        <v>1</v>
      </c>
      <c r="M406" s="7">
        <v>45803</v>
      </c>
      <c r="N406" s="7">
        <v>46191</v>
      </c>
      <c r="O406" s="7">
        <v>46188</v>
      </c>
      <c r="P406" s="7">
        <v>46189</v>
      </c>
      <c r="S406" s="6" t="s">
        <v>140</v>
      </c>
      <c r="U406" s="6" t="s">
        <v>413</v>
      </c>
      <c r="V406" s="6" t="str">
        <f>TEXT(N406,"YY/MM")</f>
        <v>26/06</v>
      </c>
      <c r="W406">
        <v>1778</v>
      </c>
      <c r="AA406">
        <v>1132</v>
      </c>
      <c r="AC406">
        <v>1185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1</v>
      </c>
      <c r="BH406" s="23">
        <v>1</v>
      </c>
      <c r="BI406" s="23">
        <v>1</v>
      </c>
      <c r="BJ406" s="23">
        <v>1</v>
      </c>
      <c r="BK406" s="23">
        <v>1</v>
      </c>
      <c r="BL406" s="23">
        <v>1</v>
      </c>
      <c r="BM406" s="23">
        <v>1</v>
      </c>
      <c r="BN406" s="23">
        <v>1</v>
      </c>
      <c r="BO406" s="23">
        <v>1</v>
      </c>
      <c r="BP406" s="23">
        <f>$L406*AI406</f>
        <v>0</v>
      </c>
      <c r="BQ406" s="23">
        <f>$L406*AJ406</f>
        <v>0</v>
      </c>
      <c r="BR406" s="23">
        <f>$L406*AK406</f>
        <v>0</v>
      </c>
      <c r="BS406" s="23">
        <f>$L406*AL406</f>
        <v>0</v>
      </c>
      <c r="BT406" s="23">
        <f>$L406*AM406</f>
        <v>0</v>
      </c>
      <c r="BU406" s="23">
        <f>$L406*AN406</f>
        <v>0</v>
      </c>
      <c r="BV406" s="23">
        <f>$L406*AO406</f>
        <v>0</v>
      </c>
      <c r="BW406" s="23">
        <f>$L406*AP406</f>
        <v>0</v>
      </c>
      <c r="BX406" s="23">
        <f>$L406*AQ406</f>
        <v>0</v>
      </c>
      <c r="BY406" s="23">
        <f>$L406*AR406</f>
        <v>0</v>
      </c>
      <c r="BZ406" s="23">
        <f>$L406*AS406</f>
        <v>0</v>
      </c>
      <c r="CA406" s="23">
        <f>$L406*AT406</f>
        <v>0</v>
      </c>
      <c r="CB406" s="23">
        <f>$L406*AU406</f>
        <v>0</v>
      </c>
      <c r="CC406" s="23">
        <f>$L406*AV406</f>
        <v>0</v>
      </c>
      <c r="CD406" s="23">
        <f>$L406*AW406</f>
        <v>0</v>
      </c>
      <c r="CE406" s="23">
        <f>$L406*AX406</f>
        <v>0</v>
      </c>
      <c r="CF406" s="23">
        <f>$L406*AY406</f>
        <v>0</v>
      </c>
      <c r="CG406" s="23">
        <f>$L406*AZ406</f>
        <v>0</v>
      </c>
      <c r="CH406" s="23">
        <f>$L406*BA406</f>
        <v>0</v>
      </c>
      <c r="CI406" s="23">
        <f>$L406*BB406</f>
        <v>0</v>
      </c>
      <c r="CJ406" s="23">
        <f>$L406*BC406</f>
        <v>0</v>
      </c>
      <c r="CK406" s="23">
        <f>$L406*BD406</f>
        <v>0</v>
      </c>
      <c r="CL406" s="23">
        <f>$L406*BE406</f>
        <v>0</v>
      </c>
      <c r="CM406" s="23">
        <f>$L406*BF406</f>
        <v>0</v>
      </c>
      <c r="CN406" s="23">
        <f>$L406*BG406</f>
        <v>1</v>
      </c>
      <c r="CO406" s="23">
        <f>$L406*BH406</f>
        <v>1</v>
      </c>
      <c r="CP406" s="23">
        <f>$L406*BI406</f>
        <v>1</v>
      </c>
      <c r="CQ406" s="23">
        <f>$L406*BJ406</f>
        <v>1</v>
      </c>
      <c r="CR406" s="23">
        <f>$L406*BK406</f>
        <v>1</v>
      </c>
      <c r="CS406" s="23">
        <f>$L406*BL406</f>
        <v>1</v>
      </c>
      <c r="CT406" s="23">
        <f>$L406*BM406</f>
        <v>1</v>
      </c>
      <c r="CU406" s="23">
        <f>$L406*BN406</f>
        <v>1</v>
      </c>
      <c r="CV406" s="23">
        <f>$L406*BO406</f>
        <v>1</v>
      </c>
    </row>
    <row r="407" spans="1:100" ht="13.5" x14ac:dyDescent="0.15">
      <c r="A407" s="15">
        <v>306</v>
      </c>
      <c r="B407" s="28" t="s">
        <v>790</v>
      </c>
      <c r="C407" t="s">
        <v>414</v>
      </c>
      <c r="E407" t="s">
        <v>140</v>
      </c>
      <c r="F407" t="s">
        <v>415</v>
      </c>
      <c r="G407" t="s">
        <v>140</v>
      </c>
      <c r="H407" t="s">
        <v>141</v>
      </c>
      <c r="I407" s="6" t="s">
        <v>136</v>
      </c>
      <c r="J407" s="6">
        <v>0</v>
      </c>
      <c r="L407" s="15">
        <v>1</v>
      </c>
      <c r="M407" s="7">
        <v>45803</v>
      </c>
      <c r="N407" s="7">
        <v>46191</v>
      </c>
      <c r="O407" s="7">
        <v>46188</v>
      </c>
      <c r="P407" s="7">
        <v>46189</v>
      </c>
      <c r="S407" s="6" t="s">
        <v>140</v>
      </c>
      <c r="U407" s="6" t="s">
        <v>413</v>
      </c>
      <c r="V407" s="6" t="str">
        <f>TEXT(N407,"YY/MM")</f>
        <v>26/06</v>
      </c>
      <c r="W407">
        <v>1779</v>
      </c>
      <c r="AA407">
        <v>1133</v>
      </c>
      <c r="AC407">
        <v>1186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1</v>
      </c>
      <c r="BH407" s="23">
        <v>1</v>
      </c>
      <c r="BI407" s="23">
        <v>1</v>
      </c>
      <c r="BJ407" s="23">
        <v>1</v>
      </c>
      <c r="BK407" s="23">
        <v>1</v>
      </c>
      <c r="BL407" s="23">
        <v>1</v>
      </c>
      <c r="BM407" s="23">
        <v>1</v>
      </c>
      <c r="BN407" s="23">
        <v>1</v>
      </c>
      <c r="BO407" s="23">
        <v>1</v>
      </c>
      <c r="BP407" s="23">
        <f>$L407*AI407</f>
        <v>0</v>
      </c>
      <c r="BQ407" s="23">
        <f>$L407*AJ407</f>
        <v>0</v>
      </c>
      <c r="BR407" s="23">
        <f>$L407*AK407</f>
        <v>0</v>
      </c>
      <c r="BS407" s="23">
        <f>$L407*AL407</f>
        <v>0</v>
      </c>
      <c r="BT407" s="23">
        <f>$L407*AM407</f>
        <v>0</v>
      </c>
      <c r="BU407" s="23">
        <f>$L407*AN407</f>
        <v>0</v>
      </c>
      <c r="BV407" s="23">
        <f>$L407*AO407</f>
        <v>0</v>
      </c>
      <c r="BW407" s="23">
        <f>$L407*AP407</f>
        <v>0</v>
      </c>
      <c r="BX407" s="23">
        <f>$L407*AQ407</f>
        <v>0</v>
      </c>
      <c r="BY407" s="23">
        <f>$L407*AR407</f>
        <v>0</v>
      </c>
      <c r="BZ407" s="23">
        <f>$L407*AS407</f>
        <v>0</v>
      </c>
      <c r="CA407" s="23">
        <f>$L407*AT407</f>
        <v>0</v>
      </c>
      <c r="CB407" s="23">
        <f>$L407*AU407</f>
        <v>0</v>
      </c>
      <c r="CC407" s="23">
        <f>$L407*AV407</f>
        <v>0</v>
      </c>
      <c r="CD407" s="23">
        <f>$L407*AW407</f>
        <v>0</v>
      </c>
      <c r="CE407" s="23">
        <f>$L407*AX407</f>
        <v>0</v>
      </c>
      <c r="CF407" s="23">
        <f>$L407*AY407</f>
        <v>0</v>
      </c>
      <c r="CG407" s="23">
        <f>$L407*AZ407</f>
        <v>0</v>
      </c>
      <c r="CH407" s="23">
        <f>$L407*BA407</f>
        <v>0</v>
      </c>
      <c r="CI407" s="23">
        <f>$L407*BB407</f>
        <v>0</v>
      </c>
      <c r="CJ407" s="23">
        <f>$L407*BC407</f>
        <v>0</v>
      </c>
      <c r="CK407" s="23">
        <f>$L407*BD407</f>
        <v>0</v>
      </c>
      <c r="CL407" s="23">
        <f>$L407*BE407</f>
        <v>0</v>
      </c>
      <c r="CM407" s="23">
        <f>$L407*BF407</f>
        <v>0</v>
      </c>
      <c r="CN407" s="23">
        <f>$L407*BG407</f>
        <v>1</v>
      </c>
      <c r="CO407" s="23">
        <f>$L407*BH407</f>
        <v>1</v>
      </c>
      <c r="CP407" s="23">
        <f>$L407*BI407</f>
        <v>1</v>
      </c>
      <c r="CQ407" s="23">
        <f>$L407*BJ407</f>
        <v>1</v>
      </c>
      <c r="CR407" s="23">
        <f>$L407*BK407</f>
        <v>1</v>
      </c>
      <c r="CS407" s="23">
        <f>$L407*BL407</f>
        <v>1</v>
      </c>
      <c r="CT407" s="23">
        <f>$L407*BM407</f>
        <v>1</v>
      </c>
      <c r="CU407" s="23">
        <f>$L407*BN407</f>
        <v>1</v>
      </c>
      <c r="CV407" s="23">
        <f>$L407*BO407</f>
        <v>1</v>
      </c>
    </row>
    <row r="408" spans="1:100" ht="13.5" x14ac:dyDescent="0.15">
      <c r="A408" s="15">
        <v>306</v>
      </c>
      <c r="B408" s="28" t="s">
        <v>791</v>
      </c>
      <c r="C408" t="s">
        <v>414</v>
      </c>
      <c r="E408" t="s">
        <v>140</v>
      </c>
      <c r="F408" t="s">
        <v>415</v>
      </c>
      <c r="G408" t="s">
        <v>140</v>
      </c>
      <c r="H408" t="s">
        <v>141</v>
      </c>
      <c r="I408" s="6" t="s">
        <v>136</v>
      </c>
      <c r="J408" s="6">
        <v>0</v>
      </c>
      <c r="L408" s="15">
        <v>1</v>
      </c>
      <c r="M408" s="7">
        <v>45803</v>
      </c>
      <c r="N408" s="7">
        <v>46191</v>
      </c>
      <c r="O408" s="7">
        <v>46188</v>
      </c>
      <c r="P408" s="7">
        <v>46189</v>
      </c>
      <c r="S408" s="6" t="s">
        <v>140</v>
      </c>
      <c r="U408" s="6" t="s">
        <v>413</v>
      </c>
      <c r="V408" s="6" t="str">
        <f>TEXT(N408,"YY/MM")</f>
        <v>26/06</v>
      </c>
      <c r="W408">
        <v>1780</v>
      </c>
      <c r="AA408">
        <v>1134</v>
      </c>
      <c r="AC408">
        <v>1187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1</v>
      </c>
      <c r="BH408" s="23">
        <v>1</v>
      </c>
      <c r="BI408" s="23">
        <v>1</v>
      </c>
      <c r="BJ408" s="23">
        <v>1</v>
      </c>
      <c r="BK408" s="23">
        <v>1</v>
      </c>
      <c r="BL408" s="23">
        <v>1</v>
      </c>
      <c r="BM408" s="23">
        <v>1</v>
      </c>
      <c r="BN408" s="23">
        <v>1</v>
      </c>
      <c r="BO408" s="23">
        <v>1</v>
      </c>
      <c r="BP408" s="23">
        <f>$L408*AI408</f>
        <v>0</v>
      </c>
      <c r="BQ408" s="23">
        <f>$L408*AJ408</f>
        <v>0</v>
      </c>
      <c r="BR408" s="23">
        <f>$L408*AK408</f>
        <v>0</v>
      </c>
      <c r="BS408" s="23">
        <f>$L408*AL408</f>
        <v>0</v>
      </c>
      <c r="BT408" s="23">
        <f>$L408*AM408</f>
        <v>0</v>
      </c>
      <c r="BU408" s="23">
        <f>$L408*AN408</f>
        <v>0</v>
      </c>
      <c r="BV408" s="23">
        <f>$L408*AO408</f>
        <v>0</v>
      </c>
      <c r="BW408" s="23">
        <f>$L408*AP408</f>
        <v>0</v>
      </c>
      <c r="BX408" s="23">
        <f>$L408*AQ408</f>
        <v>0</v>
      </c>
      <c r="BY408" s="23">
        <f>$L408*AR408</f>
        <v>0</v>
      </c>
      <c r="BZ408" s="23">
        <f>$L408*AS408</f>
        <v>0</v>
      </c>
      <c r="CA408" s="23">
        <f>$L408*AT408</f>
        <v>0</v>
      </c>
      <c r="CB408" s="23">
        <f>$L408*AU408</f>
        <v>0</v>
      </c>
      <c r="CC408" s="23">
        <f>$L408*AV408</f>
        <v>0</v>
      </c>
      <c r="CD408" s="23">
        <f>$L408*AW408</f>
        <v>0</v>
      </c>
      <c r="CE408" s="23">
        <f>$L408*AX408</f>
        <v>0</v>
      </c>
      <c r="CF408" s="23">
        <f>$L408*AY408</f>
        <v>0</v>
      </c>
      <c r="CG408" s="23">
        <f>$L408*AZ408</f>
        <v>0</v>
      </c>
      <c r="CH408" s="23">
        <f>$L408*BA408</f>
        <v>0</v>
      </c>
      <c r="CI408" s="23">
        <f>$L408*BB408</f>
        <v>0</v>
      </c>
      <c r="CJ408" s="23">
        <f>$L408*BC408</f>
        <v>0</v>
      </c>
      <c r="CK408" s="23">
        <f>$L408*BD408</f>
        <v>0</v>
      </c>
      <c r="CL408" s="23">
        <f>$L408*BE408</f>
        <v>0</v>
      </c>
      <c r="CM408" s="23">
        <f>$L408*BF408</f>
        <v>0</v>
      </c>
      <c r="CN408" s="23">
        <f>$L408*BG408</f>
        <v>1</v>
      </c>
      <c r="CO408" s="23">
        <f>$L408*BH408</f>
        <v>1</v>
      </c>
      <c r="CP408" s="23">
        <f>$L408*BI408</f>
        <v>1</v>
      </c>
      <c r="CQ408" s="23">
        <f>$L408*BJ408</f>
        <v>1</v>
      </c>
      <c r="CR408" s="23">
        <f>$L408*BK408</f>
        <v>1</v>
      </c>
      <c r="CS408" s="23">
        <f>$L408*BL408</f>
        <v>1</v>
      </c>
      <c r="CT408" s="23">
        <f>$L408*BM408</f>
        <v>1</v>
      </c>
      <c r="CU408" s="23">
        <f>$L408*BN408</f>
        <v>1</v>
      </c>
      <c r="CV408" s="23">
        <f>$L408*BO408</f>
        <v>1</v>
      </c>
    </row>
    <row r="409" spans="1:100" ht="13.5" x14ac:dyDescent="0.15">
      <c r="A409" s="15">
        <v>306</v>
      </c>
      <c r="B409" s="28" t="s">
        <v>792</v>
      </c>
      <c r="C409" t="s">
        <v>414</v>
      </c>
      <c r="E409" t="s">
        <v>140</v>
      </c>
      <c r="F409" t="s">
        <v>415</v>
      </c>
      <c r="G409" t="s">
        <v>140</v>
      </c>
      <c r="H409" t="s">
        <v>141</v>
      </c>
      <c r="I409" s="6" t="s">
        <v>136</v>
      </c>
      <c r="J409" s="6">
        <v>0</v>
      </c>
      <c r="L409" s="15">
        <v>1</v>
      </c>
      <c r="M409" s="7">
        <v>45803</v>
      </c>
      <c r="N409" s="7">
        <v>46192</v>
      </c>
      <c r="O409" s="7">
        <v>46188</v>
      </c>
      <c r="P409" s="7">
        <v>46189</v>
      </c>
      <c r="S409" s="6" t="s">
        <v>140</v>
      </c>
      <c r="U409" s="6" t="s">
        <v>413</v>
      </c>
      <c r="V409" s="6" t="str">
        <f>TEXT(N409,"YY/MM")</f>
        <v>26/06</v>
      </c>
      <c r="W409">
        <v>1781</v>
      </c>
      <c r="AA409">
        <v>1135</v>
      </c>
      <c r="AC409">
        <v>1188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  <c r="BP409" s="23">
        <f>$L409*AI409</f>
        <v>0</v>
      </c>
      <c r="BQ409" s="23">
        <f>$L409*AJ409</f>
        <v>0</v>
      </c>
      <c r="BR409" s="23">
        <f>$L409*AK409</f>
        <v>0</v>
      </c>
      <c r="BS409" s="23">
        <f>$L409*AL409</f>
        <v>0</v>
      </c>
      <c r="BT409" s="23">
        <f>$L409*AM409</f>
        <v>0</v>
      </c>
      <c r="BU409" s="23">
        <f>$L409*AN409</f>
        <v>0</v>
      </c>
      <c r="BV409" s="23">
        <f>$L409*AO409</f>
        <v>0</v>
      </c>
      <c r="BW409" s="23">
        <f>$L409*AP409</f>
        <v>0</v>
      </c>
      <c r="BX409" s="23">
        <f>$L409*AQ409</f>
        <v>0</v>
      </c>
      <c r="BY409" s="23">
        <f>$L409*AR409</f>
        <v>0</v>
      </c>
      <c r="BZ409" s="23">
        <f>$L409*AS409</f>
        <v>0</v>
      </c>
      <c r="CA409" s="23">
        <f>$L409*AT409</f>
        <v>0</v>
      </c>
      <c r="CB409" s="23">
        <f>$L409*AU409</f>
        <v>0</v>
      </c>
      <c r="CC409" s="23">
        <f>$L409*AV409</f>
        <v>0</v>
      </c>
      <c r="CD409" s="23">
        <f>$L409*AW409</f>
        <v>0</v>
      </c>
      <c r="CE409" s="23">
        <f>$L409*AX409</f>
        <v>0</v>
      </c>
      <c r="CF409" s="23">
        <f>$L409*AY409</f>
        <v>0</v>
      </c>
      <c r="CG409" s="23">
        <f>$L409*AZ409</f>
        <v>0</v>
      </c>
      <c r="CH409" s="23">
        <f>$L409*BA409</f>
        <v>0</v>
      </c>
      <c r="CI409" s="23">
        <f>$L409*BB409</f>
        <v>0</v>
      </c>
      <c r="CJ409" s="23">
        <f>$L409*BC409</f>
        <v>0</v>
      </c>
      <c r="CK409" s="23">
        <f>$L409*BD409</f>
        <v>0</v>
      </c>
      <c r="CL409" s="23">
        <f>$L409*BE409</f>
        <v>0</v>
      </c>
      <c r="CM409" s="23">
        <f>$L409*BF409</f>
        <v>0</v>
      </c>
      <c r="CN409" s="23">
        <f>$L409*BG409</f>
        <v>1</v>
      </c>
      <c r="CO409" s="23">
        <f>$L409*BH409</f>
        <v>1</v>
      </c>
      <c r="CP409" s="23">
        <f>$L409*BI409</f>
        <v>1</v>
      </c>
      <c r="CQ409" s="23">
        <f>$L409*BJ409</f>
        <v>1</v>
      </c>
      <c r="CR409" s="23">
        <f>$L409*BK409</f>
        <v>1</v>
      </c>
      <c r="CS409" s="23">
        <f>$L409*BL409</f>
        <v>1</v>
      </c>
      <c r="CT409" s="23">
        <f>$L409*BM409</f>
        <v>1</v>
      </c>
      <c r="CU409" s="23">
        <f>$L409*BN409</f>
        <v>1</v>
      </c>
      <c r="CV409" s="23">
        <f>$L409*BO409</f>
        <v>1</v>
      </c>
    </row>
    <row r="410" spans="1:100" ht="13.5" x14ac:dyDescent="0.15">
      <c r="A410" s="15">
        <v>306</v>
      </c>
      <c r="B410" s="28" t="s">
        <v>793</v>
      </c>
      <c r="C410" t="s">
        <v>414</v>
      </c>
      <c r="E410" t="s">
        <v>140</v>
      </c>
      <c r="F410" t="s">
        <v>415</v>
      </c>
      <c r="G410" t="s">
        <v>140</v>
      </c>
      <c r="H410" t="s">
        <v>141</v>
      </c>
      <c r="I410" s="6" t="s">
        <v>136</v>
      </c>
      <c r="J410" s="6">
        <v>0</v>
      </c>
      <c r="L410" s="15">
        <v>1</v>
      </c>
      <c r="M410" s="7">
        <v>45803</v>
      </c>
      <c r="N410" s="7">
        <v>46192</v>
      </c>
      <c r="O410" s="7">
        <v>46188</v>
      </c>
      <c r="P410" s="7">
        <v>46189</v>
      </c>
      <c r="S410" s="6" t="s">
        <v>140</v>
      </c>
      <c r="U410" s="6" t="s">
        <v>413</v>
      </c>
      <c r="V410" s="6" t="str">
        <f>TEXT(N410,"YY/MM")</f>
        <v>26/06</v>
      </c>
      <c r="W410">
        <v>1782</v>
      </c>
      <c r="AA410">
        <v>1136</v>
      </c>
      <c r="AC410">
        <v>1189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1</v>
      </c>
      <c r="BH410" s="23">
        <v>1</v>
      </c>
      <c r="BI410" s="23">
        <v>1</v>
      </c>
      <c r="BJ410" s="23">
        <v>1</v>
      </c>
      <c r="BK410" s="23">
        <v>1</v>
      </c>
      <c r="BL410" s="23">
        <v>1</v>
      </c>
      <c r="BM410" s="23">
        <v>1</v>
      </c>
      <c r="BN410" s="23">
        <v>1</v>
      </c>
      <c r="BO410" s="23">
        <v>1</v>
      </c>
      <c r="BP410" s="23">
        <f>$L410*AI410</f>
        <v>0</v>
      </c>
      <c r="BQ410" s="23">
        <f>$L410*AJ410</f>
        <v>0</v>
      </c>
      <c r="BR410" s="23">
        <f>$L410*AK410</f>
        <v>0</v>
      </c>
      <c r="BS410" s="23">
        <f>$L410*AL410</f>
        <v>0</v>
      </c>
      <c r="BT410" s="23">
        <f>$L410*AM410</f>
        <v>0</v>
      </c>
      <c r="BU410" s="23">
        <f>$L410*AN410</f>
        <v>0</v>
      </c>
      <c r="BV410" s="23">
        <f>$L410*AO410</f>
        <v>0</v>
      </c>
      <c r="BW410" s="23">
        <f>$L410*AP410</f>
        <v>0</v>
      </c>
      <c r="BX410" s="23">
        <f>$L410*AQ410</f>
        <v>0</v>
      </c>
      <c r="BY410" s="23">
        <f>$L410*AR410</f>
        <v>0</v>
      </c>
      <c r="BZ410" s="23">
        <f>$L410*AS410</f>
        <v>0</v>
      </c>
      <c r="CA410" s="23">
        <f>$L410*AT410</f>
        <v>0</v>
      </c>
      <c r="CB410" s="23">
        <f>$L410*AU410</f>
        <v>0</v>
      </c>
      <c r="CC410" s="23">
        <f>$L410*AV410</f>
        <v>0</v>
      </c>
      <c r="CD410" s="23">
        <f>$L410*AW410</f>
        <v>0</v>
      </c>
      <c r="CE410" s="23">
        <f>$L410*AX410</f>
        <v>0</v>
      </c>
      <c r="CF410" s="23">
        <f>$L410*AY410</f>
        <v>0</v>
      </c>
      <c r="CG410" s="23">
        <f>$L410*AZ410</f>
        <v>0</v>
      </c>
      <c r="CH410" s="23">
        <f>$L410*BA410</f>
        <v>0</v>
      </c>
      <c r="CI410" s="23">
        <f>$L410*BB410</f>
        <v>0</v>
      </c>
      <c r="CJ410" s="23">
        <f>$L410*BC410</f>
        <v>0</v>
      </c>
      <c r="CK410" s="23">
        <f>$L410*BD410</f>
        <v>0</v>
      </c>
      <c r="CL410" s="23">
        <f>$L410*BE410</f>
        <v>0</v>
      </c>
      <c r="CM410" s="23">
        <f>$L410*BF410</f>
        <v>0</v>
      </c>
      <c r="CN410" s="23">
        <f>$L410*BG410</f>
        <v>1</v>
      </c>
      <c r="CO410" s="23">
        <f>$L410*BH410</f>
        <v>1</v>
      </c>
      <c r="CP410" s="23">
        <f>$L410*BI410</f>
        <v>1</v>
      </c>
      <c r="CQ410" s="23">
        <f>$L410*BJ410</f>
        <v>1</v>
      </c>
      <c r="CR410" s="23">
        <f>$L410*BK410</f>
        <v>1</v>
      </c>
      <c r="CS410" s="23">
        <f>$L410*BL410</f>
        <v>1</v>
      </c>
      <c r="CT410" s="23">
        <f>$L410*BM410</f>
        <v>1</v>
      </c>
      <c r="CU410" s="23">
        <f>$L410*BN410</f>
        <v>1</v>
      </c>
      <c r="CV410" s="23">
        <f>$L410*BO410</f>
        <v>1</v>
      </c>
    </row>
    <row r="411" spans="1:100" ht="13.5" x14ac:dyDescent="0.15">
      <c r="A411" s="15">
        <v>306</v>
      </c>
      <c r="B411" s="28" t="s">
        <v>794</v>
      </c>
      <c r="C411" t="s">
        <v>414</v>
      </c>
      <c r="E411" t="s">
        <v>140</v>
      </c>
      <c r="F411" t="s">
        <v>415</v>
      </c>
      <c r="G411" t="s">
        <v>140</v>
      </c>
      <c r="H411" t="s">
        <v>141</v>
      </c>
      <c r="I411" s="6" t="s">
        <v>136</v>
      </c>
      <c r="J411" s="6">
        <v>0</v>
      </c>
      <c r="L411" s="15">
        <v>1</v>
      </c>
      <c r="M411" s="7">
        <v>45803</v>
      </c>
      <c r="N411" s="7">
        <v>46192</v>
      </c>
      <c r="O411" s="7">
        <v>46188</v>
      </c>
      <c r="P411" s="7">
        <v>46189</v>
      </c>
      <c r="S411" s="6" t="s">
        <v>140</v>
      </c>
      <c r="U411" s="6" t="s">
        <v>413</v>
      </c>
      <c r="V411" s="6" t="str">
        <f>TEXT(N411,"YY/MM")</f>
        <v>26/06</v>
      </c>
      <c r="W411">
        <v>1783</v>
      </c>
      <c r="AA411">
        <v>1137</v>
      </c>
      <c r="AC411">
        <v>1190</v>
      </c>
      <c r="AI411" s="23">
        <v>0</v>
      </c>
      <c r="AJ411" s="23">
        <v>0</v>
      </c>
      <c r="AK411" s="23">
        <v>0</v>
      </c>
      <c r="AL411" s="23">
        <v>0</v>
      </c>
      <c r="AM411" s="23">
        <v>0</v>
      </c>
      <c r="AN411" s="23">
        <v>0</v>
      </c>
      <c r="AO411" s="23">
        <v>0</v>
      </c>
      <c r="AP411" s="23">
        <v>0</v>
      </c>
      <c r="AQ411" s="23">
        <v>0</v>
      </c>
      <c r="AR411" s="23">
        <v>0</v>
      </c>
      <c r="AS411" s="23">
        <v>0</v>
      </c>
      <c r="AT411" s="23">
        <v>0</v>
      </c>
      <c r="AU411" s="23">
        <v>0</v>
      </c>
      <c r="AV411" s="23">
        <v>0</v>
      </c>
      <c r="AW411" s="23">
        <v>0</v>
      </c>
      <c r="AX411" s="23">
        <v>0</v>
      </c>
      <c r="AY411" s="23">
        <v>0</v>
      </c>
      <c r="AZ411" s="23">
        <v>0</v>
      </c>
      <c r="BA411" s="23">
        <v>0</v>
      </c>
      <c r="BB411" s="23">
        <v>0</v>
      </c>
      <c r="BC411" s="23">
        <v>0</v>
      </c>
      <c r="BD411" s="23">
        <v>0</v>
      </c>
      <c r="BE411" s="23">
        <v>0</v>
      </c>
      <c r="BF411" s="23">
        <v>0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  <c r="BP411" s="23">
        <f>$L411*AI411</f>
        <v>0</v>
      </c>
      <c r="BQ411" s="23">
        <f>$L411*AJ411</f>
        <v>0</v>
      </c>
      <c r="BR411" s="23">
        <f>$L411*AK411</f>
        <v>0</v>
      </c>
      <c r="BS411" s="23">
        <f>$L411*AL411</f>
        <v>0</v>
      </c>
      <c r="BT411" s="23">
        <f>$L411*AM411</f>
        <v>0</v>
      </c>
      <c r="BU411" s="23">
        <f>$L411*AN411</f>
        <v>0</v>
      </c>
      <c r="BV411" s="23">
        <f>$L411*AO411</f>
        <v>0</v>
      </c>
      <c r="BW411" s="23">
        <f>$L411*AP411</f>
        <v>0</v>
      </c>
      <c r="BX411" s="23">
        <f>$L411*AQ411</f>
        <v>0</v>
      </c>
      <c r="BY411" s="23">
        <f>$L411*AR411</f>
        <v>0</v>
      </c>
      <c r="BZ411" s="23">
        <f>$L411*AS411</f>
        <v>0</v>
      </c>
      <c r="CA411" s="23">
        <f>$L411*AT411</f>
        <v>0</v>
      </c>
      <c r="CB411" s="23">
        <f>$L411*AU411</f>
        <v>0</v>
      </c>
      <c r="CC411" s="23">
        <f>$L411*AV411</f>
        <v>0</v>
      </c>
      <c r="CD411" s="23">
        <f>$L411*AW411</f>
        <v>0</v>
      </c>
      <c r="CE411" s="23">
        <f>$L411*AX411</f>
        <v>0</v>
      </c>
      <c r="CF411" s="23">
        <f>$L411*AY411</f>
        <v>0</v>
      </c>
      <c r="CG411" s="23">
        <f>$L411*AZ411</f>
        <v>0</v>
      </c>
      <c r="CH411" s="23">
        <f>$L411*BA411</f>
        <v>0</v>
      </c>
      <c r="CI411" s="23">
        <f>$L411*BB411</f>
        <v>0</v>
      </c>
      <c r="CJ411" s="23">
        <f>$L411*BC411</f>
        <v>0</v>
      </c>
      <c r="CK411" s="23">
        <f>$L411*BD411</f>
        <v>0</v>
      </c>
      <c r="CL411" s="23">
        <f>$L411*BE411</f>
        <v>0</v>
      </c>
      <c r="CM411" s="23">
        <f>$L411*BF411</f>
        <v>0</v>
      </c>
      <c r="CN411" s="23">
        <f>$L411*BG411</f>
        <v>1</v>
      </c>
      <c r="CO411" s="23">
        <f>$L411*BH411</f>
        <v>1</v>
      </c>
      <c r="CP411" s="23">
        <f>$L411*BI411</f>
        <v>1</v>
      </c>
      <c r="CQ411" s="23">
        <f>$L411*BJ411</f>
        <v>1</v>
      </c>
      <c r="CR411" s="23">
        <f>$L411*BK411</f>
        <v>1</v>
      </c>
      <c r="CS411" s="23">
        <f>$L411*BL411</f>
        <v>1</v>
      </c>
      <c r="CT411" s="23">
        <f>$L411*BM411</f>
        <v>1</v>
      </c>
      <c r="CU411" s="23">
        <f>$L411*BN411</f>
        <v>1</v>
      </c>
      <c r="CV411" s="23">
        <f>$L411*BO411</f>
        <v>1</v>
      </c>
    </row>
    <row r="412" spans="1:100" ht="13.5" x14ac:dyDescent="0.15">
      <c r="A412" s="15">
        <v>306</v>
      </c>
      <c r="B412" s="28" t="s">
        <v>795</v>
      </c>
      <c r="C412" t="s">
        <v>414</v>
      </c>
      <c r="E412" t="s">
        <v>140</v>
      </c>
      <c r="F412" t="s">
        <v>415</v>
      </c>
      <c r="G412" t="s">
        <v>140</v>
      </c>
      <c r="H412" t="s">
        <v>141</v>
      </c>
      <c r="I412" s="6" t="s">
        <v>136</v>
      </c>
      <c r="J412" s="6">
        <v>0</v>
      </c>
      <c r="L412" s="15">
        <v>1</v>
      </c>
      <c r="M412" s="7">
        <v>45803</v>
      </c>
      <c r="N412" s="7">
        <v>46192</v>
      </c>
      <c r="O412" s="7">
        <v>46188</v>
      </c>
      <c r="P412" s="7">
        <v>46189</v>
      </c>
      <c r="S412" s="6" t="s">
        <v>140</v>
      </c>
      <c r="U412" s="6" t="s">
        <v>413</v>
      </c>
      <c r="V412" s="6" t="str">
        <f>TEXT(N412,"YY/MM")</f>
        <v>26/06</v>
      </c>
      <c r="W412">
        <v>1784</v>
      </c>
      <c r="AA412">
        <v>1138</v>
      </c>
      <c r="AC412">
        <v>1191</v>
      </c>
      <c r="AI412" s="23">
        <v>0</v>
      </c>
      <c r="AJ412" s="23">
        <v>0</v>
      </c>
      <c r="AK412" s="23">
        <v>0</v>
      </c>
      <c r="AL412" s="23">
        <v>0</v>
      </c>
      <c r="AM412" s="23">
        <v>0</v>
      </c>
      <c r="AN412" s="23">
        <v>0</v>
      </c>
      <c r="AO412" s="23">
        <v>0</v>
      </c>
      <c r="AP412" s="23">
        <v>0</v>
      </c>
      <c r="AQ412" s="23">
        <v>0</v>
      </c>
      <c r="AR412" s="23">
        <v>0</v>
      </c>
      <c r="AS412" s="23">
        <v>0</v>
      </c>
      <c r="AT412" s="23">
        <v>0</v>
      </c>
      <c r="AU412" s="23">
        <v>0</v>
      </c>
      <c r="AV412" s="23">
        <v>0</v>
      </c>
      <c r="AW412" s="23">
        <v>0</v>
      </c>
      <c r="AX412" s="23">
        <v>0</v>
      </c>
      <c r="AY412" s="23">
        <v>0</v>
      </c>
      <c r="AZ412" s="23">
        <v>0</v>
      </c>
      <c r="BA412" s="23">
        <v>0</v>
      </c>
      <c r="BB412" s="23">
        <v>0</v>
      </c>
      <c r="BC412" s="23">
        <v>0</v>
      </c>
      <c r="BD412" s="23">
        <v>0</v>
      </c>
      <c r="BE412" s="23">
        <v>0</v>
      </c>
      <c r="BF412" s="23">
        <v>0</v>
      </c>
      <c r="BG412" s="23">
        <v>1</v>
      </c>
      <c r="BH412" s="23">
        <v>1</v>
      </c>
      <c r="BI412" s="23">
        <v>1</v>
      </c>
      <c r="BJ412" s="23">
        <v>1</v>
      </c>
      <c r="BK412" s="23">
        <v>1</v>
      </c>
      <c r="BL412" s="23">
        <v>1</v>
      </c>
      <c r="BM412" s="23">
        <v>1</v>
      </c>
      <c r="BN412" s="23">
        <v>1</v>
      </c>
      <c r="BO412" s="23">
        <v>1</v>
      </c>
      <c r="BP412" s="23">
        <f>$L412*AI412</f>
        <v>0</v>
      </c>
      <c r="BQ412" s="23">
        <f>$L412*AJ412</f>
        <v>0</v>
      </c>
      <c r="BR412" s="23">
        <f>$L412*AK412</f>
        <v>0</v>
      </c>
      <c r="BS412" s="23">
        <f>$L412*AL412</f>
        <v>0</v>
      </c>
      <c r="BT412" s="23">
        <f>$L412*AM412</f>
        <v>0</v>
      </c>
      <c r="BU412" s="23">
        <f>$L412*AN412</f>
        <v>0</v>
      </c>
      <c r="BV412" s="23">
        <f>$L412*AO412</f>
        <v>0</v>
      </c>
      <c r="BW412" s="23">
        <f>$L412*AP412</f>
        <v>0</v>
      </c>
      <c r="BX412" s="23">
        <f>$L412*AQ412</f>
        <v>0</v>
      </c>
      <c r="BY412" s="23">
        <f>$L412*AR412</f>
        <v>0</v>
      </c>
      <c r="BZ412" s="23">
        <f>$L412*AS412</f>
        <v>0</v>
      </c>
      <c r="CA412" s="23">
        <f>$L412*AT412</f>
        <v>0</v>
      </c>
      <c r="CB412" s="23">
        <f>$L412*AU412</f>
        <v>0</v>
      </c>
      <c r="CC412" s="23">
        <f>$L412*AV412</f>
        <v>0</v>
      </c>
      <c r="CD412" s="23">
        <f>$L412*AW412</f>
        <v>0</v>
      </c>
      <c r="CE412" s="23">
        <f>$L412*AX412</f>
        <v>0</v>
      </c>
      <c r="CF412" s="23">
        <f>$L412*AY412</f>
        <v>0</v>
      </c>
      <c r="CG412" s="23">
        <f>$L412*AZ412</f>
        <v>0</v>
      </c>
      <c r="CH412" s="23">
        <f>$L412*BA412</f>
        <v>0</v>
      </c>
      <c r="CI412" s="23">
        <f>$L412*BB412</f>
        <v>0</v>
      </c>
      <c r="CJ412" s="23">
        <f>$L412*BC412</f>
        <v>0</v>
      </c>
      <c r="CK412" s="23">
        <f>$L412*BD412</f>
        <v>0</v>
      </c>
      <c r="CL412" s="23">
        <f>$L412*BE412</f>
        <v>0</v>
      </c>
      <c r="CM412" s="23">
        <f>$L412*BF412</f>
        <v>0</v>
      </c>
      <c r="CN412" s="23">
        <f>$L412*BG412</f>
        <v>1</v>
      </c>
      <c r="CO412" s="23">
        <f>$L412*BH412</f>
        <v>1</v>
      </c>
      <c r="CP412" s="23">
        <f>$L412*BI412</f>
        <v>1</v>
      </c>
      <c r="CQ412" s="23">
        <f>$L412*BJ412</f>
        <v>1</v>
      </c>
      <c r="CR412" s="23">
        <f>$L412*BK412</f>
        <v>1</v>
      </c>
      <c r="CS412" s="23">
        <f>$L412*BL412</f>
        <v>1</v>
      </c>
      <c r="CT412" s="23">
        <f>$L412*BM412</f>
        <v>1</v>
      </c>
      <c r="CU412" s="23">
        <f>$L412*BN412</f>
        <v>1</v>
      </c>
      <c r="CV412" s="23">
        <f>$L412*BO412</f>
        <v>1</v>
      </c>
    </row>
    <row r="413" spans="1:100" ht="13.5" x14ac:dyDescent="0.15">
      <c r="A413" s="15">
        <v>306</v>
      </c>
      <c r="B413" s="28" t="s">
        <v>796</v>
      </c>
      <c r="C413" t="s">
        <v>414</v>
      </c>
      <c r="E413" t="s">
        <v>140</v>
      </c>
      <c r="F413" t="s">
        <v>415</v>
      </c>
      <c r="G413" t="s">
        <v>140</v>
      </c>
      <c r="H413" t="s">
        <v>141</v>
      </c>
      <c r="I413" s="6" t="s">
        <v>136</v>
      </c>
      <c r="J413" s="6">
        <v>0</v>
      </c>
      <c r="L413" s="15">
        <v>1</v>
      </c>
      <c r="M413" s="7">
        <v>45803</v>
      </c>
      <c r="N413" s="7">
        <v>46192</v>
      </c>
      <c r="O413" s="7">
        <v>46188</v>
      </c>
      <c r="P413" s="7">
        <v>46189</v>
      </c>
      <c r="S413" s="6" t="s">
        <v>140</v>
      </c>
      <c r="U413" s="6" t="s">
        <v>413</v>
      </c>
      <c r="V413" s="6" t="str">
        <f>TEXT(N413,"YY/MM")</f>
        <v>26/06</v>
      </c>
      <c r="W413">
        <v>1785</v>
      </c>
      <c r="AA413">
        <v>1139</v>
      </c>
      <c r="AC413">
        <v>1192</v>
      </c>
      <c r="AI413" s="23">
        <v>0</v>
      </c>
      <c r="AJ413" s="23">
        <v>0</v>
      </c>
      <c r="AK413" s="23">
        <v>0</v>
      </c>
      <c r="AL413" s="23">
        <v>0</v>
      </c>
      <c r="AM413" s="23">
        <v>0</v>
      </c>
      <c r="AN413" s="23">
        <v>0</v>
      </c>
      <c r="AO413" s="23">
        <v>0</v>
      </c>
      <c r="AP413" s="23">
        <v>0</v>
      </c>
      <c r="AQ413" s="23">
        <v>0</v>
      </c>
      <c r="AR413" s="23">
        <v>0</v>
      </c>
      <c r="AS413" s="23">
        <v>0</v>
      </c>
      <c r="AT413" s="23">
        <v>0</v>
      </c>
      <c r="AU413" s="23">
        <v>0</v>
      </c>
      <c r="AV413" s="23">
        <v>0</v>
      </c>
      <c r="AW413" s="23">
        <v>0</v>
      </c>
      <c r="AX413" s="23">
        <v>0</v>
      </c>
      <c r="AY413" s="23">
        <v>0</v>
      </c>
      <c r="AZ413" s="23">
        <v>0</v>
      </c>
      <c r="BA413" s="23">
        <v>0</v>
      </c>
      <c r="BB413" s="23">
        <v>0</v>
      </c>
      <c r="BC413" s="23">
        <v>0</v>
      </c>
      <c r="BD413" s="23">
        <v>0</v>
      </c>
      <c r="BE413" s="23">
        <v>0</v>
      </c>
      <c r="BF413" s="23">
        <v>0</v>
      </c>
      <c r="BG413" s="23">
        <v>1</v>
      </c>
      <c r="BH413" s="23">
        <v>1</v>
      </c>
      <c r="BI413" s="23">
        <v>1</v>
      </c>
      <c r="BJ413" s="23">
        <v>1</v>
      </c>
      <c r="BK413" s="23">
        <v>1</v>
      </c>
      <c r="BL413" s="23">
        <v>1</v>
      </c>
      <c r="BM413" s="23">
        <v>1</v>
      </c>
      <c r="BN413" s="23">
        <v>1</v>
      </c>
      <c r="BO413" s="23">
        <v>1</v>
      </c>
      <c r="BP413" s="23">
        <f>$L413*AI413</f>
        <v>0</v>
      </c>
      <c r="BQ413" s="23">
        <f>$L413*AJ413</f>
        <v>0</v>
      </c>
      <c r="BR413" s="23">
        <f>$L413*AK413</f>
        <v>0</v>
      </c>
      <c r="BS413" s="23">
        <f>$L413*AL413</f>
        <v>0</v>
      </c>
      <c r="BT413" s="23">
        <f>$L413*AM413</f>
        <v>0</v>
      </c>
      <c r="BU413" s="23">
        <f>$L413*AN413</f>
        <v>0</v>
      </c>
      <c r="BV413" s="23">
        <f>$L413*AO413</f>
        <v>0</v>
      </c>
      <c r="BW413" s="23">
        <f>$L413*AP413</f>
        <v>0</v>
      </c>
      <c r="BX413" s="23">
        <f>$L413*AQ413</f>
        <v>0</v>
      </c>
      <c r="BY413" s="23">
        <f>$L413*AR413</f>
        <v>0</v>
      </c>
      <c r="BZ413" s="23">
        <f>$L413*AS413</f>
        <v>0</v>
      </c>
      <c r="CA413" s="23">
        <f>$L413*AT413</f>
        <v>0</v>
      </c>
      <c r="CB413" s="23">
        <f>$L413*AU413</f>
        <v>0</v>
      </c>
      <c r="CC413" s="23">
        <f>$L413*AV413</f>
        <v>0</v>
      </c>
      <c r="CD413" s="23">
        <f>$L413*AW413</f>
        <v>0</v>
      </c>
      <c r="CE413" s="23">
        <f>$L413*AX413</f>
        <v>0</v>
      </c>
      <c r="CF413" s="23">
        <f>$L413*AY413</f>
        <v>0</v>
      </c>
      <c r="CG413" s="23">
        <f>$L413*AZ413</f>
        <v>0</v>
      </c>
      <c r="CH413" s="23">
        <f>$L413*BA413</f>
        <v>0</v>
      </c>
      <c r="CI413" s="23">
        <f>$L413*BB413</f>
        <v>0</v>
      </c>
      <c r="CJ413" s="23">
        <f>$L413*BC413</f>
        <v>0</v>
      </c>
      <c r="CK413" s="23">
        <f>$L413*BD413</f>
        <v>0</v>
      </c>
      <c r="CL413" s="23">
        <f>$L413*BE413</f>
        <v>0</v>
      </c>
      <c r="CM413" s="23">
        <f>$L413*BF413</f>
        <v>0</v>
      </c>
      <c r="CN413" s="23">
        <f>$L413*BG413</f>
        <v>1</v>
      </c>
      <c r="CO413" s="23">
        <f>$L413*BH413</f>
        <v>1</v>
      </c>
      <c r="CP413" s="23">
        <f>$L413*BI413</f>
        <v>1</v>
      </c>
      <c r="CQ413" s="23">
        <f>$L413*BJ413</f>
        <v>1</v>
      </c>
      <c r="CR413" s="23">
        <f>$L413*BK413</f>
        <v>1</v>
      </c>
      <c r="CS413" s="23">
        <f>$L413*BL413</f>
        <v>1</v>
      </c>
      <c r="CT413" s="23">
        <f>$L413*BM413</f>
        <v>1</v>
      </c>
      <c r="CU413" s="23">
        <f>$L413*BN413</f>
        <v>1</v>
      </c>
      <c r="CV413" s="23">
        <f>$L413*BO413</f>
        <v>1</v>
      </c>
    </row>
    <row r="414" spans="1:100" ht="13.5" x14ac:dyDescent="0.15">
      <c r="A414" s="15">
        <v>306</v>
      </c>
      <c r="B414" s="28" t="s">
        <v>797</v>
      </c>
      <c r="C414" t="s">
        <v>414</v>
      </c>
      <c r="E414" t="s">
        <v>140</v>
      </c>
      <c r="F414" t="s">
        <v>415</v>
      </c>
      <c r="G414" t="s">
        <v>140</v>
      </c>
      <c r="H414" t="s">
        <v>141</v>
      </c>
      <c r="I414" s="6" t="s">
        <v>136</v>
      </c>
      <c r="J414" s="6">
        <v>0</v>
      </c>
      <c r="L414" s="15">
        <v>1</v>
      </c>
      <c r="M414" s="7">
        <v>45803</v>
      </c>
      <c r="N414" s="7">
        <v>46195</v>
      </c>
      <c r="O414" s="7">
        <v>46188</v>
      </c>
      <c r="P414" s="7">
        <v>46189</v>
      </c>
      <c r="S414" s="6" t="s">
        <v>140</v>
      </c>
      <c r="U414" s="6" t="s">
        <v>413</v>
      </c>
      <c r="V414" s="6" t="str">
        <f>TEXT(N414,"YY/MM")</f>
        <v>26/06</v>
      </c>
      <c r="W414">
        <v>1786</v>
      </c>
      <c r="AA414">
        <v>1140</v>
      </c>
      <c r="AC414">
        <v>1193</v>
      </c>
      <c r="AI414" s="23">
        <v>0</v>
      </c>
      <c r="AJ414" s="23">
        <v>0</v>
      </c>
      <c r="AK414" s="23">
        <v>0</v>
      </c>
      <c r="AL414" s="23">
        <v>0</v>
      </c>
      <c r="AM414" s="23">
        <v>0</v>
      </c>
      <c r="AN414" s="23">
        <v>0</v>
      </c>
      <c r="AO414" s="23">
        <v>0</v>
      </c>
      <c r="AP414" s="23">
        <v>0</v>
      </c>
      <c r="AQ414" s="23">
        <v>0</v>
      </c>
      <c r="AR414" s="23">
        <v>0</v>
      </c>
      <c r="AS414" s="23">
        <v>0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0</v>
      </c>
      <c r="BA414" s="23">
        <v>0</v>
      </c>
      <c r="BB414" s="23">
        <v>0</v>
      </c>
      <c r="BC414" s="23">
        <v>0</v>
      </c>
      <c r="BD414" s="23">
        <v>0</v>
      </c>
      <c r="BE414" s="23">
        <v>0</v>
      </c>
      <c r="BF414" s="23">
        <v>0</v>
      </c>
      <c r="BG414" s="23">
        <v>1</v>
      </c>
      <c r="BH414" s="23">
        <v>1</v>
      </c>
      <c r="BI414" s="23">
        <v>1</v>
      </c>
      <c r="BJ414" s="23">
        <v>1</v>
      </c>
      <c r="BK414" s="23">
        <v>1</v>
      </c>
      <c r="BL414" s="23">
        <v>1</v>
      </c>
      <c r="BM414" s="23">
        <v>1</v>
      </c>
      <c r="BN414" s="23">
        <v>1</v>
      </c>
      <c r="BO414" s="23">
        <v>1</v>
      </c>
      <c r="BP414" s="23">
        <f>$L414*AI414</f>
        <v>0</v>
      </c>
      <c r="BQ414" s="23">
        <f>$L414*AJ414</f>
        <v>0</v>
      </c>
      <c r="BR414" s="23">
        <f>$L414*AK414</f>
        <v>0</v>
      </c>
      <c r="BS414" s="23">
        <f>$L414*AL414</f>
        <v>0</v>
      </c>
      <c r="BT414" s="23">
        <f>$L414*AM414</f>
        <v>0</v>
      </c>
      <c r="BU414" s="23">
        <f>$L414*AN414</f>
        <v>0</v>
      </c>
      <c r="BV414" s="23">
        <f>$L414*AO414</f>
        <v>0</v>
      </c>
      <c r="BW414" s="23">
        <f>$L414*AP414</f>
        <v>0</v>
      </c>
      <c r="BX414" s="23">
        <f>$L414*AQ414</f>
        <v>0</v>
      </c>
      <c r="BY414" s="23">
        <f>$L414*AR414</f>
        <v>0</v>
      </c>
      <c r="BZ414" s="23">
        <f>$L414*AS414</f>
        <v>0</v>
      </c>
      <c r="CA414" s="23">
        <f>$L414*AT414</f>
        <v>0</v>
      </c>
      <c r="CB414" s="23">
        <f>$L414*AU414</f>
        <v>0</v>
      </c>
      <c r="CC414" s="23">
        <f>$L414*AV414</f>
        <v>0</v>
      </c>
      <c r="CD414" s="23">
        <f>$L414*AW414</f>
        <v>0</v>
      </c>
      <c r="CE414" s="23">
        <f>$L414*AX414</f>
        <v>0</v>
      </c>
      <c r="CF414" s="23">
        <f>$L414*AY414</f>
        <v>0</v>
      </c>
      <c r="CG414" s="23">
        <f>$L414*AZ414</f>
        <v>0</v>
      </c>
      <c r="CH414" s="23">
        <f>$L414*BA414</f>
        <v>0</v>
      </c>
      <c r="CI414" s="23">
        <f>$L414*BB414</f>
        <v>0</v>
      </c>
      <c r="CJ414" s="23">
        <f>$L414*BC414</f>
        <v>0</v>
      </c>
      <c r="CK414" s="23">
        <f>$L414*BD414</f>
        <v>0</v>
      </c>
      <c r="CL414" s="23">
        <f>$L414*BE414</f>
        <v>0</v>
      </c>
      <c r="CM414" s="23">
        <f>$L414*BF414</f>
        <v>0</v>
      </c>
      <c r="CN414" s="23">
        <f>$L414*BG414</f>
        <v>1</v>
      </c>
      <c r="CO414" s="23">
        <f>$L414*BH414</f>
        <v>1</v>
      </c>
      <c r="CP414" s="23">
        <f>$L414*BI414</f>
        <v>1</v>
      </c>
      <c r="CQ414" s="23">
        <f>$L414*BJ414</f>
        <v>1</v>
      </c>
      <c r="CR414" s="23">
        <f>$L414*BK414</f>
        <v>1</v>
      </c>
      <c r="CS414" s="23">
        <f>$L414*BL414</f>
        <v>1</v>
      </c>
      <c r="CT414" s="23">
        <f>$L414*BM414</f>
        <v>1</v>
      </c>
      <c r="CU414" s="23">
        <f>$L414*BN414</f>
        <v>1</v>
      </c>
      <c r="CV414" s="23">
        <f>$L414*BO414</f>
        <v>1</v>
      </c>
    </row>
    <row r="415" spans="1:100" ht="13.5" x14ac:dyDescent="0.15">
      <c r="A415" s="15">
        <v>306</v>
      </c>
      <c r="B415" s="28" t="s">
        <v>798</v>
      </c>
      <c r="C415" t="s">
        <v>414</v>
      </c>
      <c r="E415" t="s">
        <v>140</v>
      </c>
      <c r="F415" t="s">
        <v>415</v>
      </c>
      <c r="G415" t="s">
        <v>140</v>
      </c>
      <c r="H415" t="s">
        <v>141</v>
      </c>
      <c r="I415" s="6" t="s">
        <v>136</v>
      </c>
      <c r="J415" s="6">
        <v>0</v>
      </c>
      <c r="L415" s="15">
        <v>1</v>
      </c>
      <c r="M415" s="7">
        <v>45803</v>
      </c>
      <c r="N415" s="7">
        <v>46195</v>
      </c>
      <c r="O415" s="7">
        <v>46188</v>
      </c>
      <c r="P415" s="7">
        <v>46189</v>
      </c>
      <c r="S415" s="6" t="s">
        <v>140</v>
      </c>
      <c r="U415" s="6" t="s">
        <v>413</v>
      </c>
      <c r="V415" s="6" t="str">
        <f>TEXT(N415,"YY/MM")</f>
        <v>26/06</v>
      </c>
      <c r="W415">
        <v>1787</v>
      </c>
      <c r="AA415">
        <v>1141</v>
      </c>
      <c r="AC415">
        <v>1194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3">
        <v>0</v>
      </c>
      <c r="AU415" s="23">
        <v>0</v>
      </c>
      <c r="AV415" s="23">
        <v>0</v>
      </c>
      <c r="AW415" s="23">
        <v>0</v>
      </c>
      <c r="AX415" s="23">
        <v>0</v>
      </c>
      <c r="AY415" s="23">
        <v>0</v>
      </c>
      <c r="AZ415" s="23">
        <v>0</v>
      </c>
      <c r="BA415" s="23">
        <v>0</v>
      </c>
      <c r="BB415" s="23">
        <v>0</v>
      </c>
      <c r="BC415" s="23">
        <v>0</v>
      </c>
      <c r="BD415" s="23">
        <v>0</v>
      </c>
      <c r="BE415" s="23">
        <v>0</v>
      </c>
      <c r="BF415" s="23">
        <v>0</v>
      </c>
      <c r="BG415" s="23">
        <v>1</v>
      </c>
      <c r="BH415" s="23">
        <v>1</v>
      </c>
      <c r="BI415" s="23">
        <v>1</v>
      </c>
      <c r="BJ415" s="23">
        <v>1</v>
      </c>
      <c r="BK415" s="23">
        <v>1</v>
      </c>
      <c r="BL415" s="23">
        <v>1</v>
      </c>
      <c r="BM415" s="23">
        <v>1</v>
      </c>
      <c r="BN415" s="23">
        <v>1</v>
      </c>
      <c r="BO415" s="23">
        <v>1</v>
      </c>
      <c r="BP415" s="23">
        <f>$L415*AI415</f>
        <v>0</v>
      </c>
      <c r="BQ415" s="23">
        <f>$L415*AJ415</f>
        <v>0</v>
      </c>
      <c r="BR415" s="23">
        <f>$L415*AK415</f>
        <v>0</v>
      </c>
      <c r="BS415" s="23">
        <f>$L415*AL415</f>
        <v>0</v>
      </c>
      <c r="BT415" s="23">
        <f>$L415*AM415</f>
        <v>0</v>
      </c>
      <c r="BU415" s="23">
        <f>$L415*AN415</f>
        <v>0</v>
      </c>
      <c r="BV415" s="23">
        <f>$L415*AO415</f>
        <v>0</v>
      </c>
      <c r="BW415" s="23">
        <f>$L415*AP415</f>
        <v>0</v>
      </c>
      <c r="BX415" s="23">
        <f>$L415*AQ415</f>
        <v>0</v>
      </c>
      <c r="BY415" s="23">
        <f>$L415*AR415</f>
        <v>0</v>
      </c>
      <c r="BZ415" s="23">
        <f>$L415*AS415</f>
        <v>0</v>
      </c>
      <c r="CA415" s="23">
        <f>$L415*AT415</f>
        <v>0</v>
      </c>
      <c r="CB415" s="23">
        <f>$L415*AU415</f>
        <v>0</v>
      </c>
      <c r="CC415" s="23">
        <f>$L415*AV415</f>
        <v>0</v>
      </c>
      <c r="CD415" s="23">
        <f>$L415*AW415</f>
        <v>0</v>
      </c>
      <c r="CE415" s="23">
        <f>$L415*AX415</f>
        <v>0</v>
      </c>
      <c r="CF415" s="23">
        <f>$L415*AY415</f>
        <v>0</v>
      </c>
      <c r="CG415" s="23">
        <f>$L415*AZ415</f>
        <v>0</v>
      </c>
      <c r="CH415" s="23">
        <f>$L415*BA415</f>
        <v>0</v>
      </c>
      <c r="CI415" s="23">
        <f>$L415*BB415</f>
        <v>0</v>
      </c>
      <c r="CJ415" s="23">
        <f>$L415*BC415</f>
        <v>0</v>
      </c>
      <c r="CK415" s="23">
        <f>$L415*BD415</f>
        <v>0</v>
      </c>
      <c r="CL415" s="23">
        <f>$L415*BE415</f>
        <v>0</v>
      </c>
      <c r="CM415" s="23">
        <f>$L415*BF415</f>
        <v>0</v>
      </c>
      <c r="CN415" s="23">
        <f>$L415*BG415</f>
        <v>1</v>
      </c>
      <c r="CO415" s="23">
        <f>$L415*BH415</f>
        <v>1</v>
      </c>
      <c r="CP415" s="23">
        <f>$L415*BI415</f>
        <v>1</v>
      </c>
      <c r="CQ415" s="23">
        <f>$L415*BJ415</f>
        <v>1</v>
      </c>
      <c r="CR415" s="23">
        <f>$L415*BK415</f>
        <v>1</v>
      </c>
      <c r="CS415" s="23">
        <f>$L415*BL415</f>
        <v>1</v>
      </c>
      <c r="CT415" s="23">
        <f>$L415*BM415</f>
        <v>1</v>
      </c>
      <c r="CU415" s="23">
        <f>$L415*BN415</f>
        <v>1</v>
      </c>
      <c r="CV415" s="23">
        <f>$L415*BO415</f>
        <v>1</v>
      </c>
    </row>
    <row r="416" spans="1:100" ht="13.5" x14ac:dyDescent="0.15">
      <c r="A416" s="15">
        <v>306</v>
      </c>
      <c r="B416" s="28" t="s">
        <v>799</v>
      </c>
      <c r="C416" t="s">
        <v>414</v>
      </c>
      <c r="E416" t="s">
        <v>140</v>
      </c>
      <c r="F416" t="s">
        <v>415</v>
      </c>
      <c r="G416" t="s">
        <v>140</v>
      </c>
      <c r="H416" t="s">
        <v>141</v>
      </c>
      <c r="I416" s="6" t="s">
        <v>136</v>
      </c>
      <c r="J416" s="6">
        <v>0</v>
      </c>
      <c r="L416" s="15">
        <v>1</v>
      </c>
      <c r="M416" s="7">
        <v>45803</v>
      </c>
      <c r="N416" s="7">
        <v>46195</v>
      </c>
      <c r="O416" s="7">
        <v>46188</v>
      </c>
      <c r="P416" s="7">
        <v>46189</v>
      </c>
      <c r="S416" s="6" t="s">
        <v>140</v>
      </c>
      <c r="U416" s="6" t="s">
        <v>413</v>
      </c>
      <c r="V416" s="6" t="str">
        <f>TEXT(N416,"YY/MM")</f>
        <v>26/06</v>
      </c>
      <c r="W416">
        <v>1788</v>
      </c>
      <c r="AA416">
        <v>1142</v>
      </c>
      <c r="AC416">
        <v>1195</v>
      </c>
      <c r="AI416" s="23">
        <v>0</v>
      </c>
      <c r="AJ416" s="23">
        <v>0</v>
      </c>
      <c r="AK416" s="23">
        <v>0</v>
      </c>
      <c r="AL416" s="23">
        <v>0</v>
      </c>
      <c r="AM416" s="23">
        <v>0</v>
      </c>
      <c r="AN416" s="23">
        <v>0</v>
      </c>
      <c r="AO416" s="23">
        <v>0</v>
      </c>
      <c r="AP416" s="23">
        <v>0</v>
      </c>
      <c r="AQ416" s="23">
        <v>0</v>
      </c>
      <c r="AR416" s="23">
        <v>0</v>
      </c>
      <c r="AS416" s="23">
        <v>0</v>
      </c>
      <c r="AT416" s="23">
        <v>0</v>
      </c>
      <c r="AU416" s="23">
        <v>0</v>
      </c>
      <c r="AV416" s="23">
        <v>0</v>
      </c>
      <c r="AW416" s="23">
        <v>0</v>
      </c>
      <c r="AX416" s="23">
        <v>0</v>
      </c>
      <c r="AY416" s="23">
        <v>0</v>
      </c>
      <c r="AZ416" s="23">
        <v>0</v>
      </c>
      <c r="BA416" s="23">
        <v>0</v>
      </c>
      <c r="BB416" s="23">
        <v>0</v>
      </c>
      <c r="BC416" s="23">
        <v>0</v>
      </c>
      <c r="BD416" s="23">
        <v>0</v>
      </c>
      <c r="BE416" s="23">
        <v>0</v>
      </c>
      <c r="BF416" s="23">
        <v>0</v>
      </c>
      <c r="BG416" s="23">
        <v>1</v>
      </c>
      <c r="BH416" s="23">
        <v>1</v>
      </c>
      <c r="BI416" s="23">
        <v>1</v>
      </c>
      <c r="BJ416" s="23">
        <v>1</v>
      </c>
      <c r="BK416" s="23">
        <v>1</v>
      </c>
      <c r="BL416" s="23">
        <v>1</v>
      </c>
      <c r="BM416" s="23">
        <v>1</v>
      </c>
      <c r="BN416" s="23">
        <v>1</v>
      </c>
      <c r="BO416" s="23">
        <v>1</v>
      </c>
      <c r="BP416" s="23">
        <f>$L416*AI416</f>
        <v>0</v>
      </c>
      <c r="BQ416" s="23">
        <f>$L416*AJ416</f>
        <v>0</v>
      </c>
      <c r="BR416" s="23">
        <f>$L416*AK416</f>
        <v>0</v>
      </c>
      <c r="BS416" s="23">
        <f>$L416*AL416</f>
        <v>0</v>
      </c>
      <c r="BT416" s="23">
        <f>$L416*AM416</f>
        <v>0</v>
      </c>
      <c r="BU416" s="23">
        <f>$L416*AN416</f>
        <v>0</v>
      </c>
      <c r="BV416" s="23">
        <f>$L416*AO416</f>
        <v>0</v>
      </c>
      <c r="BW416" s="23">
        <f>$L416*AP416</f>
        <v>0</v>
      </c>
      <c r="BX416" s="23">
        <f>$L416*AQ416</f>
        <v>0</v>
      </c>
      <c r="BY416" s="23">
        <f>$L416*AR416</f>
        <v>0</v>
      </c>
      <c r="BZ416" s="23">
        <f>$L416*AS416</f>
        <v>0</v>
      </c>
      <c r="CA416" s="23">
        <f>$L416*AT416</f>
        <v>0</v>
      </c>
      <c r="CB416" s="23">
        <f>$L416*AU416</f>
        <v>0</v>
      </c>
      <c r="CC416" s="23">
        <f>$L416*AV416</f>
        <v>0</v>
      </c>
      <c r="CD416" s="23">
        <f>$L416*AW416</f>
        <v>0</v>
      </c>
      <c r="CE416" s="23">
        <f>$L416*AX416</f>
        <v>0</v>
      </c>
      <c r="CF416" s="23">
        <f>$L416*AY416</f>
        <v>0</v>
      </c>
      <c r="CG416" s="23">
        <f>$L416*AZ416</f>
        <v>0</v>
      </c>
      <c r="CH416" s="23">
        <f>$L416*BA416</f>
        <v>0</v>
      </c>
      <c r="CI416" s="23">
        <f>$L416*BB416</f>
        <v>0</v>
      </c>
      <c r="CJ416" s="23">
        <f>$L416*BC416</f>
        <v>0</v>
      </c>
      <c r="CK416" s="23">
        <f>$L416*BD416</f>
        <v>0</v>
      </c>
      <c r="CL416" s="23">
        <f>$L416*BE416</f>
        <v>0</v>
      </c>
      <c r="CM416" s="23">
        <f>$L416*BF416</f>
        <v>0</v>
      </c>
      <c r="CN416" s="23">
        <f>$L416*BG416</f>
        <v>1</v>
      </c>
      <c r="CO416" s="23">
        <f>$L416*BH416</f>
        <v>1</v>
      </c>
      <c r="CP416" s="23">
        <f>$L416*BI416</f>
        <v>1</v>
      </c>
      <c r="CQ416" s="23">
        <f>$L416*BJ416</f>
        <v>1</v>
      </c>
      <c r="CR416" s="23">
        <f>$L416*BK416</f>
        <v>1</v>
      </c>
      <c r="CS416" s="23">
        <f>$L416*BL416</f>
        <v>1</v>
      </c>
      <c r="CT416" s="23">
        <f>$L416*BM416</f>
        <v>1</v>
      </c>
      <c r="CU416" s="23">
        <f>$L416*BN416</f>
        <v>1</v>
      </c>
      <c r="CV416" s="23">
        <f>$L416*BO416</f>
        <v>1</v>
      </c>
    </row>
    <row r="417" spans="1:100" ht="13.5" x14ac:dyDescent="0.15">
      <c r="A417" s="15">
        <v>306</v>
      </c>
      <c r="B417" s="28" t="s">
        <v>800</v>
      </c>
      <c r="C417" t="s">
        <v>414</v>
      </c>
      <c r="E417" t="s">
        <v>140</v>
      </c>
      <c r="F417" t="s">
        <v>415</v>
      </c>
      <c r="G417" t="s">
        <v>140</v>
      </c>
      <c r="H417" t="s">
        <v>141</v>
      </c>
      <c r="I417" s="6" t="s">
        <v>136</v>
      </c>
      <c r="J417" s="6">
        <v>0</v>
      </c>
      <c r="L417" s="15">
        <v>1</v>
      </c>
      <c r="M417" s="7">
        <v>45803</v>
      </c>
      <c r="N417" s="7">
        <v>46195</v>
      </c>
      <c r="O417" s="7">
        <v>46188</v>
      </c>
      <c r="P417" s="7">
        <v>46189</v>
      </c>
      <c r="S417" s="6" t="s">
        <v>140</v>
      </c>
      <c r="U417" s="6" t="s">
        <v>413</v>
      </c>
      <c r="V417" s="6" t="str">
        <f>TEXT(N417,"YY/MM")</f>
        <v>26/06</v>
      </c>
      <c r="W417">
        <v>1789</v>
      </c>
      <c r="AA417">
        <v>1143</v>
      </c>
      <c r="AC417">
        <v>1196</v>
      </c>
      <c r="AI417" s="23">
        <v>0</v>
      </c>
      <c r="AJ417" s="23">
        <v>0</v>
      </c>
      <c r="AK417" s="23">
        <v>0</v>
      </c>
      <c r="AL417" s="23">
        <v>0</v>
      </c>
      <c r="AM417" s="23">
        <v>0</v>
      </c>
      <c r="AN417" s="23">
        <v>0</v>
      </c>
      <c r="AO417" s="23">
        <v>0</v>
      </c>
      <c r="AP417" s="23">
        <v>0</v>
      </c>
      <c r="AQ417" s="23">
        <v>0</v>
      </c>
      <c r="AR417" s="23">
        <v>0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0</v>
      </c>
      <c r="AZ417" s="23">
        <v>0</v>
      </c>
      <c r="BA417" s="23">
        <v>0</v>
      </c>
      <c r="BB417" s="23">
        <v>0</v>
      </c>
      <c r="BC417" s="23">
        <v>0</v>
      </c>
      <c r="BD417" s="23">
        <v>0</v>
      </c>
      <c r="BE417" s="23">
        <v>0</v>
      </c>
      <c r="BF417" s="23">
        <v>0</v>
      </c>
      <c r="BG417" s="23">
        <v>1</v>
      </c>
      <c r="BH417" s="23">
        <v>1</v>
      </c>
      <c r="BI417" s="23">
        <v>1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>
        <f>$L417*AI417</f>
        <v>0</v>
      </c>
      <c r="BQ417" s="23">
        <f>$L417*AJ417</f>
        <v>0</v>
      </c>
      <c r="BR417" s="23">
        <f>$L417*AK417</f>
        <v>0</v>
      </c>
      <c r="BS417" s="23">
        <f>$L417*AL417</f>
        <v>0</v>
      </c>
      <c r="BT417" s="23">
        <f>$L417*AM417</f>
        <v>0</v>
      </c>
      <c r="BU417" s="23">
        <f>$L417*AN417</f>
        <v>0</v>
      </c>
      <c r="BV417" s="23">
        <f>$L417*AO417</f>
        <v>0</v>
      </c>
      <c r="BW417" s="23">
        <f>$L417*AP417</f>
        <v>0</v>
      </c>
      <c r="BX417" s="23">
        <f>$L417*AQ417</f>
        <v>0</v>
      </c>
      <c r="BY417" s="23">
        <f>$L417*AR417</f>
        <v>0</v>
      </c>
      <c r="BZ417" s="23">
        <f>$L417*AS417</f>
        <v>0</v>
      </c>
      <c r="CA417" s="23">
        <f>$L417*AT417</f>
        <v>0</v>
      </c>
      <c r="CB417" s="23">
        <f>$L417*AU417</f>
        <v>0</v>
      </c>
      <c r="CC417" s="23">
        <f>$L417*AV417</f>
        <v>0</v>
      </c>
      <c r="CD417" s="23">
        <f>$L417*AW417</f>
        <v>0</v>
      </c>
      <c r="CE417" s="23">
        <f>$L417*AX417</f>
        <v>0</v>
      </c>
      <c r="CF417" s="23">
        <f>$L417*AY417</f>
        <v>0</v>
      </c>
      <c r="CG417" s="23">
        <f>$L417*AZ417</f>
        <v>0</v>
      </c>
      <c r="CH417" s="23">
        <f>$L417*BA417</f>
        <v>0</v>
      </c>
      <c r="CI417" s="23">
        <f>$L417*BB417</f>
        <v>0</v>
      </c>
      <c r="CJ417" s="23">
        <f>$L417*BC417</f>
        <v>0</v>
      </c>
      <c r="CK417" s="23">
        <f>$L417*BD417</f>
        <v>0</v>
      </c>
      <c r="CL417" s="23">
        <f>$L417*BE417</f>
        <v>0</v>
      </c>
      <c r="CM417" s="23">
        <f>$L417*BF417</f>
        <v>0</v>
      </c>
      <c r="CN417" s="23">
        <f>$L417*BG417</f>
        <v>1</v>
      </c>
      <c r="CO417" s="23">
        <f>$L417*BH417</f>
        <v>1</v>
      </c>
      <c r="CP417" s="23">
        <f>$L417*BI417</f>
        <v>1</v>
      </c>
      <c r="CQ417" s="23">
        <f>$L417*BJ417</f>
        <v>1</v>
      </c>
      <c r="CR417" s="23">
        <f>$L417*BK417</f>
        <v>1</v>
      </c>
      <c r="CS417" s="23">
        <f>$L417*BL417</f>
        <v>1</v>
      </c>
      <c r="CT417" s="23">
        <f>$L417*BM417</f>
        <v>1</v>
      </c>
      <c r="CU417" s="23">
        <f>$L417*BN417</f>
        <v>1</v>
      </c>
      <c r="CV417" s="23">
        <f>$L417*BO417</f>
        <v>1</v>
      </c>
    </row>
    <row r="418" spans="1:100" ht="13.5" x14ac:dyDescent="0.15">
      <c r="A418" s="15">
        <v>306</v>
      </c>
      <c r="B418" s="28" t="s">
        <v>801</v>
      </c>
      <c r="C418" t="s">
        <v>414</v>
      </c>
      <c r="E418" t="s">
        <v>140</v>
      </c>
      <c r="F418" t="s">
        <v>415</v>
      </c>
      <c r="G418" t="s">
        <v>140</v>
      </c>
      <c r="H418" t="s">
        <v>141</v>
      </c>
      <c r="I418" s="6" t="s">
        <v>136</v>
      </c>
      <c r="J418" s="6">
        <v>0</v>
      </c>
      <c r="L418" s="15">
        <v>1</v>
      </c>
      <c r="M418" s="7">
        <v>45803</v>
      </c>
      <c r="N418" s="7">
        <v>46195</v>
      </c>
      <c r="O418" s="7">
        <v>46188</v>
      </c>
      <c r="P418" s="7">
        <v>46189</v>
      </c>
      <c r="S418" s="6" t="s">
        <v>140</v>
      </c>
      <c r="U418" s="6" t="s">
        <v>413</v>
      </c>
      <c r="V418" s="6" t="str">
        <f>TEXT(N418,"YY/MM")</f>
        <v>26/06</v>
      </c>
      <c r="W418">
        <v>1790</v>
      </c>
      <c r="AA418">
        <v>1144</v>
      </c>
      <c r="AC418">
        <v>1197</v>
      </c>
      <c r="AI418" s="23">
        <v>0</v>
      </c>
      <c r="AJ418" s="23">
        <v>0</v>
      </c>
      <c r="AK418" s="23">
        <v>0</v>
      </c>
      <c r="AL418" s="23">
        <v>0</v>
      </c>
      <c r="AM418" s="23">
        <v>0</v>
      </c>
      <c r="AN418" s="23">
        <v>0</v>
      </c>
      <c r="AO418" s="23">
        <v>0</v>
      </c>
      <c r="AP418" s="23">
        <v>0</v>
      </c>
      <c r="AQ418" s="23">
        <v>0</v>
      </c>
      <c r="AR418" s="23">
        <v>0</v>
      </c>
      <c r="AS418" s="23">
        <v>0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0</v>
      </c>
      <c r="AZ418" s="23">
        <v>0</v>
      </c>
      <c r="BA418" s="23">
        <v>0</v>
      </c>
      <c r="BB418" s="23">
        <v>0</v>
      </c>
      <c r="BC418" s="23">
        <v>0</v>
      </c>
      <c r="BD418" s="23">
        <v>0</v>
      </c>
      <c r="BE418" s="23">
        <v>0</v>
      </c>
      <c r="BF418" s="23">
        <v>0</v>
      </c>
      <c r="BG418" s="23">
        <v>1</v>
      </c>
      <c r="BH418" s="23">
        <v>1</v>
      </c>
      <c r="BI418" s="23">
        <v>1</v>
      </c>
      <c r="BJ418" s="23">
        <v>1</v>
      </c>
      <c r="BK418" s="23">
        <v>1</v>
      </c>
      <c r="BL418" s="23">
        <v>1</v>
      </c>
      <c r="BM418" s="23">
        <v>1</v>
      </c>
      <c r="BN418" s="23">
        <v>1</v>
      </c>
      <c r="BO418" s="23">
        <v>1</v>
      </c>
      <c r="BP418" s="23">
        <f>$L418*AI418</f>
        <v>0</v>
      </c>
      <c r="BQ418" s="23">
        <f>$L418*AJ418</f>
        <v>0</v>
      </c>
      <c r="BR418" s="23">
        <f>$L418*AK418</f>
        <v>0</v>
      </c>
      <c r="BS418" s="23">
        <f>$L418*AL418</f>
        <v>0</v>
      </c>
      <c r="BT418" s="23">
        <f>$L418*AM418</f>
        <v>0</v>
      </c>
      <c r="BU418" s="23">
        <f>$L418*AN418</f>
        <v>0</v>
      </c>
      <c r="BV418" s="23">
        <f>$L418*AO418</f>
        <v>0</v>
      </c>
      <c r="BW418" s="23">
        <f>$L418*AP418</f>
        <v>0</v>
      </c>
      <c r="BX418" s="23">
        <f>$L418*AQ418</f>
        <v>0</v>
      </c>
      <c r="BY418" s="23">
        <f>$L418*AR418</f>
        <v>0</v>
      </c>
      <c r="BZ418" s="23">
        <f>$L418*AS418</f>
        <v>0</v>
      </c>
      <c r="CA418" s="23">
        <f>$L418*AT418</f>
        <v>0</v>
      </c>
      <c r="CB418" s="23">
        <f>$L418*AU418</f>
        <v>0</v>
      </c>
      <c r="CC418" s="23">
        <f>$L418*AV418</f>
        <v>0</v>
      </c>
      <c r="CD418" s="23">
        <f>$L418*AW418</f>
        <v>0</v>
      </c>
      <c r="CE418" s="23">
        <f>$L418*AX418</f>
        <v>0</v>
      </c>
      <c r="CF418" s="23">
        <f>$L418*AY418</f>
        <v>0</v>
      </c>
      <c r="CG418" s="23">
        <f>$L418*AZ418</f>
        <v>0</v>
      </c>
      <c r="CH418" s="23">
        <f>$L418*BA418</f>
        <v>0</v>
      </c>
      <c r="CI418" s="23">
        <f>$L418*BB418</f>
        <v>0</v>
      </c>
      <c r="CJ418" s="23">
        <f>$L418*BC418</f>
        <v>0</v>
      </c>
      <c r="CK418" s="23">
        <f>$L418*BD418</f>
        <v>0</v>
      </c>
      <c r="CL418" s="23">
        <f>$L418*BE418</f>
        <v>0</v>
      </c>
      <c r="CM418" s="23">
        <f>$L418*BF418</f>
        <v>0</v>
      </c>
      <c r="CN418" s="23">
        <f>$L418*BG418</f>
        <v>1</v>
      </c>
      <c r="CO418" s="23">
        <f>$L418*BH418</f>
        <v>1</v>
      </c>
      <c r="CP418" s="23">
        <f>$L418*BI418</f>
        <v>1</v>
      </c>
      <c r="CQ418" s="23">
        <f>$L418*BJ418</f>
        <v>1</v>
      </c>
      <c r="CR418" s="23">
        <f>$L418*BK418</f>
        <v>1</v>
      </c>
      <c r="CS418" s="23">
        <f>$L418*BL418</f>
        <v>1</v>
      </c>
      <c r="CT418" s="23">
        <f>$L418*BM418</f>
        <v>1</v>
      </c>
      <c r="CU418" s="23">
        <f>$L418*BN418</f>
        <v>1</v>
      </c>
      <c r="CV418" s="23">
        <f>$L418*BO418</f>
        <v>1</v>
      </c>
    </row>
    <row r="419" spans="1:100" ht="13.5" x14ac:dyDescent="0.15">
      <c r="A419" s="15">
        <v>306</v>
      </c>
      <c r="B419" s="28" t="s">
        <v>802</v>
      </c>
      <c r="C419" t="s">
        <v>414</v>
      </c>
      <c r="E419" t="s">
        <v>140</v>
      </c>
      <c r="F419" t="s">
        <v>415</v>
      </c>
      <c r="G419" t="s">
        <v>140</v>
      </c>
      <c r="H419" t="s">
        <v>141</v>
      </c>
      <c r="I419" s="6" t="s">
        <v>136</v>
      </c>
      <c r="J419" s="6">
        <v>0</v>
      </c>
      <c r="L419" s="15">
        <v>1</v>
      </c>
      <c r="M419" s="7">
        <v>45803</v>
      </c>
      <c r="N419" s="7">
        <v>46196</v>
      </c>
      <c r="O419" s="7">
        <v>46188</v>
      </c>
      <c r="P419" s="7">
        <v>46189</v>
      </c>
      <c r="S419" s="6" t="s">
        <v>140</v>
      </c>
      <c r="U419" s="6" t="s">
        <v>413</v>
      </c>
      <c r="V419" s="6" t="str">
        <f>TEXT(N419,"YY/MM")</f>
        <v>26/06</v>
      </c>
      <c r="W419">
        <v>1791</v>
      </c>
      <c r="AA419">
        <v>1145</v>
      </c>
      <c r="AC419">
        <v>1198</v>
      </c>
      <c r="AI419" s="23">
        <v>0</v>
      </c>
      <c r="AJ419" s="23">
        <v>0</v>
      </c>
      <c r="AK419" s="23">
        <v>0</v>
      </c>
      <c r="AL419" s="23">
        <v>0</v>
      </c>
      <c r="AM419" s="23">
        <v>0</v>
      </c>
      <c r="AN419" s="23">
        <v>0</v>
      </c>
      <c r="AO419" s="23">
        <v>0</v>
      </c>
      <c r="AP419" s="23">
        <v>0</v>
      </c>
      <c r="AQ419" s="23">
        <v>0</v>
      </c>
      <c r="AR419" s="23">
        <v>0</v>
      </c>
      <c r="AS419" s="23">
        <v>0</v>
      </c>
      <c r="AT419" s="23">
        <v>0</v>
      </c>
      <c r="AU419" s="23">
        <v>0</v>
      </c>
      <c r="AV419" s="23">
        <v>0</v>
      </c>
      <c r="AW419" s="23">
        <v>0</v>
      </c>
      <c r="AX419" s="23">
        <v>0</v>
      </c>
      <c r="AY419" s="23">
        <v>0</v>
      </c>
      <c r="AZ419" s="23">
        <v>0</v>
      </c>
      <c r="BA419" s="23">
        <v>0</v>
      </c>
      <c r="BB419" s="23">
        <v>0</v>
      </c>
      <c r="BC419" s="23">
        <v>0</v>
      </c>
      <c r="BD419" s="23">
        <v>0</v>
      </c>
      <c r="BE419" s="23">
        <v>0</v>
      </c>
      <c r="BF419" s="23">
        <v>0</v>
      </c>
      <c r="BG419" s="23">
        <v>1</v>
      </c>
      <c r="BH419" s="23">
        <v>1</v>
      </c>
      <c r="BI419" s="23">
        <v>1</v>
      </c>
      <c r="BJ419" s="23">
        <v>1</v>
      </c>
      <c r="BK419" s="23">
        <v>1</v>
      </c>
      <c r="BL419" s="23">
        <v>1</v>
      </c>
      <c r="BM419" s="23">
        <v>1</v>
      </c>
      <c r="BN419" s="23">
        <v>1</v>
      </c>
      <c r="BO419" s="23">
        <v>1</v>
      </c>
      <c r="BP419" s="23">
        <f>$L419*AI419</f>
        <v>0</v>
      </c>
      <c r="BQ419" s="23">
        <f>$L419*AJ419</f>
        <v>0</v>
      </c>
      <c r="BR419" s="23">
        <f>$L419*AK419</f>
        <v>0</v>
      </c>
      <c r="BS419" s="23">
        <f>$L419*AL419</f>
        <v>0</v>
      </c>
      <c r="BT419" s="23">
        <f>$L419*AM419</f>
        <v>0</v>
      </c>
      <c r="BU419" s="23">
        <f>$L419*AN419</f>
        <v>0</v>
      </c>
      <c r="BV419" s="23">
        <f>$L419*AO419</f>
        <v>0</v>
      </c>
      <c r="BW419" s="23">
        <f>$L419*AP419</f>
        <v>0</v>
      </c>
      <c r="BX419" s="23">
        <f>$L419*AQ419</f>
        <v>0</v>
      </c>
      <c r="BY419" s="23">
        <f>$L419*AR419</f>
        <v>0</v>
      </c>
      <c r="BZ419" s="23">
        <f>$L419*AS419</f>
        <v>0</v>
      </c>
      <c r="CA419" s="23">
        <f>$L419*AT419</f>
        <v>0</v>
      </c>
      <c r="CB419" s="23">
        <f>$L419*AU419</f>
        <v>0</v>
      </c>
      <c r="CC419" s="23">
        <f>$L419*AV419</f>
        <v>0</v>
      </c>
      <c r="CD419" s="23">
        <f>$L419*AW419</f>
        <v>0</v>
      </c>
      <c r="CE419" s="23">
        <f>$L419*AX419</f>
        <v>0</v>
      </c>
      <c r="CF419" s="23">
        <f>$L419*AY419</f>
        <v>0</v>
      </c>
      <c r="CG419" s="23">
        <f>$L419*AZ419</f>
        <v>0</v>
      </c>
      <c r="CH419" s="23">
        <f>$L419*BA419</f>
        <v>0</v>
      </c>
      <c r="CI419" s="23">
        <f>$L419*BB419</f>
        <v>0</v>
      </c>
      <c r="CJ419" s="23">
        <f>$L419*BC419</f>
        <v>0</v>
      </c>
      <c r="CK419" s="23">
        <f>$L419*BD419</f>
        <v>0</v>
      </c>
      <c r="CL419" s="23">
        <f>$L419*BE419</f>
        <v>0</v>
      </c>
      <c r="CM419" s="23">
        <f>$L419*BF419</f>
        <v>0</v>
      </c>
      <c r="CN419" s="23">
        <f>$L419*BG419</f>
        <v>1</v>
      </c>
      <c r="CO419" s="23">
        <f>$L419*BH419</f>
        <v>1</v>
      </c>
      <c r="CP419" s="23">
        <f>$L419*BI419</f>
        <v>1</v>
      </c>
      <c r="CQ419" s="23">
        <f>$L419*BJ419</f>
        <v>1</v>
      </c>
      <c r="CR419" s="23">
        <f>$L419*BK419</f>
        <v>1</v>
      </c>
      <c r="CS419" s="23">
        <f>$L419*BL419</f>
        <v>1</v>
      </c>
      <c r="CT419" s="23">
        <f>$L419*BM419</f>
        <v>1</v>
      </c>
      <c r="CU419" s="23">
        <f>$L419*BN419</f>
        <v>1</v>
      </c>
      <c r="CV419" s="23">
        <f>$L419*BO419</f>
        <v>1</v>
      </c>
    </row>
    <row r="420" spans="1:100" ht="13.5" x14ac:dyDescent="0.15">
      <c r="A420" s="15">
        <v>306</v>
      </c>
      <c r="B420" s="28" t="s">
        <v>803</v>
      </c>
      <c r="C420" t="s">
        <v>414</v>
      </c>
      <c r="E420" t="s">
        <v>140</v>
      </c>
      <c r="F420" t="s">
        <v>415</v>
      </c>
      <c r="G420" t="s">
        <v>140</v>
      </c>
      <c r="H420" t="s">
        <v>141</v>
      </c>
      <c r="I420" s="6" t="s">
        <v>136</v>
      </c>
      <c r="J420" s="6">
        <v>0</v>
      </c>
      <c r="L420" s="15">
        <v>1</v>
      </c>
      <c r="M420" s="7">
        <v>45803</v>
      </c>
      <c r="N420" s="7">
        <v>46196</v>
      </c>
      <c r="O420" s="7">
        <v>46188</v>
      </c>
      <c r="P420" s="7">
        <v>46189</v>
      </c>
      <c r="S420" s="6" t="s">
        <v>140</v>
      </c>
      <c r="U420" s="6" t="s">
        <v>413</v>
      </c>
      <c r="V420" s="6" t="str">
        <f>TEXT(N420,"YY/MM")</f>
        <v>26/06</v>
      </c>
      <c r="W420">
        <v>1792</v>
      </c>
      <c r="AA420">
        <v>1146</v>
      </c>
      <c r="AC420">
        <v>1199</v>
      </c>
      <c r="AI420" s="23">
        <v>0</v>
      </c>
      <c r="AJ420" s="23">
        <v>0</v>
      </c>
      <c r="AK420" s="23">
        <v>0</v>
      </c>
      <c r="AL420" s="23">
        <v>0</v>
      </c>
      <c r="AM420" s="23">
        <v>0</v>
      </c>
      <c r="AN420" s="23">
        <v>0</v>
      </c>
      <c r="AO420" s="23">
        <v>0</v>
      </c>
      <c r="AP420" s="23">
        <v>0</v>
      </c>
      <c r="AQ420" s="23">
        <v>0</v>
      </c>
      <c r="AR420" s="23">
        <v>0</v>
      </c>
      <c r="AS420" s="23">
        <v>0</v>
      </c>
      <c r="AT420" s="23">
        <v>0</v>
      </c>
      <c r="AU420" s="23">
        <v>0</v>
      </c>
      <c r="AV420" s="23">
        <v>0</v>
      </c>
      <c r="AW420" s="23">
        <v>0</v>
      </c>
      <c r="AX420" s="23">
        <v>0</v>
      </c>
      <c r="AY420" s="23">
        <v>0</v>
      </c>
      <c r="AZ420" s="23">
        <v>0</v>
      </c>
      <c r="BA420" s="23">
        <v>0</v>
      </c>
      <c r="BB420" s="23">
        <v>0</v>
      </c>
      <c r="BC420" s="23">
        <v>0</v>
      </c>
      <c r="BD420" s="23">
        <v>0</v>
      </c>
      <c r="BE420" s="23">
        <v>0</v>
      </c>
      <c r="BF420" s="23">
        <v>0</v>
      </c>
      <c r="BG420" s="23">
        <v>1</v>
      </c>
      <c r="BH420" s="23">
        <v>1</v>
      </c>
      <c r="BI420" s="23">
        <v>1</v>
      </c>
      <c r="BJ420" s="23">
        <v>1</v>
      </c>
      <c r="BK420" s="23">
        <v>1</v>
      </c>
      <c r="BL420" s="23">
        <v>1</v>
      </c>
      <c r="BM420" s="23">
        <v>1</v>
      </c>
      <c r="BN420" s="23">
        <v>1</v>
      </c>
      <c r="BO420" s="23">
        <v>1</v>
      </c>
      <c r="BP420" s="23">
        <f>$L420*AI420</f>
        <v>0</v>
      </c>
      <c r="BQ420" s="23">
        <f>$L420*AJ420</f>
        <v>0</v>
      </c>
      <c r="BR420" s="23">
        <f>$L420*AK420</f>
        <v>0</v>
      </c>
      <c r="BS420" s="23">
        <f>$L420*AL420</f>
        <v>0</v>
      </c>
      <c r="BT420" s="23">
        <f>$L420*AM420</f>
        <v>0</v>
      </c>
      <c r="BU420" s="23">
        <f>$L420*AN420</f>
        <v>0</v>
      </c>
      <c r="BV420" s="23">
        <f>$L420*AO420</f>
        <v>0</v>
      </c>
      <c r="BW420" s="23">
        <f>$L420*AP420</f>
        <v>0</v>
      </c>
      <c r="BX420" s="23">
        <f>$L420*AQ420</f>
        <v>0</v>
      </c>
      <c r="BY420" s="23">
        <f>$L420*AR420</f>
        <v>0</v>
      </c>
      <c r="BZ420" s="23">
        <f>$L420*AS420</f>
        <v>0</v>
      </c>
      <c r="CA420" s="23">
        <f>$L420*AT420</f>
        <v>0</v>
      </c>
      <c r="CB420" s="23">
        <f>$L420*AU420</f>
        <v>0</v>
      </c>
      <c r="CC420" s="23">
        <f>$L420*AV420</f>
        <v>0</v>
      </c>
      <c r="CD420" s="23">
        <f>$L420*AW420</f>
        <v>0</v>
      </c>
      <c r="CE420" s="23">
        <f>$L420*AX420</f>
        <v>0</v>
      </c>
      <c r="CF420" s="23">
        <f>$L420*AY420</f>
        <v>0</v>
      </c>
      <c r="CG420" s="23">
        <f>$L420*AZ420</f>
        <v>0</v>
      </c>
      <c r="CH420" s="23">
        <f>$L420*BA420</f>
        <v>0</v>
      </c>
      <c r="CI420" s="23">
        <f>$L420*BB420</f>
        <v>0</v>
      </c>
      <c r="CJ420" s="23">
        <f>$L420*BC420</f>
        <v>0</v>
      </c>
      <c r="CK420" s="23">
        <f>$L420*BD420</f>
        <v>0</v>
      </c>
      <c r="CL420" s="23">
        <f>$L420*BE420</f>
        <v>0</v>
      </c>
      <c r="CM420" s="23">
        <f>$L420*BF420</f>
        <v>0</v>
      </c>
      <c r="CN420" s="23">
        <f>$L420*BG420</f>
        <v>1</v>
      </c>
      <c r="CO420" s="23">
        <f>$L420*BH420</f>
        <v>1</v>
      </c>
      <c r="CP420" s="23">
        <f>$L420*BI420</f>
        <v>1</v>
      </c>
      <c r="CQ420" s="23">
        <f>$L420*BJ420</f>
        <v>1</v>
      </c>
      <c r="CR420" s="23">
        <f>$L420*BK420</f>
        <v>1</v>
      </c>
      <c r="CS420" s="23">
        <f>$L420*BL420</f>
        <v>1</v>
      </c>
      <c r="CT420" s="23">
        <f>$L420*BM420</f>
        <v>1</v>
      </c>
      <c r="CU420" s="23">
        <f>$L420*BN420</f>
        <v>1</v>
      </c>
      <c r="CV420" s="23">
        <f>$L420*BO420</f>
        <v>1</v>
      </c>
    </row>
    <row r="421" spans="1:100" ht="13.5" x14ac:dyDescent="0.15">
      <c r="A421" s="15">
        <v>306</v>
      </c>
      <c r="B421" s="28" t="s">
        <v>804</v>
      </c>
      <c r="C421" t="s">
        <v>414</v>
      </c>
      <c r="E421" t="s">
        <v>140</v>
      </c>
      <c r="F421" t="s">
        <v>415</v>
      </c>
      <c r="G421" t="s">
        <v>140</v>
      </c>
      <c r="H421" t="s">
        <v>141</v>
      </c>
      <c r="I421" s="6" t="s">
        <v>136</v>
      </c>
      <c r="J421" s="6">
        <v>0</v>
      </c>
      <c r="L421" s="15">
        <v>1</v>
      </c>
      <c r="M421" s="7">
        <v>45803</v>
      </c>
      <c r="N421" s="7">
        <v>46196</v>
      </c>
      <c r="O421" s="7">
        <v>46188</v>
      </c>
      <c r="P421" s="7">
        <v>46189</v>
      </c>
      <c r="S421" s="6" t="s">
        <v>140</v>
      </c>
      <c r="U421" s="6" t="s">
        <v>413</v>
      </c>
      <c r="V421" s="6" t="str">
        <f>TEXT(N421,"YY/MM")</f>
        <v>26/06</v>
      </c>
      <c r="W421">
        <v>1793</v>
      </c>
      <c r="AA421">
        <v>1147</v>
      </c>
      <c r="AC421">
        <v>1200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  <c r="AO421" s="23">
        <v>0</v>
      </c>
      <c r="AP421" s="23">
        <v>0</v>
      </c>
      <c r="AQ421" s="23">
        <v>0</v>
      </c>
      <c r="AR421" s="23">
        <v>0</v>
      </c>
      <c r="AS421" s="23">
        <v>0</v>
      </c>
      <c r="AT421" s="23">
        <v>0</v>
      </c>
      <c r="AU421" s="23">
        <v>0</v>
      </c>
      <c r="AV421" s="23">
        <v>0</v>
      </c>
      <c r="AW421" s="23">
        <v>0</v>
      </c>
      <c r="AX421" s="23">
        <v>0</v>
      </c>
      <c r="AY421" s="23">
        <v>0</v>
      </c>
      <c r="AZ421" s="23">
        <v>0</v>
      </c>
      <c r="BA421" s="23">
        <v>0</v>
      </c>
      <c r="BB421" s="23">
        <v>0</v>
      </c>
      <c r="BC421" s="23">
        <v>0</v>
      </c>
      <c r="BD421" s="23">
        <v>0</v>
      </c>
      <c r="BE421" s="23">
        <v>0</v>
      </c>
      <c r="BF421" s="23">
        <v>0</v>
      </c>
      <c r="BG421" s="23">
        <v>1</v>
      </c>
      <c r="BH421" s="23">
        <v>1</v>
      </c>
      <c r="BI421" s="23">
        <v>1</v>
      </c>
      <c r="BJ421" s="23">
        <v>1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>
        <f>$L421*AI421</f>
        <v>0</v>
      </c>
      <c r="BQ421" s="23">
        <f>$L421*AJ421</f>
        <v>0</v>
      </c>
      <c r="BR421" s="23">
        <f>$L421*AK421</f>
        <v>0</v>
      </c>
      <c r="BS421" s="23">
        <f>$L421*AL421</f>
        <v>0</v>
      </c>
      <c r="BT421" s="23">
        <f>$L421*AM421</f>
        <v>0</v>
      </c>
      <c r="BU421" s="23">
        <f>$L421*AN421</f>
        <v>0</v>
      </c>
      <c r="BV421" s="23">
        <f>$L421*AO421</f>
        <v>0</v>
      </c>
      <c r="BW421" s="23">
        <f>$L421*AP421</f>
        <v>0</v>
      </c>
      <c r="BX421" s="23">
        <f>$L421*AQ421</f>
        <v>0</v>
      </c>
      <c r="BY421" s="23">
        <f>$L421*AR421</f>
        <v>0</v>
      </c>
      <c r="BZ421" s="23">
        <f>$L421*AS421</f>
        <v>0</v>
      </c>
      <c r="CA421" s="23">
        <f>$L421*AT421</f>
        <v>0</v>
      </c>
      <c r="CB421" s="23">
        <f>$L421*AU421</f>
        <v>0</v>
      </c>
      <c r="CC421" s="23">
        <f>$L421*AV421</f>
        <v>0</v>
      </c>
      <c r="CD421" s="23">
        <f>$L421*AW421</f>
        <v>0</v>
      </c>
      <c r="CE421" s="23">
        <f>$L421*AX421</f>
        <v>0</v>
      </c>
      <c r="CF421" s="23">
        <f>$L421*AY421</f>
        <v>0</v>
      </c>
      <c r="CG421" s="23">
        <f>$L421*AZ421</f>
        <v>0</v>
      </c>
      <c r="CH421" s="23">
        <f>$L421*BA421</f>
        <v>0</v>
      </c>
      <c r="CI421" s="23">
        <f>$L421*BB421</f>
        <v>0</v>
      </c>
      <c r="CJ421" s="23">
        <f>$L421*BC421</f>
        <v>0</v>
      </c>
      <c r="CK421" s="23">
        <f>$L421*BD421</f>
        <v>0</v>
      </c>
      <c r="CL421" s="23">
        <f>$L421*BE421</f>
        <v>0</v>
      </c>
      <c r="CM421" s="23">
        <f>$L421*BF421</f>
        <v>0</v>
      </c>
      <c r="CN421" s="23">
        <f>$L421*BG421</f>
        <v>1</v>
      </c>
      <c r="CO421" s="23">
        <f>$L421*BH421</f>
        <v>1</v>
      </c>
      <c r="CP421" s="23">
        <f>$L421*BI421</f>
        <v>1</v>
      </c>
      <c r="CQ421" s="23">
        <f>$L421*BJ421</f>
        <v>1</v>
      </c>
      <c r="CR421" s="23">
        <f>$L421*BK421</f>
        <v>1</v>
      </c>
      <c r="CS421" s="23">
        <f>$L421*BL421</f>
        <v>1</v>
      </c>
      <c r="CT421" s="23">
        <f>$L421*BM421</f>
        <v>1</v>
      </c>
      <c r="CU421" s="23">
        <f>$L421*BN421</f>
        <v>1</v>
      </c>
      <c r="CV421" s="23">
        <f>$L421*BO421</f>
        <v>1</v>
      </c>
    </row>
    <row r="422" spans="1:100" ht="13.5" x14ac:dyDescent="0.15">
      <c r="A422" s="15">
        <v>306</v>
      </c>
      <c r="B422" s="28" t="s">
        <v>805</v>
      </c>
      <c r="C422" t="s">
        <v>414</v>
      </c>
      <c r="E422" t="s">
        <v>140</v>
      </c>
      <c r="F422" t="s">
        <v>415</v>
      </c>
      <c r="G422" t="s">
        <v>140</v>
      </c>
      <c r="H422" t="s">
        <v>141</v>
      </c>
      <c r="I422" s="6" t="s">
        <v>136</v>
      </c>
      <c r="J422" s="6">
        <v>0</v>
      </c>
      <c r="L422" s="15">
        <v>1</v>
      </c>
      <c r="M422" s="7">
        <v>45803</v>
      </c>
      <c r="N422" s="7">
        <v>46196</v>
      </c>
      <c r="O422" s="7">
        <v>46188</v>
      </c>
      <c r="P422" s="7">
        <v>46189</v>
      </c>
      <c r="S422" s="6" t="s">
        <v>140</v>
      </c>
      <c r="U422" s="6" t="s">
        <v>413</v>
      </c>
      <c r="V422" s="6" t="str">
        <f>TEXT(N422,"YY/MM")</f>
        <v>26/06</v>
      </c>
      <c r="W422">
        <v>1794</v>
      </c>
      <c r="AA422">
        <v>1148</v>
      </c>
      <c r="AC422">
        <v>1201</v>
      </c>
      <c r="AI422" s="23">
        <v>0</v>
      </c>
      <c r="AJ422" s="23">
        <v>0</v>
      </c>
      <c r="AK422" s="23">
        <v>0</v>
      </c>
      <c r="AL422" s="23">
        <v>0</v>
      </c>
      <c r="AM422" s="23">
        <v>0</v>
      </c>
      <c r="AN422" s="23">
        <v>0</v>
      </c>
      <c r="AO422" s="23">
        <v>0</v>
      </c>
      <c r="AP422" s="23">
        <v>0</v>
      </c>
      <c r="AQ422" s="23">
        <v>0</v>
      </c>
      <c r="AR422" s="23">
        <v>0</v>
      </c>
      <c r="AS422" s="23">
        <v>0</v>
      </c>
      <c r="AT422" s="23">
        <v>0</v>
      </c>
      <c r="AU422" s="23">
        <v>0</v>
      </c>
      <c r="AV422" s="23">
        <v>0</v>
      </c>
      <c r="AW422" s="23">
        <v>0</v>
      </c>
      <c r="AX422" s="23">
        <v>0</v>
      </c>
      <c r="AY422" s="23">
        <v>0</v>
      </c>
      <c r="AZ422" s="23">
        <v>0</v>
      </c>
      <c r="BA422" s="23">
        <v>0</v>
      </c>
      <c r="BB422" s="23">
        <v>0</v>
      </c>
      <c r="BC422" s="23">
        <v>0</v>
      </c>
      <c r="BD422" s="23">
        <v>0</v>
      </c>
      <c r="BE422" s="23">
        <v>0</v>
      </c>
      <c r="BF422" s="23">
        <v>0</v>
      </c>
      <c r="BG422" s="23">
        <v>1</v>
      </c>
      <c r="BH422" s="23">
        <v>1</v>
      </c>
      <c r="BI422" s="23">
        <v>1</v>
      </c>
      <c r="BJ422" s="23">
        <v>1</v>
      </c>
      <c r="BK422" s="23">
        <v>1</v>
      </c>
      <c r="BL422" s="23">
        <v>1</v>
      </c>
      <c r="BM422" s="23">
        <v>1</v>
      </c>
      <c r="BN422" s="23">
        <v>1</v>
      </c>
      <c r="BO422" s="23">
        <v>1</v>
      </c>
      <c r="BP422" s="23">
        <f>$L422*AI422</f>
        <v>0</v>
      </c>
      <c r="BQ422" s="23">
        <f>$L422*AJ422</f>
        <v>0</v>
      </c>
      <c r="BR422" s="23">
        <f>$L422*AK422</f>
        <v>0</v>
      </c>
      <c r="BS422" s="23">
        <f>$L422*AL422</f>
        <v>0</v>
      </c>
      <c r="BT422" s="23">
        <f>$L422*AM422</f>
        <v>0</v>
      </c>
      <c r="BU422" s="23">
        <f>$L422*AN422</f>
        <v>0</v>
      </c>
      <c r="BV422" s="23">
        <f>$L422*AO422</f>
        <v>0</v>
      </c>
      <c r="BW422" s="23">
        <f>$L422*AP422</f>
        <v>0</v>
      </c>
      <c r="BX422" s="23">
        <f>$L422*AQ422</f>
        <v>0</v>
      </c>
      <c r="BY422" s="23">
        <f>$L422*AR422</f>
        <v>0</v>
      </c>
      <c r="BZ422" s="23">
        <f>$L422*AS422</f>
        <v>0</v>
      </c>
      <c r="CA422" s="23">
        <f>$L422*AT422</f>
        <v>0</v>
      </c>
      <c r="CB422" s="23">
        <f>$L422*AU422</f>
        <v>0</v>
      </c>
      <c r="CC422" s="23">
        <f>$L422*AV422</f>
        <v>0</v>
      </c>
      <c r="CD422" s="23">
        <f>$L422*AW422</f>
        <v>0</v>
      </c>
      <c r="CE422" s="23">
        <f>$L422*AX422</f>
        <v>0</v>
      </c>
      <c r="CF422" s="23">
        <f>$L422*AY422</f>
        <v>0</v>
      </c>
      <c r="CG422" s="23">
        <f>$L422*AZ422</f>
        <v>0</v>
      </c>
      <c r="CH422" s="23">
        <f>$L422*BA422</f>
        <v>0</v>
      </c>
      <c r="CI422" s="23">
        <f>$L422*BB422</f>
        <v>0</v>
      </c>
      <c r="CJ422" s="23">
        <f>$L422*BC422</f>
        <v>0</v>
      </c>
      <c r="CK422" s="23">
        <f>$L422*BD422</f>
        <v>0</v>
      </c>
      <c r="CL422" s="23">
        <f>$L422*BE422</f>
        <v>0</v>
      </c>
      <c r="CM422" s="23">
        <f>$L422*BF422</f>
        <v>0</v>
      </c>
      <c r="CN422" s="23">
        <f>$L422*BG422</f>
        <v>1</v>
      </c>
      <c r="CO422" s="23">
        <f>$L422*BH422</f>
        <v>1</v>
      </c>
      <c r="CP422" s="23">
        <f>$L422*BI422</f>
        <v>1</v>
      </c>
      <c r="CQ422" s="23">
        <f>$L422*BJ422</f>
        <v>1</v>
      </c>
      <c r="CR422" s="23">
        <f>$L422*BK422</f>
        <v>1</v>
      </c>
      <c r="CS422" s="23">
        <f>$L422*BL422</f>
        <v>1</v>
      </c>
      <c r="CT422" s="23">
        <f>$L422*BM422</f>
        <v>1</v>
      </c>
      <c r="CU422" s="23">
        <f>$L422*BN422</f>
        <v>1</v>
      </c>
      <c r="CV422" s="23">
        <f>$L422*BO422</f>
        <v>1</v>
      </c>
    </row>
    <row r="423" spans="1:100" ht="13.5" x14ac:dyDescent="0.15">
      <c r="A423" s="15">
        <v>306</v>
      </c>
      <c r="B423" s="28" t="s">
        <v>806</v>
      </c>
      <c r="C423" t="s">
        <v>414</v>
      </c>
      <c r="E423" t="s">
        <v>140</v>
      </c>
      <c r="F423" t="s">
        <v>415</v>
      </c>
      <c r="G423" t="s">
        <v>140</v>
      </c>
      <c r="H423" t="s">
        <v>141</v>
      </c>
      <c r="I423" s="6" t="s">
        <v>136</v>
      </c>
      <c r="J423" s="6">
        <v>0</v>
      </c>
      <c r="L423" s="15">
        <v>1</v>
      </c>
      <c r="M423" s="7">
        <v>45803</v>
      </c>
      <c r="N423" s="7">
        <v>46196</v>
      </c>
      <c r="O423" s="7">
        <v>46188</v>
      </c>
      <c r="P423" s="7">
        <v>46189</v>
      </c>
      <c r="S423" s="6" t="s">
        <v>140</v>
      </c>
      <c r="U423" s="6" t="s">
        <v>413</v>
      </c>
      <c r="V423" s="6" t="str">
        <f>TEXT(N423,"YY/MM")</f>
        <v>26/06</v>
      </c>
      <c r="W423">
        <v>1795</v>
      </c>
      <c r="AA423">
        <v>1149</v>
      </c>
      <c r="AC423">
        <v>1202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  <c r="AO423" s="23">
        <v>0</v>
      </c>
      <c r="AP423" s="23">
        <v>0</v>
      </c>
      <c r="AQ423" s="23">
        <v>0</v>
      </c>
      <c r="AR423" s="23">
        <v>0</v>
      </c>
      <c r="AS423" s="23">
        <v>0</v>
      </c>
      <c r="AT423" s="23">
        <v>0</v>
      </c>
      <c r="AU423" s="23">
        <v>0</v>
      </c>
      <c r="AV423" s="23">
        <v>0</v>
      </c>
      <c r="AW423" s="23">
        <v>0</v>
      </c>
      <c r="AX423" s="23">
        <v>0</v>
      </c>
      <c r="AY423" s="23">
        <v>0</v>
      </c>
      <c r="AZ423" s="23">
        <v>0</v>
      </c>
      <c r="BA423" s="23">
        <v>0</v>
      </c>
      <c r="BB423" s="23">
        <v>0</v>
      </c>
      <c r="BC423" s="23">
        <v>0</v>
      </c>
      <c r="BD423" s="23">
        <v>0</v>
      </c>
      <c r="BE423" s="23">
        <v>0</v>
      </c>
      <c r="BF423" s="23">
        <v>0</v>
      </c>
      <c r="BG423" s="23">
        <v>1</v>
      </c>
      <c r="BH423" s="23">
        <v>1</v>
      </c>
      <c r="BI423" s="23">
        <v>1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1</v>
      </c>
      <c r="BP423" s="23">
        <f>$L423*AI423</f>
        <v>0</v>
      </c>
      <c r="BQ423" s="23">
        <f>$L423*AJ423</f>
        <v>0</v>
      </c>
      <c r="BR423" s="23">
        <f>$L423*AK423</f>
        <v>0</v>
      </c>
      <c r="BS423" s="23">
        <f>$L423*AL423</f>
        <v>0</v>
      </c>
      <c r="BT423" s="23">
        <f>$L423*AM423</f>
        <v>0</v>
      </c>
      <c r="BU423" s="23">
        <f>$L423*AN423</f>
        <v>0</v>
      </c>
      <c r="BV423" s="23">
        <f>$L423*AO423</f>
        <v>0</v>
      </c>
      <c r="BW423" s="23">
        <f>$L423*AP423</f>
        <v>0</v>
      </c>
      <c r="BX423" s="23">
        <f>$L423*AQ423</f>
        <v>0</v>
      </c>
      <c r="BY423" s="23">
        <f>$L423*AR423</f>
        <v>0</v>
      </c>
      <c r="BZ423" s="23">
        <f>$L423*AS423</f>
        <v>0</v>
      </c>
      <c r="CA423" s="23">
        <f>$L423*AT423</f>
        <v>0</v>
      </c>
      <c r="CB423" s="23">
        <f>$L423*AU423</f>
        <v>0</v>
      </c>
      <c r="CC423" s="23">
        <f>$L423*AV423</f>
        <v>0</v>
      </c>
      <c r="CD423" s="23">
        <f>$L423*AW423</f>
        <v>0</v>
      </c>
      <c r="CE423" s="23">
        <f>$L423*AX423</f>
        <v>0</v>
      </c>
      <c r="CF423" s="23">
        <f>$L423*AY423</f>
        <v>0</v>
      </c>
      <c r="CG423" s="23">
        <f>$L423*AZ423</f>
        <v>0</v>
      </c>
      <c r="CH423" s="23">
        <f>$L423*BA423</f>
        <v>0</v>
      </c>
      <c r="CI423" s="23">
        <f>$L423*BB423</f>
        <v>0</v>
      </c>
      <c r="CJ423" s="23">
        <f>$L423*BC423</f>
        <v>0</v>
      </c>
      <c r="CK423" s="23">
        <f>$L423*BD423</f>
        <v>0</v>
      </c>
      <c r="CL423" s="23">
        <f>$L423*BE423</f>
        <v>0</v>
      </c>
      <c r="CM423" s="23">
        <f>$L423*BF423</f>
        <v>0</v>
      </c>
      <c r="CN423" s="23">
        <f>$L423*BG423</f>
        <v>1</v>
      </c>
      <c r="CO423" s="23">
        <f>$L423*BH423</f>
        <v>1</v>
      </c>
      <c r="CP423" s="23">
        <f>$L423*BI423</f>
        <v>1</v>
      </c>
      <c r="CQ423" s="23">
        <f>$L423*BJ423</f>
        <v>1</v>
      </c>
      <c r="CR423" s="23">
        <f>$L423*BK423</f>
        <v>1</v>
      </c>
      <c r="CS423" s="23">
        <f>$L423*BL423</f>
        <v>1</v>
      </c>
      <c r="CT423" s="23">
        <f>$L423*BM423</f>
        <v>1</v>
      </c>
      <c r="CU423" s="23">
        <f>$L423*BN423</f>
        <v>1</v>
      </c>
      <c r="CV423" s="23">
        <f>$L423*BO423</f>
        <v>1</v>
      </c>
    </row>
    <row r="424" spans="1:100" ht="13.5" x14ac:dyDescent="0.15">
      <c r="A424" s="15">
        <v>332</v>
      </c>
      <c r="B424" s="28" t="s">
        <v>807</v>
      </c>
      <c r="C424" t="s">
        <v>414</v>
      </c>
      <c r="E424" t="s">
        <v>140</v>
      </c>
      <c r="F424" t="s">
        <v>415</v>
      </c>
      <c r="G424" t="s">
        <v>140</v>
      </c>
      <c r="H424" t="s">
        <v>141</v>
      </c>
      <c r="I424" s="6" t="s">
        <v>136</v>
      </c>
      <c r="J424" s="6">
        <v>0</v>
      </c>
      <c r="L424" s="15">
        <v>1</v>
      </c>
      <c r="M424" s="7">
        <v>45803</v>
      </c>
      <c r="N424" s="7">
        <v>46197</v>
      </c>
      <c r="O424" s="7">
        <v>46195</v>
      </c>
      <c r="P424" s="7">
        <v>46196</v>
      </c>
      <c r="S424" s="6" t="s">
        <v>140</v>
      </c>
      <c r="U424" s="6" t="s">
        <v>413</v>
      </c>
      <c r="V424" s="6" t="str">
        <f>TEXT(N424,"YY/MM")</f>
        <v>26/06</v>
      </c>
      <c r="W424">
        <v>1796</v>
      </c>
      <c r="AA424">
        <v>1150</v>
      </c>
      <c r="AC424">
        <v>1203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>
        <v>0</v>
      </c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1</v>
      </c>
      <c r="BH424" s="23">
        <v>1</v>
      </c>
      <c r="BI424" s="23">
        <v>1</v>
      </c>
      <c r="BJ424" s="23">
        <v>1</v>
      </c>
      <c r="BK424" s="23">
        <v>1</v>
      </c>
      <c r="BL424" s="23">
        <v>1</v>
      </c>
      <c r="BM424" s="23">
        <v>1</v>
      </c>
      <c r="BN424" s="23">
        <v>1</v>
      </c>
      <c r="BO424" s="23">
        <v>1</v>
      </c>
      <c r="BP424" s="23">
        <f>$L424*AI424</f>
        <v>0</v>
      </c>
      <c r="BQ424" s="23">
        <f>$L424*AJ424</f>
        <v>0</v>
      </c>
      <c r="BR424" s="23">
        <f>$L424*AK424</f>
        <v>0</v>
      </c>
      <c r="BS424" s="23">
        <f>$L424*AL424</f>
        <v>0</v>
      </c>
      <c r="BT424" s="23">
        <f>$L424*AM424</f>
        <v>0</v>
      </c>
      <c r="BU424" s="23">
        <f>$L424*AN424</f>
        <v>0</v>
      </c>
      <c r="BV424" s="23">
        <f>$L424*AO424</f>
        <v>0</v>
      </c>
      <c r="BW424" s="23">
        <f>$L424*AP424</f>
        <v>0</v>
      </c>
      <c r="BX424" s="23">
        <f>$L424*AQ424</f>
        <v>0</v>
      </c>
      <c r="BY424" s="23">
        <f>$L424*AR424</f>
        <v>0</v>
      </c>
      <c r="BZ424" s="23">
        <f>$L424*AS424</f>
        <v>0</v>
      </c>
      <c r="CA424" s="23">
        <f>$L424*AT424</f>
        <v>0</v>
      </c>
      <c r="CB424" s="23">
        <f>$L424*AU424</f>
        <v>0</v>
      </c>
      <c r="CC424" s="23">
        <f>$L424*AV424</f>
        <v>0</v>
      </c>
      <c r="CD424" s="23">
        <f>$L424*AW424</f>
        <v>0</v>
      </c>
      <c r="CE424" s="23">
        <f>$L424*AX424</f>
        <v>0</v>
      </c>
      <c r="CF424" s="23">
        <f>$L424*AY424</f>
        <v>0</v>
      </c>
      <c r="CG424" s="23">
        <f>$L424*AZ424</f>
        <v>0</v>
      </c>
      <c r="CH424" s="23">
        <f>$L424*BA424</f>
        <v>0</v>
      </c>
      <c r="CI424" s="23">
        <f>$L424*BB424</f>
        <v>0</v>
      </c>
      <c r="CJ424" s="23">
        <f>$L424*BC424</f>
        <v>0</v>
      </c>
      <c r="CK424" s="23">
        <f>$L424*BD424</f>
        <v>0</v>
      </c>
      <c r="CL424" s="23">
        <f>$L424*BE424</f>
        <v>0</v>
      </c>
      <c r="CM424" s="23">
        <f>$L424*BF424</f>
        <v>0</v>
      </c>
      <c r="CN424" s="23">
        <f>$L424*BG424</f>
        <v>1</v>
      </c>
      <c r="CO424" s="23">
        <f>$L424*BH424</f>
        <v>1</v>
      </c>
      <c r="CP424" s="23">
        <f>$L424*BI424</f>
        <v>1</v>
      </c>
      <c r="CQ424" s="23">
        <f>$L424*BJ424</f>
        <v>1</v>
      </c>
      <c r="CR424" s="23">
        <f>$L424*BK424</f>
        <v>1</v>
      </c>
      <c r="CS424" s="23">
        <f>$L424*BL424</f>
        <v>1</v>
      </c>
      <c r="CT424" s="23">
        <f>$L424*BM424</f>
        <v>1</v>
      </c>
      <c r="CU424" s="23">
        <f>$L424*BN424</f>
        <v>1</v>
      </c>
      <c r="CV424" s="23">
        <f>$L424*BO424</f>
        <v>1</v>
      </c>
    </row>
    <row r="425" spans="1:100" ht="13.5" x14ac:dyDescent="0.15">
      <c r="A425" s="15">
        <v>332</v>
      </c>
      <c r="B425" s="28" t="s">
        <v>808</v>
      </c>
      <c r="C425" t="s">
        <v>414</v>
      </c>
      <c r="E425" t="s">
        <v>140</v>
      </c>
      <c r="F425" t="s">
        <v>415</v>
      </c>
      <c r="G425" t="s">
        <v>140</v>
      </c>
      <c r="H425" t="s">
        <v>141</v>
      </c>
      <c r="I425" s="6" t="s">
        <v>136</v>
      </c>
      <c r="J425" s="6">
        <v>0</v>
      </c>
      <c r="L425" s="15">
        <v>1</v>
      </c>
      <c r="M425" s="7">
        <v>45803</v>
      </c>
      <c r="N425" s="7">
        <v>46197</v>
      </c>
      <c r="O425" s="7">
        <v>46195</v>
      </c>
      <c r="P425" s="7">
        <v>46196</v>
      </c>
      <c r="S425" s="6" t="s">
        <v>140</v>
      </c>
      <c r="U425" s="6" t="s">
        <v>413</v>
      </c>
      <c r="V425" s="6" t="str">
        <f>TEXT(N425,"YY/MM")</f>
        <v>26/06</v>
      </c>
      <c r="W425">
        <v>1797</v>
      </c>
      <c r="AA425">
        <v>1151</v>
      </c>
      <c r="AC425">
        <v>1204</v>
      </c>
      <c r="AI425" s="23">
        <v>0</v>
      </c>
      <c r="AJ425" s="23">
        <v>0</v>
      </c>
      <c r="AK425" s="23">
        <v>0</v>
      </c>
      <c r="AL425" s="23">
        <v>0</v>
      </c>
      <c r="AM425" s="23">
        <v>0</v>
      </c>
      <c r="AN425" s="23">
        <v>0</v>
      </c>
      <c r="AO425" s="23">
        <v>0</v>
      </c>
      <c r="AP425" s="23">
        <v>0</v>
      </c>
      <c r="AQ425" s="23">
        <v>0</v>
      </c>
      <c r="AR425" s="23">
        <v>0</v>
      </c>
      <c r="AS425" s="23">
        <v>0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0</v>
      </c>
      <c r="BA425" s="23">
        <v>0</v>
      </c>
      <c r="BB425" s="23">
        <v>0</v>
      </c>
      <c r="BC425" s="23">
        <v>0</v>
      </c>
      <c r="BD425" s="23">
        <v>0</v>
      </c>
      <c r="BE425" s="23">
        <v>0</v>
      </c>
      <c r="BF425" s="23">
        <v>0</v>
      </c>
      <c r="BG425" s="23">
        <v>1</v>
      </c>
      <c r="BH425" s="23">
        <v>1</v>
      </c>
      <c r="BI425" s="23">
        <v>1</v>
      </c>
      <c r="BJ425" s="23">
        <v>1</v>
      </c>
      <c r="BK425" s="23">
        <v>1</v>
      </c>
      <c r="BL425" s="23">
        <v>1</v>
      </c>
      <c r="BM425" s="23">
        <v>1</v>
      </c>
      <c r="BN425" s="23">
        <v>1</v>
      </c>
      <c r="BO425" s="23">
        <v>1</v>
      </c>
      <c r="BP425" s="23">
        <f>$L425*AI425</f>
        <v>0</v>
      </c>
      <c r="BQ425" s="23">
        <f>$L425*AJ425</f>
        <v>0</v>
      </c>
      <c r="BR425" s="23">
        <f>$L425*AK425</f>
        <v>0</v>
      </c>
      <c r="BS425" s="23">
        <f>$L425*AL425</f>
        <v>0</v>
      </c>
      <c r="BT425" s="23">
        <f>$L425*AM425</f>
        <v>0</v>
      </c>
      <c r="BU425" s="23">
        <f>$L425*AN425</f>
        <v>0</v>
      </c>
      <c r="BV425" s="23">
        <f>$L425*AO425</f>
        <v>0</v>
      </c>
      <c r="BW425" s="23">
        <f>$L425*AP425</f>
        <v>0</v>
      </c>
      <c r="BX425" s="23">
        <f>$L425*AQ425</f>
        <v>0</v>
      </c>
      <c r="BY425" s="23">
        <f>$L425*AR425</f>
        <v>0</v>
      </c>
      <c r="BZ425" s="23">
        <f>$L425*AS425</f>
        <v>0</v>
      </c>
      <c r="CA425" s="23">
        <f>$L425*AT425</f>
        <v>0</v>
      </c>
      <c r="CB425" s="23">
        <f>$L425*AU425</f>
        <v>0</v>
      </c>
      <c r="CC425" s="23">
        <f>$L425*AV425</f>
        <v>0</v>
      </c>
      <c r="CD425" s="23">
        <f>$L425*AW425</f>
        <v>0</v>
      </c>
      <c r="CE425" s="23">
        <f>$L425*AX425</f>
        <v>0</v>
      </c>
      <c r="CF425" s="23">
        <f>$L425*AY425</f>
        <v>0</v>
      </c>
      <c r="CG425" s="23">
        <f>$L425*AZ425</f>
        <v>0</v>
      </c>
      <c r="CH425" s="23">
        <f>$L425*BA425</f>
        <v>0</v>
      </c>
      <c r="CI425" s="23">
        <f>$L425*BB425</f>
        <v>0</v>
      </c>
      <c r="CJ425" s="23">
        <f>$L425*BC425</f>
        <v>0</v>
      </c>
      <c r="CK425" s="23">
        <f>$L425*BD425</f>
        <v>0</v>
      </c>
      <c r="CL425" s="23">
        <f>$L425*BE425</f>
        <v>0</v>
      </c>
      <c r="CM425" s="23">
        <f>$L425*BF425</f>
        <v>0</v>
      </c>
      <c r="CN425" s="23">
        <f>$L425*BG425</f>
        <v>1</v>
      </c>
      <c r="CO425" s="23">
        <f>$L425*BH425</f>
        <v>1</v>
      </c>
      <c r="CP425" s="23">
        <f>$L425*BI425</f>
        <v>1</v>
      </c>
      <c r="CQ425" s="23">
        <f>$L425*BJ425</f>
        <v>1</v>
      </c>
      <c r="CR425" s="23">
        <f>$L425*BK425</f>
        <v>1</v>
      </c>
      <c r="CS425" s="23">
        <f>$L425*BL425</f>
        <v>1</v>
      </c>
      <c r="CT425" s="23">
        <f>$L425*BM425</f>
        <v>1</v>
      </c>
      <c r="CU425" s="23">
        <f>$L425*BN425</f>
        <v>1</v>
      </c>
      <c r="CV425" s="23">
        <f>$L425*BO425</f>
        <v>1</v>
      </c>
    </row>
    <row r="426" spans="1:100" ht="13.5" x14ac:dyDescent="0.15">
      <c r="A426" s="15">
        <v>332</v>
      </c>
      <c r="B426" s="28" t="s">
        <v>809</v>
      </c>
      <c r="C426" t="s">
        <v>414</v>
      </c>
      <c r="E426" t="s">
        <v>140</v>
      </c>
      <c r="F426" t="s">
        <v>415</v>
      </c>
      <c r="G426" t="s">
        <v>140</v>
      </c>
      <c r="H426" t="s">
        <v>141</v>
      </c>
      <c r="I426" s="6" t="s">
        <v>136</v>
      </c>
      <c r="J426" s="6">
        <v>0</v>
      </c>
      <c r="L426" s="15">
        <v>1</v>
      </c>
      <c r="M426" s="7">
        <v>45803</v>
      </c>
      <c r="N426" s="7">
        <v>46197</v>
      </c>
      <c r="O426" s="7">
        <v>46195</v>
      </c>
      <c r="P426" s="7">
        <v>46196</v>
      </c>
      <c r="S426" s="6" t="s">
        <v>140</v>
      </c>
      <c r="U426" s="6" t="s">
        <v>413</v>
      </c>
      <c r="V426" s="6" t="str">
        <f>TEXT(N426,"YY/MM")</f>
        <v>26/06</v>
      </c>
      <c r="W426">
        <v>1798</v>
      </c>
      <c r="AA426">
        <v>1152</v>
      </c>
      <c r="AC426">
        <v>1205</v>
      </c>
      <c r="AI426" s="23">
        <v>0</v>
      </c>
      <c r="AJ426" s="23">
        <v>0</v>
      </c>
      <c r="AK426" s="23">
        <v>0</v>
      </c>
      <c r="AL426" s="23">
        <v>0</v>
      </c>
      <c r="AM426" s="23">
        <v>0</v>
      </c>
      <c r="AN426" s="23">
        <v>0</v>
      </c>
      <c r="AO426" s="23">
        <v>0</v>
      </c>
      <c r="AP426" s="23">
        <v>0</v>
      </c>
      <c r="AQ426" s="23">
        <v>0</v>
      </c>
      <c r="AR426" s="23">
        <v>0</v>
      </c>
      <c r="AS426" s="23">
        <v>0</v>
      </c>
      <c r="AT426" s="23">
        <v>0</v>
      </c>
      <c r="AU426" s="23">
        <v>0</v>
      </c>
      <c r="AV426" s="23">
        <v>0</v>
      </c>
      <c r="AW426" s="23">
        <v>0</v>
      </c>
      <c r="AX426" s="23">
        <v>0</v>
      </c>
      <c r="AY426" s="23">
        <v>0</v>
      </c>
      <c r="AZ426" s="23">
        <v>0</v>
      </c>
      <c r="BA426" s="23">
        <v>0</v>
      </c>
      <c r="BB426" s="23">
        <v>0</v>
      </c>
      <c r="BC426" s="23">
        <v>0</v>
      </c>
      <c r="BD426" s="23">
        <v>0</v>
      </c>
      <c r="BE426" s="23">
        <v>0</v>
      </c>
      <c r="BF426" s="23">
        <v>0</v>
      </c>
      <c r="BG426" s="23">
        <v>1</v>
      </c>
      <c r="BH426" s="23">
        <v>1</v>
      </c>
      <c r="BI426" s="23">
        <v>1</v>
      </c>
      <c r="BJ426" s="23">
        <v>1</v>
      </c>
      <c r="BK426" s="23">
        <v>1</v>
      </c>
      <c r="BL426" s="23">
        <v>1</v>
      </c>
      <c r="BM426" s="23">
        <v>1</v>
      </c>
      <c r="BN426" s="23">
        <v>1</v>
      </c>
      <c r="BO426" s="23">
        <v>1</v>
      </c>
      <c r="BP426" s="23">
        <f>$L426*AI426</f>
        <v>0</v>
      </c>
      <c r="BQ426" s="23">
        <f>$L426*AJ426</f>
        <v>0</v>
      </c>
      <c r="BR426" s="23">
        <f>$L426*AK426</f>
        <v>0</v>
      </c>
      <c r="BS426" s="23">
        <f>$L426*AL426</f>
        <v>0</v>
      </c>
      <c r="BT426" s="23">
        <f>$L426*AM426</f>
        <v>0</v>
      </c>
      <c r="BU426" s="23">
        <f>$L426*AN426</f>
        <v>0</v>
      </c>
      <c r="BV426" s="23">
        <f>$L426*AO426</f>
        <v>0</v>
      </c>
      <c r="BW426" s="23">
        <f>$L426*AP426</f>
        <v>0</v>
      </c>
      <c r="BX426" s="23">
        <f>$L426*AQ426</f>
        <v>0</v>
      </c>
      <c r="BY426" s="23">
        <f>$L426*AR426</f>
        <v>0</v>
      </c>
      <c r="BZ426" s="23">
        <f>$L426*AS426</f>
        <v>0</v>
      </c>
      <c r="CA426" s="23">
        <f>$L426*AT426</f>
        <v>0</v>
      </c>
      <c r="CB426" s="23">
        <f>$L426*AU426</f>
        <v>0</v>
      </c>
      <c r="CC426" s="23">
        <f>$L426*AV426</f>
        <v>0</v>
      </c>
      <c r="CD426" s="23">
        <f>$L426*AW426</f>
        <v>0</v>
      </c>
      <c r="CE426" s="23">
        <f>$L426*AX426</f>
        <v>0</v>
      </c>
      <c r="CF426" s="23">
        <f>$L426*AY426</f>
        <v>0</v>
      </c>
      <c r="CG426" s="23">
        <f>$L426*AZ426</f>
        <v>0</v>
      </c>
      <c r="CH426" s="23">
        <f>$L426*BA426</f>
        <v>0</v>
      </c>
      <c r="CI426" s="23">
        <f>$L426*BB426</f>
        <v>0</v>
      </c>
      <c r="CJ426" s="23">
        <f>$L426*BC426</f>
        <v>0</v>
      </c>
      <c r="CK426" s="23">
        <f>$L426*BD426</f>
        <v>0</v>
      </c>
      <c r="CL426" s="23">
        <f>$L426*BE426</f>
        <v>0</v>
      </c>
      <c r="CM426" s="23">
        <f>$L426*BF426</f>
        <v>0</v>
      </c>
      <c r="CN426" s="23">
        <f>$L426*BG426</f>
        <v>1</v>
      </c>
      <c r="CO426" s="23">
        <f>$L426*BH426</f>
        <v>1</v>
      </c>
      <c r="CP426" s="23">
        <f>$L426*BI426</f>
        <v>1</v>
      </c>
      <c r="CQ426" s="23">
        <f>$L426*BJ426</f>
        <v>1</v>
      </c>
      <c r="CR426" s="23">
        <f>$L426*BK426</f>
        <v>1</v>
      </c>
      <c r="CS426" s="23">
        <f>$L426*BL426</f>
        <v>1</v>
      </c>
      <c r="CT426" s="23">
        <f>$L426*BM426</f>
        <v>1</v>
      </c>
      <c r="CU426" s="23">
        <f>$L426*BN426</f>
        <v>1</v>
      </c>
      <c r="CV426" s="23">
        <f>$L426*BO426</f>
        <v>1</v>
      </c>
    </row>
    <row r="427" spans="1:100" ht="13.5" x14ac:dyDescent="0.15">
      <c r="A427" s="15">
        <v>332</v>
      </c>
      <c r="B427" s="28" t="s">
        <v>810</v>
      </c>
      <c r="C427" t="s">
        <v>414</v>
      </c>
      <c r="E427" t="s">
        <v>140</v>
      </c>
      <c r="F427" t="s">
        <v>415</v>
      </c>
      <c r="G427" t="s">
        <v>140</v>
      </c>
      <c r="H427" t="s">
        <v>141</v>
      </c>
      <c r="I427" s="6" t="s">
        <v>136</v>
      </c>
      <c r="J427" s="6">
        <v>0</v>
      </c>
      <c r="L427" s="15">
        <v>1</v>
      </c>
      <c r="M427" s="7">
        <v>45803</v>
      </c>
      <c r="N427" s="7">
        <v>46197</v>
      </c>
      <c r="O427" s="7">
        <v>46195</v>
      </c>
      <c r="P427" s="7">
        <v>46196</v>
      </c>
      <c r="S427" s="6" t="s">
        <v>140</v>
      </c>
      <c r="U427" s="6" t="s">
        <v>413</v>
      </c>
      <c r="V427" s="6" t="str">
        <f>TEXT(N427,"YY/MM")</f>
        <v>26/06</v>
      </c>
      <c r="W427">
        <v>1799</v>
      </c>
      <c r="AA427">
        <v>1153</v>
      </c>
      <c r="AC427">
        <v>1206</v>
      </c>
      <c r="AI427" s="23">
        <v>0</v>
      </c>
      <c r="AJ427" s="23">
        <v>0</v>
      </c>
      <c r="AK427" s="23">
        <v>0</v>
      </c>
      <c r="AL427" s="23">
        <v>0</v>
      </c>
      <c r="AM427" s="23">
        <v>0</v>
      </c>
      <c r="AN427" s="23">
        <v>0</v>
      </c>
      <c r="AO427" s="23">
        <v>0</v>
      </c>
      <c r="AP427" s="23">
        <v>0</v>
      </c>
      <c r="AQ427" s="23">
        <v>0</v>
      </c>
      <c r="AR427" s="23">
        <v>0</v>
      </c>
      <c r="AS427" s="23">
        <v>0</v>
      </c>
      <c r="AT427" s="23">
        <v>0</v>
      </c>
      <c r="AU427" s="23">
        <v>0</v>
      </c>
      <c r="AV427" s="23">
        <v>0</v>
      </c>
      <c r="AW427" s="23">
        <v>0</v>
      </c>
      <c r="AX427" s="23">
        <v>0</v>
      </c>
      <c r="AY427" s="23">
        <v>0</v>
      </c>
      <c r="AZ427" s="23">
        <v>0</v>
      </c>
      <c r="BA427" s="23">
        <v>0</v>
      </c>
      <c r="BB427" s="23">
        <v>0</v>
      </c>
      <c r="BC427" s="23">
        <v>0</v>
      </c>
      <c r="BD427" s="23">
        <v>0</v>
      </c>
      <c r="BE427" s="23">
        <v>0</v>
      </c>
      <c r="BF427" s="23">
        <v>0</v>
      </c>
      <c r="BG427" s="23">
        <v>1</v>
      </c>
      <c r="BH427" s="23">
        <v>1</v>
      </c>
      <c r="BI427" s="23">
        <v>1</v>
      </c>
      <c r="BJ427" s="23">
        <v>1</v>
      </c>
      <c r="BK427" s="23">
        <v>1</v>
      </c>
      <c r="BL427" s="23">
        <v>1</v>
      </c>
      <c r="BM427" s="23">
        <v>1</v>
      </c>
      <c r="BN427" s="23">
        <v>1</v>
      </c>
      <c r="BO427" s="23">
        <v>1</v>
      </c>
      <c r="BP427" s="23">
        <f>$L427*AI427</f>
        <v>0</v>
      </c>
      <c r="BQ427" s="23">
        <f>$L427*AJ427</f>
        <v>0</v>
      </c>
      <c r="BR427" s="23">
        <f>$L427*AK427</f>
        <v>0</v>
      </c>
      <c r="BS427" s="23">
        <f>$L427*AL427</f>
        <v>0</v>
      </c>
      <c r="BT427" s="23">
        <f>$L427*AM427</f>
        <v>0</v>
      </c>
      <c r="BU427" s="23">
        <f>$L427*AN427</f>
        <v>0</v>
      </c>
      <c r="BV427" s="23">
        <f>$L427*AO427</f>
        <v>0</v>
      </c>
      <c r="BW427" s="23">
        <f>$L427*AP427</f>
        <v>0</v>
      </c>
      <c r="BX427" s="23">
        <f>$L427*AQ427</f>
        <v>0</v>
      </c>
      <c r="BY427" s="23">
        <f>$L427*AR427</f>
        <v>0</v>
      </c>
      <c r="BZ427" s="23">
        <f>$L427*AS427</f>
        <v>0</v>
      </c>
      <c r="CA427" s="23">
        <f>$L427*AT427</f>
        <v>0</v>
      </c>
      <c r="CB427" s="23">
        <f>$L427*AU427</f>
        <v>0</v>
      </c>
      <c r="CC427" s="23">
        <f>$L427*AV427</f>
        <v>0</v>
      </c>
      <c r="CD427" s="23">
        <f>$L427*AW427</f>
        <v>0</v>
      </c>
      <c r="CE427" s="23">
        <f>$L427*AX427</f>
        <v>0</v>
      </c>
      <c r="CF427" s="23">
        <f>$L427*AY427</f>
        <v>0</v>
      </c>
      <c r="CG427" s="23">
        <f>$L427*AZ427</f>
        <v>0</v>
      </c>
      <c r="CH427" s="23">
        <f>$L427*BA427</f>
        <v>0</v>
      </c>
      <c r="CI427" s="23">
        <f>$L427*BB427</f>
        <v>0</v>
      </c>
      <c r="CJ427" s="23">
        <f>$L427*BC427</f>
        <v>0</v>
      </c>
      <c r="CK427" s="23">
        <f>$L427*BD427</f>
        <v>0</v>
      </c>
      <c r="CL427" s="23">
        <f>$L427*BE427</f>
        <v>0</v>
      </c>
      <c r="CM427" s="23">
        <f>$L427*BF427</f>
        <v>0</v>
      </c>
      <c r="CN427" s="23">
        <f>$L427*BG427</f>
        <v>1</v>
      </c>
      <c r="CO427" s="23">
        <f>$L427*BH427</f>
        <v>1</v>
      </c>
      <c r="CP427" s="23">
        <f>$L427*BI427</f>
        <v>1</v>
      </c>
      <c r="CQ427" s="23">
        <f>$L427*BJ427</f>
        <v>1</v>
      </c>
      <c r="CR427" s="23">
        <f>$L427*BK427</f>
        <v>1</v>
      </c>
      <c r="CS427" s="23">
        <f>$L427*BL427</f>
        <v>1</v>
      </c>
      <c r="CT427" s="23">
        <f>$L427*BM427</f>
        <v>1</v>
      </c>
      <c r="CU427" s="23">
        <f>$L427*BN427</f>
        <v>1</v>
      </c>
      <c r="CV427" s="23">
        <f>$L427*BO427</f>
        <v>1</v>
      </c>
    </row>
    <row r="428" spans="1:100" ht="13.5" x14ac:dyDescent="0.15">
      <c r="A428" s="15">
        <v>332</v>
      </c>
      <c r="B428" s="28" t="s">
        <v>811</v>
      </c>
      <c r="C428" t="s">
        <v>414</v>
      </c>
      <c r="E428" t="s">
        <v>140</v>
      </c>
      <c r="F428" t="s">
        <v>415</v>
      </c>
      <c r="G428" t="s">
        <v>140</v>
      </c>
      <c r="H428" t="s">
        <v>141</v>
      </c>
      <c r="I428" s="6" t="s">
        <v>136</v>
      </c>
      <c r="J428" s="6">
        <v>0</v>
      </c>
      <c r="L428" s="15">
        <v>1</v>
      </c>
      <c r="M428" s="7">
        <v>45803</v>
      </c>
      <c r="N428" s="7">
        <v>46197</v>
      </c>
      <c r="O428" s="7">
        <v>46195</v>
      </c>
      <c r="P428" s="7">
        <v>46196</v>
      </c>
      <c r="S428" s="6" t="s">
        <v>140</v>
      </c>
      <c r="U428" s="6" t="s">
        <v>413</v>
      </c>
      <c r="V428" s="6" t="str">
        <f>TEXT(N428,"YY/MM")</f>
        <v>26/06</v>
      </c>
      <c r="W428">
        <v>1800</v>
      </c>
      <c r="AA428">
        <v>1154</v>
      </c>
      <c r="AC428">
        <v>1207</v>
      </c>
      <c r="AI428" s="23">
        <v>0</v>
      </c>
      <c r="AJ428" s="23">
        <v>0</v>
      </c>
      <c r="AK428" s="23">
        <v>0</v>
      </c>
      <c r="AL428" s="23">
        <v>0</v>
      </c>
      <c r="AM428" s="23">
        <v>0</v>
      </c>
      <c r="AN428" s="23">
        <v>0</v>
      </c>
      <c r="AO428" s="23">
        <v>0</v>
      </c>
      <c r="AP428" s="23">
        <v>0</v>
      </c>
      <c r="AQ428" s="23">
        <v>0</v>
      </c>
      <c r="AR428" s="23">
        <v>0</v>
      </c>
      <c r="AS428" s="23">
        <v>0</v>
      </c>
      <c r="AT428" s="23">
        <v>0</v>
      </c>
      <c r="AU428" s="23">
        <v>0</v>
      </c>
      <c r="AV428" s="23">
        <v>0</v>
      </c>
      <c r="AW428" s="23">
        <v>0</v>
      </c>
      <c r="AX428" s="23">
        <v>0</v>
      </c>
      <c r="AY428" s="23">
        <v>0</v>
      </c>
      <c r="AZ428" s="23">
        <v>0</v>
      </c>
      <c r="BA428" s="23">
        <v>0</v>
      </c>
      <c r="BB428" s="23">
        <v>0</v>
      </c>
      <c r="BC428" s="23">
        <v>0</v>
      </c>
      <c r="BD428" s="23">
        <v>0</v>
      </c>
      <c r="BE428" s="23">
        <v>0</v>
      </c>
      <c r="BF428" s="23">
        <v>0</v>
      </c>
      <c r="BG428" s="23">
        <v>1</v>
      </c>
      <c r="BH428" s="23">
        <v>1</v>
      </c>
      <c r="BI428" s="23">
        <v>1</v>
      </c>
      <c r="BJ428" s="23">
        <v>1</v>
      </c>
      <c r="BK428" s="23">
        <v>1</v>
      </c>
      <c r="BL428" s="23">
        <v>1</v>
      </c>
      <c r="BM428" s="23">
        <v>1</v>
      </c>
      <c r="BN428" s="23">
        <v>1</v>
      </c>
      <c r="BO428" s="23">
        <v>1</v>
      </c>
      <c r="BP428" s="23">
        <f>$L428*AI428</f>
        <v>0</v>
      </c>
      <c r="BQ428" s="23">
        <f>$L428*AJ428</f>
        <v>0</v>
      </c>
      <c r="BR428" s="23">
        <f>$L428*AK428</f>
        <v>0</v>
      </c>
      <c r="BS428" s="23">
        <f>$L428*AL428</f>
        <v>0</v>
      </c>
      <c r="BT428" s="23">
        <f>$L428*AM428</f>
        <v>0</v>
      </c>
      <c r="BU428" s="23">
        <f>$L428*AN428</f>
        <v>0</v>
      </c>
      <c r="BV428" s="23">
        <f>$L428*AO428</f>
        <v>0</v>
      </c>
      <c r="BW428" s="23">
        <f>$L428*AP428</f>
        <v>0</v>
      </c>
      <c r="BX428" s="23">
        <f>$L428*AQ428</f>
        <v>0</v>
      </c>
      <c r="BY428" s="23">
        <f>$L428*AR428</f>
        <v>0</v>
      </c>
      <c r="BZ428" s="23">
        <f>$L428*AS428</f>
        <v>0</v>
      </c>
      <c r="CA428" s="23">
        <f>$L428*AT428</f>
        <v>0</v>
      </c>
      <c r="CB428" s="23">
        <f>$L428*AU428</f>
        <v>0</v>
      </c>
      <c r="CC428" s="23">
        <f>$L428*AV428</f>
        <v>0</v>
      </c>
      <c r="CD428" s="23">
        <f>$L428*AW428</f>
        <v>0</v>
      </c>
      <c r="CE428" s="23">
        <f>$L428*AX428</f>
        <v>0</v>
      </c>
      <c r="CF428" s="23">
        <f>$L428*AY428</f>
        <v>0</v>
      </c>
      <c r="CG428" s="23">
        <f>$L428*AZ428</f>
        <v>0</v>
      </c>
      <c r="CH428" s="23">
        <f>$L428*BA428</f>
        <v>0</v>
      </c>
      <c r="CI428" s="23">
        <f>$L428*BB428</f>
        <v>0</v>
      </c>
      <c r="CJ428" s="23">
        <f>$L428*BC428</f>
        <v>0</v>
      </c>
      <c r="CK428" s="23">
        <f>$L428*BD428</f>
        <v>0</v>
      </c>
      <c r="CL428" s="23">
        <f>$L428*BE428</f>
        <v>0</v>
      </c>
      <c r="CM428" s="23">
        <f>$L428*BF428</f>
        <v>0</v>
      </c>
      <c r="CN428" s="23">
        <f>$L428*BG428</f>
        <v>1</v>
      </c>
      <c r="CO428" s="23">
        <f>$L428*BH428</f>
        <v>1</v>
      </c>
      <c r="CP428" s="23">
        <f>$L428*BI428</f>
        <v>1</v>
      </c>
      <c r="CQ428" s="23">
        <f>$L428*BJ428</f>
        <v>1</v>
      </c>
      <c r="CR428" s="23">
        <f>$L428*BK428</f>
        <v>1</v>
      </c>
      <c r="CS428" s="23">
        <f>$L428*BL428</f>
        <v>1</v>
      </c>
      <c r="CT428" s="23">
        <f>$L428*BM428</f>
        <v>1</v>
      </c>
      <c r="CU428" s="23">
        <f>$L428*BN428</f>
        <v>1</v>
      </c>
      <c r="CV428" s="23">
        <f>$L428*BO428</f>
        <v>1</v>
      </c>
    </row>
    <row r="429" spans="1:100" ht="13.5" x14ac:dyDescent="0.15">
      <c r="A429" s="15">
        <v>332</v>
      </c>
      <c r="B429" s="28" t="s">
        <v>812</v>
      </c>
      <c r="C429" t="s">
        <v>414</v>
      </c>
      <c r="E429" t="s">
        <v>140</v>
      </c>
      <c r="F429" t="s">
        <v>415</v>
      </c>
      <c r="G429" t="s">
        <v>140</v>
      </c>
      <c r="H429" t="s">
        <v>141</v>
      </c>
      <c r="I429" s="6" t="s">
        <v>136</v>
      </c>
      <c r="J429" s="6">
        <v>0</v>
      </c>
      <c r="L429" s="15">
        <v>1</v>
      </c>
      <c r="M429" s="7">
        <v>45803</v>
      </c>
      <c r="N429" s="7">
        <v>46197</v>
      </c>
      <c r="O429" s="7">
        <v>46195</v>
      </c>
      <c r="P429" s="7">
        <v>46196</v>
      </c>
      <c r="S429" s="6" t="s">
        <v>140</v>
      </c>
      <c r="U429" s="6" t="s">
        <v>413</v>
      </c>
      <c r="V429" s="6" t="str">
        <f>TEXT(N429,"YY/MM")</f>
        <v>26/06</v>
      </c>
      <c r="W429">
        <v>1801</v>
      </c>
      <c r="AA429">
        <v>1155</v>
      </c>
      <c r="AC429">
        <v>1208</v>
      </c>
      <c r="AI429" s="23">
        <v>0</v>
      </c>
      <c r="AJ429" s="23">
        <v>0</v>
      </c>
      <c r="AK429" s="23">
        <v>0</v>
      </c>
      <c r="AL429" s="23">
        <v>0</v>
      </c>
      <c r="AM429" s="23">
        <v>0</v>
      </c>
      <c r="AN429" s="23">
        <v>0</v>
      </c>
      <c r="AO429" s="23">
        <v>0</v>
      </c>
      <c r="AP429" s="23">
        <v>0</v>
      </c>
      <c r="AQ429" s="23">
        <v>0</v>
      </c>
      <c r="AR429" s="23">
        <v>0</v>
      </c>
      <c r="AS429" s="23">
        <v>0</v>
      </c>
      <c r="AT429" s="23">
        <v>0</v>
      </c>
      <c r="AU429" s="23">
        <v>0</v>
      </c>
      <c r="AV429" s="23">
        <v>0</v>
      </c>
      <c r="AW429" s="23">
        <v>0</v>
      </c>
      <c r="AX429" s="23">
        <v>0</v>
      </c>
      <c r="AY429" s="23">
        <v>0</v>
      </c>
      <c r="AZ429" s="23">
        <v>0</v>
      </c>
      <c r="BA429" s="23">
        <v>0</v>
      </c>
      <c r="BB429" s="23">
        <v>0</v>
      </c>
      <c r="BC429" s="23">
        <v>0</v>
      </c>
      <c r="BD429" s="23">
        <v>0</v>
      </c>
      <c r="BE429" s="23">
        <v>0</v>
      </c>
      <c r="BF429" s="23">
        <v>0</v>
      </c>
      <c r="BG429" s="23">
        <v>1</v>
      </c>
      <c r="BH429" s="23">
        <v>1</v>
      </c>
      <c r="BI429" s="23">
        <v>1</v>
      </c>
      <c r="BJ429" s="23">
        <v>1</v>
      </c>
      <c r="BK429" s="23">
        <v>1</v>
      </c>
      <c r="BL429" s="23">
        <v>1</v>
      </c>
      <c r="BM429" s="23">
        <v>1</v>
      </c>
      <c r="BN429" s="23">
        <v>1</v>
      </c>
      <c r="BO429" s="23">
        <v>1</v>
      </c>
      <c r="BP429" s="23">
        <f>$L429*AI429</f>
        <v>0</v>
      </c>
      <c r="BQ429" s="23">
        <f>$L429*AJ429</f>
        <v>0</v>
      </c>
      <c r="BR429" s="23">
        <f>$L429*AK429</f>
        <v>0</v>
      </c>
      <c r="BS429" s="23">
        <f>$L429*AL429</f>
        <v>0</v>
      </c>
      <c r="BT429" s="23">
        <f>$L429*AM429</f>
        <v>0</v>
      </c>
      <c r="BU429" s="23">
        <f>$L429*AN429</f>
        <v>0</v>
      </c>
      <c r="BV429" s="23">
        <f>$L429*AO429</f>
        <v>0</v>
      </c>
      <c r="BW429" s="23">
        <f>$L429*AP429</f>
        <v>0</v>
      </c>
      <c r="BX429" s="23">
        <f>$L429*AQ429</f>
        <v>0</v>
      </c>
      <c r="BY429" s="23">
        <f>$L429*AR429</f>
        <v>0</v>
      </c>
      <c r="BZ429" s="23">
        <f>$L429*AS429</f>
        <v>0</v>
      </c>
      <c r="CA429" s="23">
        <f>$L429*AT429</f>
        <v>0</v>
      </c>
      <c r="CB429" s="23">
        <f>$L429*AU429</f>
        <v>0</v>
      </c>
      <c r="CC429" s="23">
        <f>$L429*AV429</f>
        <v>0</v>
      </c>
      <c r="CD429" s="23">
        <f>$L429*AW429</f>
        <v>0</v>
      </c>
      <c r="CE429" s="23">
        <f>$L429*AX429</f>
        <v>0</v>
      </c>
      <c r="CF429" s="23">
        <f>$L429*AY429</f>
        <v>0</v>
      </c>
      <c r="CG429" s="23">
        <f>$L429*AZ429</f>
        <v>0</v>
      </c>
      <c r="CH429" s="23">
        <f>$L429*BA429</f>
        <v>0</v>
      </c>
      <c r="CI429" s="23">
        <f>$L429*BB429</f>
        <v>0</v>
      </c>
      <c r="CJ429" s="23">
        <f>$L429*BC429</f>
        <v>0</v>
      </c>
      <c r="CK429" s="23">
        <f>$L429*BD429</f>
        <v>0</v>
      </c>
      <c r="CL429" s="23">
        <f>$L429*BE429</f>
        <v>0</v>
      </c>
      <c r="CM429" s="23">
        <f>$L429*BF429</f>
        <v>0</v>
      </c>
      <c r="CN429" s="23">
        <f>$L429*BG429</f>
        <v>1</v>
      </c>
      <c r="CO429" s="23">
        <f>$L429*BH429</f>
        <v>1</v>
      </c>
      <c r="CP429" s="23">
        <f>$L429*BI429</f>
        <v>1</v>
      </c>
      <c r="CQ429" s="23">
        <f>$L429*BJ429</f>
        <v>1</v>
      </c>
      <c r="CR429" s="23">
        <f>$L429*BK429</f>
        <v>1</v>
      </c>
      <c r="CS429" s="23">
        <f>$L429*BL429</f>
        <v>1</v>
      </c>
      <c r="CT429" s="23">
        <f>$L429*BM429</f>
        <v>1</v>
      </c>
      <c r="CU429" s="23">
        <f>$L429*BN429</f>
        <v>1</v>
      </c>
      <c r="CV429" s="23">
        <f>$L429*BO429</f>
        <v>1</v>
      </c>
    </row>
    <row r="430" spans="1:100" ht="13.5" x14ac:dyDescent="0.15">
      <c r="A430" s="15">
        <v>332</v>
      </c>
      <c r="B430" s="28" t="s">
        <v>813</v>
      </c>
      <c r="C430" t="s">
        <v>414</v>
      </c>
      <c r="E430" t="s">
        <v>140</v>
      </c>
      <c r="F430" t="s">
        <v>415</v>
      </c>
      <c r="G430" t="s">
        <v>140</v>
      </c>
      <c r="H430" t="s">
        <v>141</v>
      </c>
      <c r="I430" s="6" t="s">
        <v>136</v>
      </c>
      <c r="J430" s="6">
        <v>0</v>
      </c>
      <c r="L430" s="15">
        <v>1</v>
      </c>
      <c r="M430" s="7">
        <v>45803</v>
      </c>
      <c r="N430" s="7">
        <v>46198</v>
      </c>
      <c r="O430" s="7">
        <v>46195</v>
      </c>
      <c r="P430" s="7">
        <v>46196</v>
      </c>
      <c r="S430" s="6" t="s">
        <v>140</v>
      </c>
      <c r="U430" s="6" t="s">
        <v>413</v>
      </c>
      <c r="V430" s="6" t="str">
        <f>TEXT(N430,"YY/MM")</f>
        <v>26/06</v>
      </c>
      <c r="W430">
        <v>1802</v>
      </c>
      <c r="AA430">
        <v>1156</v>
      </c>
      <c r="AC430">
        <v>1209</v>
      </c>
      <c r="AI430" s="23">
        <v>0</v>
      </c>
      <c r="AJ430" s="23">
        <v>0</v>
      </c>
      <c r="AK430" s="23">
        <v>0</v>
      </c>
      <c r="AL430" s="23">
        <v>0</v>
      </c>
      <c r="AM430" s="23">
        <v>0</v>
      </c>
      <c r="AN430" s="23">
        <v>0</v>
      </c>
      <c r="AO430" s="23">
        <v>0</v>
      </c>
      <c r="AP430" s="23">
        <v>0</v>
      </c>
      <c r="AQ430" s="23">
        <v>0</v>
      </c>
      <c r="AR430" s="23">
        <v>0</v>
      </c>
      <c r="AS430" s="23">
        <v>0</v>
      </c>
      <c r="AT430" s="23">
        <v>0</v>
      </c>
      <c r="AU430" s="23">
        <v>0</v>
      </c>
      <c r="AV430" s="23">
        <v>0</v>
      </c>
      <c r="AW430" s="23">
        <v>0</v>
      </c>
      <c r="AX430" s="23">
        <v>0</v>
      </c>
      <c r="AY430" s="23">
        <v>0</v>
      </c>
      <c r="AZ430" s="23">
        <v>0</v>
      </c>
      <c r="BA430" s="23">
        <v>0</v>
      </c>
      <c r="BB430" s="23">
        <v>0</v>
      </c>
      <c r="BC430" s="23">
        <v>0</v>
      </c>
      <c r="BD430" s="23">
        <v>0</v>
      </c>
      <c r="BE430" s="23">
        <v>0</v>
      </c>
      <c r="BF430" s="23">
        <v>0</v>
      </c>
      <c r="BG430" s="23">
        <v>1</v>
      </c>
      <c r="BH430" s="23">
        <v>1</v>
      </c>
      <c r="BI430" s="23">
        <v>1</v>
      </c>
      <c r="BJ430" s="23">
        <v>1</v>
      </c>
      <c r="BK430" s="23">
        <v>1</v>
      </c>
      <c r="BL430" s="23">
        <v>1</v>
      </c>
      <c r="BM430" s="23">
        <v>1</v>
      </c>
      <c r="BN430" s="23">
        <v>1</v>
      </c>
      <c r="BO430" s="23">
        <v>1</v>
      </c>
      <c r="BP430" s="23">
        <f>$L430*AI430</f>
        <v>0</v>
      </c>
      <c r="BQ430" s="23">
        <f>$L430*AJ430</f>
        <v>0</v>
      </c>
      <c r="BR430" s="23">
        <f>$L430*AK430</f>
        <v>0</v>
      </c>
      <c r="BS430" s="23">
        <f>$L430*AL430</f>
        <v>0</v>
      </c>
      <c r="BT430" s="23">
        <f>$L430*AM430</f>
        <v>0</v>
      </c>
      <c r="BU430" s="23">
        <f>$L430*AN430</f>
        <v>0</v>
      </c>
      <c r="BV430" s="23">
        <f>$L430*AO430</f>
        <v>0</v>
      </c>
      <c r="BW430" s="23">
        <f>$L430*AP430</f>
        <v>0</v>
      </c>
      <c r="BX430" s="23">
        <f>$L430*AQ430</f>
        <v>0</v>
      </c>
      <c r="BY430" s="23">
        <f>$L430*AR430</f>
        <v>0</v>
      </c>
      <c r="BZ430" s="23">
        <f>$L430*AS430</f>
        <v>0</v>
      </c>
      <c r="CA430" s="23">
        <f>$L430*AT430</f>
        <v>0</v>
      </c>
      <c r="CB430" s="23">
        <f>$L430*AU430</f>
        <v>0</v>
      </c>
      <c r="CC430" s="23">
        <f>$L430*AV430</f>
        <v>0</v>
      </c>
      <c r="CD430" s="23">
        <f>$L430*AW430</f>
        <v>0</v>
      </c>
      <c r="CE430" s="23">
        <f>$L430*AX430</f>
        <v>0</v>
      </c>
      <c r="CF430" s="23">
        <f>$L430*AY430</f>
        <v>0</v>
      </c>
      <c r="CG430" s="23">
        <f>$L430*AZ430</f>
        <v>0</v>
      </c>
      <c r="CH430" s="23">
        <f>$L430*BA430</f>
        <v>0</v>
      </c>
      <c r="CI430" s="23">
        <f>$L430*BB430</f>
        <v>0</v>
      </c>
      <c r="CJ430" s="23">
        <f>$L430*BC430</f>
        <v>0</v>
      </c>
      <c r="CK430" s="23">
        <f>$L430*BD430</f>
        <v>0</v>
      </c>
      <c r="CL430" s="23">
        <f>$L430*BE430</f>
        <v>0</v>
      </c>
      <c r="CM430" s="23">
        <f>$L430*BF430</f>
        <v>0</v>
      </c>
      <c r="CN430" s="23">
        <f>$L430*BG430</f>
        <v>1</v>
      </c>
      <c r="CO430" s="23">
        <f>$L430*BH430</f>
        <v>1</v>
      </c>
      <c r="CP430" s="23">
        <f>$L430*BI430</f>
        <v>1</v>
      </c>
      <c r="CQ430" s="23">
        <f>$L430*BJ430</f>
        <v>1</v>
      </c>
      <c r="CR430" s="23">
        <f>$L430*BK430</f>
        <v>1</v>
      </c>
      <c r="CS430" s="23">
        <f>$L430*BL430</f>
        <v>1</v>
      </c>
      <c r="CT430" s="23">
        <f>$L430*BM430</f>
        <v>1</v>
      </c>
      <c r="CU430" s="23">
        <f>$L430*BN430</f>
        <v>1</v>
      </c>
      <c r="CV430" s="23">
        <f>$L430*BO430</f>
        <v>1</v>
      </c>
    </row>
    <row r="431" spans="1:100" ht="13.5" x14ac:dyDescent="0.15">
      <c r="A431" s="15">
        <v>332</v>
      </c>
      <c r="B431" s="28" t="s">
        <v>814</v>
      </c>
      <c r="C431" t="s">
        <v>414</v>
      </c>
      <c r="E431" t="s">
        <v>140</v>
      </c>
      <c r="F431" t="s">
        <v>415</v>
      </c>
      <c r="G431" t="s">
        <v>140</v>
      </c>
      <c r="H431" t="s">
        <v>141</v>
      </c>
      <c r="I431" s="6" t="s">
        <v>136</v>
      </c>
      <c r="J431" s="6">
        <v>0</v>
      </c>
      <c r="L431" s="15">
        <v>1</v>
      </c>
      <c r="M431" s="7">
        <v>45803</v>
      </c>
      <c r="N431" s="7">
        <v>46198</v>
      </c>
      <c r="O431" s="7">
        <v>46195</v>
      </c>
      <c r="P431" s="7">
        <v>46196</v>
      </c>
      <c r="S431" s="6" t="s">
        <v>140</v>
      </c>
      <c r="U431" s="6" t="s">
        <v>413</v>
      </c>
      <c r="V431" s="6" t="str">
        <f>TEXT(N431,"YY/MM")</f>
        <v>26/06</v>
      </c>
      <c r="W431">
        <v>1803</v>
      </c>
      <c r="AA431">
        <v>1157</v>
      </c>
      <c r="AC431">
        <v>1210</v>
      </c>
      <c r="AI431" s="23">
        <v>0</v>
      </c>
      <c r="AJ431" s="23">
        <v>0</v>
      </c>
      <c r="AK431" s="23">
        <v>0</v>
      </c>
      <c r="AL431" s="23">
        <v>0</v>
      </c>
      <c r="AM431" s="23">
        <v>0</v>
      </c>
      <c r="AN431" s="23">
        <v>0</v>
      </c>
      <c r="AO431" s="23">
        <v>0</v>
      </c>
      <c r="AP431" s="23">
        <v>0</v>
      </c>
      <c r="AQ431" s="23">
        <v>0</v>
      </c>
      <c r="AR431" s="23">
        <v>0</v>
      </c>
      <c r="AS431" s="23">
        <v>0</v>
      </c>
      <c r="AT431" s="23">
        <v>0</v>
      </c>
      <c r="AU431" s="23">
        <v>0</v>
      </c>
      <c r="AV431" s="23">
        <v>0</v>
      </c>
      <c r="AW431" s="23">
        <v>0</v>
      </c>
      <c r="AX431" s="23">
        <v>0</v>
      </c>
      <c r="AY431" s="23">
        <v>0</v>
      </c>
      <c r="AZ431" s="23">
        <v>0</v>
      </c>
      <c r="BA431" s="23">
        <v>0</v>
      </c>
      <c r="BB431" s="23">
        <v>0</v>
      </c>
      <c r="BC431" s="23">
        <v>0</v>
      </c>
      <c r="BD431" s="23">
        <v>0</v>
      </c>
      <c r="BE431" s="23">
        <v>0</v>
      </c>
      <c r="BF431" s="23">
        <v>0</v>
      </c>
      <c r="BG431" s="23">
        <v>1</v>
      </c>
      <c r="BH431" s="23">
        <v>1</v>
      </c>
      <c r="BI431" s="23">
        <v>1</v>
      </c>
      <c r="BJ431" s="23">
        <v>1</v>
      </c>
      <c r="BK431" s="23">
        <v>1</v>
      </c>
      <c r="BL431" s="23">
        <v>1</v>
      </c>
      <c r="BM431" s="23">
        <v>1</v>
      </c>
      <c r="BN431" s="23">
        <v>1</v>
      </c>
      <c r="BO431" s="23">
        <v>1</v>
      </c>
      <c r="BP431" s="23">
        <f>$L431*AI431</f>
        <v>0</v>
      </c>
      <c r="BQ431" s="23">
        <f>$L431*AJ431</f>
        <v>0</v>
      </c>
      <c r="BR431" s="23">
        <f>$L431*AK431</f>
        <v>0</v>
      </c>
      <c r="BS431" s="23">
        <f>$L431*AL431</f>
        <v>0</v>
      </c>
      <c r="BT431" s="23">
        <f>$L431*AM431</f>
        <v>0</v>
      </c>
      <c r="BU431" s="23">
        <f>$L431*AN431</f>
        <v>0</v>
      </c>
      <c r="BV431" s="23">
        <f>$L431*AO431</f>
        <v>0</v>
      </c>
      <c r="BW431" s="23">
        <f>$L431*AP431</f>
        <v>0</v>
      </c>
      <c r="BX431" s="23">
        <f>$L431*AQ431</f>
        <v>0</v>
      </c>
      <c r="BY431" s="23">
        <f>$L431*AR431</f>
        <v>0</v>
      </c>
      <c r="BZ431" s="23">
        <f>$L431*AS431</f>
        <v>0</v>
      </c>
      <c r="CA431" s="23">
        <f>$L431*AT431</f>
        <v>0</v>
      </c>
      <c r="CB431" s="23">
        <f>$L431*AU431</f>
        <v>0</v>
      </c>
      <c r="CC431" s="23">
        <f>$L431*AV431</f>
        <v>0</v>
      </c>
      <c r="CD431" s="23">
        <f>$L431*AW431</f>
        <v>0</v>
      </c>
      <c r="CE431" s="23">
        <f>$L431*AX431</f>
        <v>0</v>
      </c>
      <c r="CF431" s="23">
        <f>$L431*AY431</f>
        <v>0</v>
      </c>
      <c r="CG431" s="23">
        <f>$L431*AZ431</f>
        <v>0</v>
      </c>
      <c r="CH431" s="23">
        <f>$L431*BA431</f>
        <v>0</v>
      </c>
      <c r="CI431" s="23">
        <f>$L431*BB431</f>
        <v>0</v>
      </c>
      <c r="CJ431" s="23">
        <f>$L431*BC431</f>
        <v>0</v>
      </c>
      <c r="CK431" s="23">
        <f>$L431*BD431</f>
        <v>0</v>
      </c>
      <c r="CL431" s="23">
        <f>$L431*BE431</f>
        <v>0</v>
      </c>
      <c r="CM431" s="23">
        <f>$L431*BF431</f>
        <v>0</v>
      </c>
      <c r="CN431" s="23">
        <f>$L431*BG431</f>
        <v>1</v>
      </c>
      <c r="CO431" s="23">
        <f>$L431*BH431</f>
        <v>1</v>
      </c>
      <c r="CP431" s="23">
        <f>$L431*BI431</f>
        <v>1</v>
      </c>
      <c r="CQ431" s="23">
        <f>$L431*BJ431</f>
        <v>1</v>
      </c>
      <c r="CR431" s="23">
        <f>$L431*BK431</f>
        <v>1</v>
      </c>
      <c r="CS431" s="23">
        <f>$L431*BL431</f>
        <v>1</v>
      </c>
      <c r="CT431" s="23">
        <f>$L431*BM431</f>
        <v>1</v>
      </c>
      <c r="CU431" s="23">
        <f>$L431*BN431</f>
        <v>1</v>
      </c>
      <c r="CV431" s="23">
        <f>$L431*BO431</f>
        <v>1</v>
      </c>
    </row>
    <row r="432" spans="1:100" ht="13.5" x14ac:dyDescent="0.15">
      <c r="A432" s="15">
        <v>332</v>
      </c>
      <c r="B432" s="28" t="s">
        <v>815</v>
      </c>
      <c r="C432" t="s">
        <v>414</v>
      </c>
      <c r="E432" t="s">
        <v>140</v>
      </c>
      <c r="F432" t="s">
        <v>415</v>
      </c>
      <c r="G432" t="s">
        <v>140</v>
      </c>
      <c r="H432" t="s">
        <v>141</v>
      </c>
      <c r="I432" s="6" t="s">
        <v>136</v>
      </c>
      <c r="J432" s="6">
        <v>0</v>
      </c>
      <c r="L432" s="15">
        <v>1</v>
      </c>
      <c r="M432" s="7">
        <v>45803</v>
      </c>
      <c r="N432" s="7">
        <v>46198</v>
      </c>
      <c r="O432" s="7">
        <v>46195</v>
      </c>
      <c r="P432" s="7">
        <v>46196</v>
      </c>
      <c r="S432" s="6" t="s">
        <v>140</v>
      </c>
      <c r="U432" s="6" t="s">
        <v>413</v>
      </c>
      <c r="V432" s="6" t="str">
        <f>TEXT(N432,"YY/MM")</f>
        <v>26/06</v>
      </c>
      <c r="W432">
        <v>1804</v>
      </c>
      <c r="AA432">
        <v>1158</v>
      </c>
      <c r="AC432">
        <v>1211</v>
      </c>
      <c r="AI432" s="23">
        <v>0</v>
      </c>
      <c r="AJ432" s="23">
        <v>0</v>
      </c>
      <c r="AK432" s="23">
        <v>0</v>
      </c>
      <c r="AL432" s="23">
        <v>0</v>
      </c>
      <c r="AM432" s="23">
        <v>0</v>
      </c>
      <c r="AN432" s="23">
        <v>0</v>
      </c>
      <c r="AO432" s="23">
        <v>0</v>
      </c>
      <c r="AP432" s="23">
        <v>0</v>
      </c>
      <c r="AQ432" s="23">
        <v>0</v>
      </c>
      <c r="AR432" s="23">
        <v>0</v>
      </c>
      <c r="AS432" s="23">
        <v>0</v>
      </c>
      <c r="AT432" s="23">
        <v>0</v>
      </c>
      <c r="AU432" s="23">
        <v>0</v>
      </c>
      <c r="AV432" s="23">
        <v>0</v>
      </c>
      <c r="AW432" s="23">
        <v>0</v>
      </c>
      <c r="AX432" s="23">
        <v>0</v>
      </c>
      <c r="AY432" s="23">
        <v>0</v>
      </c>
      <c r="AZ432" s="23">
        <v>0</v>
      </c>
      <c r="BA432" s="23">
        <v>0</v>
      </c>
      <c r="BB432" s="23">
        <v>0</v>
      </c>
      <c r="BC432" s="23">
        <v>0</v>
      </c>
      <c r="BD432" s="23">
        <v>0</v>
      </c>
      <c r="BE432" s="23">
        <v>0</v>
      </c>
      <c r="BF432" s="23">
        <v>0</v>
      </c>
      <c r="BG432" s="23">
        <v>1</v>
      </c>
      <c r="BH432" s="23">
        <v>1</v>
      </c>
      <c r="BI432" s="23">
        <v>1</v>
      </c>
      <c r="BJ432" s="23">
        <v>1</v>
      </c>
      <c r="BK432" s="23">
        <v>1</v>
      </c>
      <c r="BL432" s="23">
        <v>1</v>
      </c>
      <c r="BM432" s="23">
        <v>1</v>
      </c>
      <c r="BN432" s="23">
        <v>1</v>
      </c>
      <c r="BO432" s="23">
        <v>1</v>
      </c>
      <c r="BP432" s="23">
        <f>$L432*AI432</f>
        <v>0</v>
      </c>
      <c r="BQ432" s="23">
        <f>$L432*AJ432</f>
        <v>0</v>
      </c>
      <c r="BR432" s="23">
        <f>$L432*AK432</f>
        <v>0</v>
      </c>
      <c r="BS432" s="23">
        <f>$L432*AL432</f>
        <v>0</v>
      </c>
      <c r="BT432" s="23">
        <f>$L432*AM432</f>
        <v>0</v>
      </c>
      <c r="BU432" s="23">
        <f>$L432*AN432</f>
        <v>0</v>
      </c>
      <c r="BV432" s="23">
        <f>$L432*AO432</f>
        <v>0</v>
      </c>
      <c r="BW432" s="23">
        <f>$L432*AP432</f>
        <v>0</v>
      </c>
      <c r="BX432" s="23">
        <f>$L432*AQ432</f>
        <v>0</v>
      </c>
      <c r="BY432" s="23">
        <f>$L432*AR432</f>
        <v>0</v>
      </c>
      <c r="BZ432" s="23">
        <f>$L432*AS432</f>
        <v>0</v>
      </c>
      <c r="CA432" s="23">
        <f>$L432*AT432</f>
        <v>0</v>
      </c>
      <c r="CB432" s="23">
        <f>$L432*AU432</f>
        <v>0</v>
      </c>
      <c r="CC432" s="23">
        <f>$L432*AV432</f>
        <v>0</v>
      </c>
      <c r="CD432" s="23">
        <f>$L432*AW432</f>
        <v>0</v>
      </c>
      <c r="CE432" s="23">
        <f>$L432*AX432</f>
        <v>0</v>
      </c>
      <c r="CF432" s="23">
        <f>$L432*AY432</f>
        <v>0</v>
      </c>
      <c r="CG432" s="23">
        <f>$L432*AZ432</f>
        <v>0</v>
      </c>
      <c r="CH432" s="23">
        <f>$L432*BA432</f>
        <v>0</v>
      </c>
      <c r="CI432" s="23">
        <f>$L432*BB432</f>
        <v>0</v>
      </c>
      <c r="CJ432" s="23">
        <f>$L432*BC432</f>
        <v>0</v>
      </c>
      <c r="CK432" s="23">
        <f>$L432*BD432</f>
        <v>0</v>
      </c>
      <c r="CL432" s="23">
        <f>$L432*BE432</f>
        <v>0</v>
      </c>
      <c r="CM432" s="23">
        <f>$L432*BF432</f>
        <v>0</v>
      </c>
      <c r="CN432" s="23">
        <f>$L432*BG432</f>
        <v>1</v>
      </c>
      <c r="CO432" s="23">
        <f>$L432*BH432</f>
        <v>1</v>
      </c>
      <c r="CP432" s="23">
        <f>$L432*BI432</f>
        <v>1</v>
      </c>
      <c r="CQ432" s="23">
        <f>$L432*BJ432</f>
        <v>1</v>
      </c>
      <c r="CR432" s="23">
        <f>$L432*BK432</f>
        <v>1</v>
      </c>
      <c r="CS432" s="23">
        <f>$L432*BL432</f>
        <v>1</v>
      </c>
      <c r="CT432" s="23">
        <f>$L432*BM432</f>
        <v>1</v>
      </c>
      <c r="CU432" s="23">
        <f>$L432*BN432</f>
        <v>1</v>
      </c>
      <c r="CV432" s="23">
        <f>$L432*BO432</f>
        <v>1</v>
      </c>
    </row>
    <row r="433" spans="1:100" ht="13.5" x14ac:dyDescent="0.15">
      <c r="A433" s="15">
        <v>332</v>
      </c>
      <c r="B433" s="28" t="s">
        <v>816</v>
      </c>
      <c r="C433" t="s">
        <v>414</v>
      </c>
      <c r="E433" t="s">
        <v>140</v>
      </c>
      <c r="F433" t="s">
        <v>415</v>
      </c>
      <c r="G433" t="s">
        <v>140</v>
      </c>
      <c r="H433" t="s">
        <v>141</v>
      </c>
      <c r="I433" s="6" t="s">
        <v>136</v>
      </c>
      <c r="J433" s="6">
        <v>0</v>
      </c>
      <c r="L433" s="15">
        <v>1</v>
      </c>
      <c r="M433" s="7">
        <v>45803</v>
      </c>
      <c r="N433" s="7">
        <v>46198</v>
      </c>
      <c r="O433" s="7">
        <v>46195</v>
      </c>
      <c r="P433" s="7">
        <v>46196</v>
      </c>
      <c r="S433" s="6" t="s">
        <v>140</v>
      </c>
      <c r="U433" s="6" t="s">
        <v>413</v>
      </c>
      <c r="V433" s="6" t="str">
        <f>TEXT(N433,"YY/MM")</f>
        <v>26/06</v>
      </c>
      <c r="W433">
        <v>1805</v>
      </c>
      <c r="AA433">
        <v>1159</v>
      </c>
      <c r="AC433">
        <v>1212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0</v>
      </c>
      <c r="AZ433" s="23">
        <v>0</v>
      </c>
      <c r="BA433" s="23">
        <v>0</v>
      </c>
      <c r="BB433" s="23">
        <v>0</v>
      </c>
      <c r="BC433" s="23">
        <v>0</v>
      </c>
      <c r="BD433" s="23">
        <v>0</v>
      </c>
      <c r="BE433" s="23">
        <v>0</v>
      </c>
      <c r="BF433" s="23">
        <v>0</v>
      </c>
      <c r="BG433" s="23">
        <v>1</v>
      </c>
      <c r="BH433" s="23">
        <v>1</v>
      </c>
      <c r="BI433" s="23">
        <v>1</v>
      </c>
      <c r="BJ433" s="23">
        <v>1</v>
      </c>
      <c r="BK433" s="23">
        <v>1</v>
      </c>
      <c r="BL433" s="23">
        <v>1</v>
      </c>
      <c r="BM433" s="23">
        <v>1</v>
      </c>
      <c r="BN433" s="23">
        <v>1</v>
      </c>
      <c r="BO433" s="23">
        <v>1</v>
      </c>
      <c r="BP433" s="23">
        <f>$L433*AI433</f>
        <v>0</v>
      </c>
      <c r="BQ433" s="23">
        <f>$L433*AJ433</f>
        <v>0</v>
      </c>
      <c r="BR433" s="23">
        <f>$L433*AK433</f>
        <v>0</v>
      </c>
      <c r="BS433" s="23">
        <f>$L433*AL433</f>
        <v>0</v>
      </c>
      <c r="BT433" s="23">
        <f>$L433*AM433</f>
        <v>0</v>
      </c>
      <c r="BU433" s="23">
        <f>$L433*AN433</f>
        <v>0</v>
      </c>
      <c r="BV433" s="23">
        <f>$L433*AO433</f>
        <v>0</v>
      </c>
      <c r="BW433" s="23">
        <f>$L433*AP433</f>
        <v>0</v>
      </c>
      <c r="BX433" s="23">
        <f>$L433*AQ433</f>
        <v>0</v>
      </c>
      <c r="BY433" s="23">
        <f>$L433*AR433</f>
        <v>0</v>
      </c>
      <c r="BZ433" s="23">
        <f>$L433*AS433</f>
        <v>0</v>
      </c>
      <c r="CA433" s="23">
        <f>$L433*AT433</f>
        <v>0</v>
      </c>
      <c r="CB433" s="23">
        <f>$L433*AU433</f>
        <v>0</v>
      </c>
      <c r="CC433" s="23">
        <f>$L433*AV433</f>
        <v>0</v>
      </c>
      <c r="CD433" s="23">
        <f>$L433*AW433</f>
        <v>0</v>
      </c>
      <c r="CE433" s="23">
        <f>$L433*AX433</f>
        <v>0</v>
      </c>
      <c r="CF433" s="23">
        <f>$L433*AY433</f>
        <v>0</v>
      </c>
      <c r="CG433" s="23">
        <f>$L433*AZ433</f>
        <v>0</v>
      </c>
      <c r="CH433" s="23">
        <f>$L433*BA433</f>
        <v>0</v>
      </c>
      <c r="CI433" s="23">
        <f>$L433*BB433</f>
        <v>0</v>
      </c>
      <c r="CJ433" s="23">
        <f>$L433*BC433</f>
        <v>0</v>
      </c>
      <c r="CK433" s="23">
        <f>$L433*BD433</f>
        <v>0</v>
      </c>
      <c r="CL433" s="23">
        <f>$L433*BE433</f>
        <v>0</v>
      </c>
      <c r="CM433" s="23">
        <f>$L433*BF433</f>
        <v>0</v>
      </c>
      <c r="CN433" s="23">
        <f>$L433*BG433</f>
        <v>1</v>
      </c>
      <c r="CO433" s="23">
        <f>$L433*BH433</f>
        <v>1</v>
      </c>
      <c r="CP433" s="23">
        <f>$L433*BI433</f>
        <v>1</v>
      </c>
      <c r="CQ433" s="23">
        <f>$L433*BJ433</f>
        <v>1</v>
      </c>
      <c r="CR433" s="23">
        <f>$L433*BK433</f>
        <v>1</v>
      </c>
      <c r="CS433" s="23">
        <f>$L433*BL433</f>
        <v>1</v>
      </c>
      <c r="CT433" s="23">
        <f>$L433*BM433</f>
        <v>1</v>
      </c>
      <c r="CU433" s="23">
        <f>$L433*BN433</f>
        <v>1</v>
      </c>
      <c r="CV433" s="23">
        <f>$L433*BO433</f>
        <v>1</v>
      </c>
    </row>
    <row r="434" spans="1:100" ht="13.5" x14ac:dyDescent="0.15">
      <c r="A434" s="15">
        <v>332</v>
      </c>
      <c r="B434" s="28" t="s">
        <v>817</v>
      </c>
      <c r="C434" t="s">
        <v>414</v>
      </c>
      <c r="E434" t="s">
        <v>140</v>
      </c>
      <c r="F434" t="s">
        <v>415</v>
      </c>
      <c r="G434" t="s">
        <v>140</v>
      </c>
      <c r="H434" t="s">
        <v>141</v>
      </c>
      <c r="I434" s="6" t="s">
        <v>136</v>
      </c>
      <c r="J434" s="6">
        <v>0</v>
      </c>
      <c r="L434" s="15">
        <v>1</v>
      </c>
      <c r="M434" s="7">
        <v>45803</v>
      </c>
      <c r="N434" s="7">
        <v>46198</v>
      </c>
      <c r="O434" s="7">
        <v>46195</v>
      </c>
      <c r="P434" s="7">
        <v>46196</v>
      </c>
      <c r="S434" s="6" t="s">
        <v>140</v>
      </c>
      <c r="U434" s="6" t="s">
        <v>413</v>
      </c>
      <c r="V434" s="6" t="str">
        <f>TEXT(N434,"YY/MM")</f>
        <v>26/06</v>
      </c>
      <c r="W434">
        <v>1806</v>
      </c>
      <c r="AA434">
        <v>1160</v>
      </c>
      <c r="AC434">
        <v>1213</v>
      </c>
      <c r="AI434" s="23">
        <v>0</v>
      </c>
      <c r="AJ434" s="23">
        <v>0</v>
      </c>
      <c r="AK434" s="23">
        <v>0</v>
      </c>
      <c r="AL434" s="23">
        <v>0</v>
      </c>
      <c r="AM434" s="23">
        <v>0</v>
      </c>
      <c r="AN434" s="23">
        <v>0</v>
      </c>
      <c r="AO434" s="23">
        <v>0</v>
      </c>
      <c r="AP434" s="23">
        <v>0</v>
      </c>
      <c r="AQ434" s="23">
        <v>0</v>
      </c>
      <c r="AR434" s="23">
        <v>0</v>
      </c>
      <c r="AS434" s="23">
        <v>0</v>
      </c>
      <c r="AT434" s="23">
        <v>0</v>
      </c>
      <c r="AU434" s="23">
        <v>0</v>
      </c>
      <c r="AV434" s="23">
        <v>0</v>
      </c>
      <c r="AW434" s="23">
        <v>0</v>
      </c>
      <c r="AX434" s="23">
        <v>0</v>
      </c>
      <c r="AY434" s="23">
        <v>0</v>
      </c>
      <c r="AZ434" s="23">
        <v>0</v>
      </c>
      <c r="BA434" s="23">
        <v>0</v>
      </c>
      <c r="BB434" s="23">
        <v>0</v>
      </c>
      <c r="BC434" s="23">
        <v>0</v>
      </c>
      <c r="BD434" s="23">
        <v>0</v>
      </c>
      <c r="BE434" s="23">
        <v>0</v>
      </c>
      <c r="BF434" s="23">
        <v>0</v>
      </c>
      <c r="BG434" s="23">
        <v>1</v>
      </c>
      <c r="BH434" s="23">
        <v>1</v>
      </c>
      <c r="BI434" s="23">
        <v>1</v>
      </c>
      <c r="BJ434" s="23">
        <v>1</v>
      </c>
      <c r="BK434" s="23">
        <v>1</v>
      </c>
      <c r="BL434" s="23">
        <v>1</v>
      </c>
      <c r="BM434" s="23">
        <v>1</v>
      </c>
      <c r="BN434" s="23">
        <v>1</v>
      </c>
      <c r="BO434" s="23">
        <v>1</v>
      </c>
      <c r="BP434" s="23">
        <f>$L434*AI434</f>
        <v>0</v>
      </c>
      <c r="BQ434" s="23">
        <f>$L434*AJ434</f>
        <v>0</v>
      </c>
      <c r="BR434" s="23">
        <f>$L434*AK434</f>
        <v>0</v>
      </c>
      <c r="BS434" s="23">
        <f>$L434*AL434</f>
        <v>0</v>
      </c>
      <c r="BT434" s="23">
        <f>$L434*AM434</f>
        <v>0</v>
      </c>
      <c r="BU434" s="23">
        <f>$L434*AN434</f>
        <v>0</v>
      </c>
      <c r="BV434" s="23">
        <f>$L434*AO434</f>
        <v>0</v>
      </c>
      <c r="BW434" s="23">
        <f>$L434*AP434</f>
        <v>0</v>
      </c>
      <c r="BX434" s="23">
        <f>$L434*AQ434</f>
        <v>0</v>
      </c>
      <c r="BY434" s="23">
        <f>$L434*AR434</f>
        <v>0</v>
      </c>
      <c r="BZ434" s="23">
        <f>$L434*AS434</f>
        <v>0</v>
      </c>
      <c r="CA434" s="23">
        <f>$L434*AT434</f>
        <v>0</v>
      </c>
      <c r="CB434" s="23">
        <f>$L434*AU434</f>
        <v>0</v>
      </c>
      <c r="CC434" s="23">
        <f>$L434*AV434</f>
        <v>0</v>
      </c>
      <c r="CD434" s="23">
        <f>$L434*AW434</f>
        <v>0</v>
      </c>
      <c r="CE434" s="23">
        <f>$L434*AX434</f>
        <v>0</v>
      </c>
      <c r="CF434" s="23">
        <f>$L434*AY434</f>
        <v>0</v>
      </c>
      <c r="CG434" s="23">
        <f>$L434*AZ434</f>
        <v>0</v>
      </c>
      <c r="CH434" s="23">
        <f>$L434*BA434</f>
        <v>0</v>
      </c>
      <c r="CI434" s="23">
        <f>$L434*BB434</f>
        <v>0</v>
      </c>
      <c r="CJ434" s="23">
        <f>$L434*BC434</f>
        <v>0</v>
      </c>
      <c r="CK434" s="23">
        <f>$L434*BD434</f>
        <v>0</v>
      </c>
      <c r="CL434" s="23">
        <f>$L434*BE434</f>
        <v>0</v>
      </c>
      <c r="CM434" s="23">
        <f>$L434*BF434</f>
        <v>0</v>
      </c>
      <c r="CN434" s="23">
        <f>$L434*BG434</f>
        <v>1</v>
      </c>
      <c r="CO434" s="23">
        <f>$L434*BH434</f>
        <v>1</v>
      </c>
      <c r="CP434" s="23">
        <f>$L434*BI434</f>
        <v>1</v>
      </c>
      <c r="CQ434" s="23">
        <f>$L434*BJ434</f>
        <v>1</v>
      </c>
      <c r="CR434" s="23">
        <f>$L434*BK434</f>
        <v>1</v>
      </c>
      <c r="CS434" s="23">
        <f>$L434*BL434</f>
        <v>1</v>
      </c>
      <c r="CT434" s="23">
        <f>$L434*BM434</f>
        <v>1</v>
      </c>
      <c r="CU434" s="23">
        <f>$L434*BN434</f>
        <v>1</v>
      </c>
      <c r="CV434" s="23">
        <f>$L434*BO434</f>
        <v>1</v>
      </c>
    </row>
    <row r="435" spans="1:100" ht="13.5" x14ac:dyDescent="0.15">
      <c r="A435" s="15">
        <v>332</v>
      </c>
      <c r="B435" s="28" t="s">
        <v>818</v>
      </c>
      <c r="C435" t="s">
        <v>414</v>
      </c>
      <c r="E435" t="s">
        <v>140</v>
      </c>
      <c r="F435" t="s">
        <v>415</v>
      </c>
      <c r="G435" t="s">
        <v>140</v>
      </c>
      <c r="H435" t="s">
        <v>141</v>
      </c>
      <c r="I435" s="6" t="s">
        <v>136</v>
      </c>
      <c r="J435" s="6">
        <v>0</v>
      </c>
      <c r="L435" s="15">
        <v>1</v>
      </c>
      <c r="M435" s="7">
        <v>45803</v>
      </c>
      <c r="N435" s="7">
        <v>46198</v>
      </c>
      <c r="O435" s="7">
        <v>46195</v>
      </c>
      <c r="P435" s="7">
        <v>46196</v>
      </c>
      <c r="S435" s="6" t="s">
        <v>140</v>
      </c>
      <c r="U435" s="6" t="s">
        <v>413</v>
      </c>
      <c r="V435" s="6" t="str">
        <f>TEXT(N435,"YY/MM")</f>
        <v>26/06</v>
      </c>
      <c r="W435">
        <v>1807</v>
      </c>
      <c r="AA435">
        <v>1161</v>
      </c>
      <c r="AC435">
        <v>1214</v>
      </c>
      <c r="AI435" s="23">
        <v>0</v>
      </c>
      <c r="AJ435" s="23">
        <v>0</v>
      </c>
      <c r="AK435" s="23">
        <v>0</v>
      </c>
      <c r="AL435" s="23">
        <v>0</v>
      </c>
      <c r="AM435" s="23">
        <v>0</v>
      </c>
      <c r="AN435" s="23">
        <v>0</v>
      </c>
      <c r="AO435" s="23">
        <v>0</v>
      </c>
      <c r="AP435" s="23">
        <v>0</v>
      </c>
      <c r="AQ435" s="23">
        <v>0</v>
      </c>
      <c r="AR435" s="23">
        <v>0</v>
      </c>
      <c r="AS435" s="23">
        <v>0</v>
      </c>
      <c r="AT435" s="23">
        <v>0</v>
      </c>
      <c r="AU435" s="23">
        <v>0</v>
      </c>
      <c r="AV435" s="23">
        <v>0</v>
      </c>
      <c r="AW435" s="23">
        <v>0</v>
      </c>
      <c r="AX435" s="23">
        <v>0</v>
      </c>
      <c r="AY435" s="23">
        <v>0</v>
      </c>
      <c r="AZ435" s="23">
        <v>0</v>
      </c>
      <c r="BA435" s="23">
        <v>0</v>
      </c>
      <c r="BB435" s="23">
        <v>0</v>
      </c>
      <c r="BC435" s="23">
        <v>0</v>
      </c>
      <c r="BD435" s="23">
        <v>0</v>
      </c>
      <c r="BE435" s="23">
        <v>0</v>
      </c>
      <c r="BF435" s="23">
        <v>0</v>
      </c>
      <c r="BG435" s="23">
        <v>1</v>
      </c>
      <c r="BH435" s="23">
        <v>1</v>
      </c>
      <c r="BI435" s="23">
        <v>1</v>
      </c>
      <c r="BJ435" s="23">
        <v>1</v>
      </c>
      <c r="BK435" s="23">
        <v>1</v>
      </c>
      <c r="BL435" s="23">
        <v>1</v>
      </c>
      <c r="BM435" s="23">
        <v>1</v>
      </c>
      <c r="BN435" s="23">
        <v>1</v>
      </c>
      <c r="BO435" s="23">
        <v>1</v>
      </c>
      <c r="BP435" s="23">
        <f>$L435*AI435</f>
        <v>0</v>
      </c>
      <c r="BQ435" s="23">
        <f>$L435*AJ435</f>
        <v>0</v>
      </c>
      <c r="BR435" s="23">
        <f>$L435*AK435</f>
        <v>0</v>
      </c>
      <c r="BS435" s="23">
        <f>$L435*AL435</f>
        <v>0</v>
      </c>
      <c r="BT435" s="23">
        <f>$L435*AM435</f>
        <v>0</v>
      </c>
      <c r="BU435" s="23">
        <f>$L435*AN435</f>
        <v>0</v>
      </c>
      <c r="BV435" s="23">
        <f>$L435*AO435</f>
        <v>0</v>
      </c>
      <c r="BW435" s="23">
        <f>$L435*AP435</f>
        <v>0</v>
      </c>
      <c r="BX435" s="23">
        <f>$L435*AQ435</f>
        <v>0</v>
      </c>
      <c r="BY435" s="23">
        <f>$L435*AR435</f>
        <v>0</v>
      </c>
      <c r="BZ435" s="23">
        <f>$L435*AS435</f>
        <v>0</v>
      </c>
      <c r="CA435" s="23">
        <f>$L435*AT435</f>
        <v>0</v>
      </c>
      <c r="CB435" s="23">
        <f>$L435*AU435</f>
        <v>0</v>
      </c>
      <c r="CC435" s="23">
        <f>$L435*AV435</f>
        <v>0</v>
      </c>
      <c r="CD435" s="23">
        <f>$L435*AW435</f>
        <v>0</v>
      </c>
      <c r="CE435" s="23">
        <f>$L435*AX435</f>
        <v>0</v>
      </c>
      <c r="CF435" s="23">
        <f>$L435*AY435</f>
        <v>0</v>
      </c>
      <c r="CG435" s="23">
        <f>$L435*AZ435</f>
        <v>0</v>
      </c>
      <c r="CH435" s="23">
        <f>$L435*BA435</f>
        <v>0</v>
      </c>
      <c r="CI435" s="23">
        <f>$L435*BB435</f>
        <v>0</v>
      </c>
      <c r="CJ435" s="23">
        <f>$L435*BC435</f>
        <v>0</v>
      </c>
      <c r="CK435" s="23">
        <f>$L435*BD435</f>
        <v>0</v>
      </c>
      <c r="CL435" s="23">
        <f>$L435*BE435</f>
        <v>0</v>
      </c>
      <c r="CM435" s="23">
        <f>$L435*BF435</f>
        <v>0</v>
      </c>
      <c r="CN435" s="23">
        <f>$L435*BG435</f>
        <v>1</v>
      </c>
      <c r="CO435" s="23">
        <f>$L435*BH435</f>
        <v>1</v>
      </c>
      <c r="CP435" s="23">
        <f>$L435*BI435</f>
        <v>1</v>
      </c>
      <c r="CQ435" s="23">
        <f>$L435*BJ435</f>
        <v>1</v>
      </c>
      <c r="CR435" s="23">
        <f>$L435*BK435</f>
        <v>1</v>
      </c>
      <c r="CS435" s="23">
        <f>$L435*BL435</f>
        <v>1</v>
      </c>
      <c r="CT435" s="23">
        <f>$L435*BM435</f>
        <v>1</v>
      </c>
      <c r="CU435" s="23">
        <f>$L435*BN435</f>
        <v>1</v>
      </c>
      <c r="CV435" s="23">
        <f>$L435*BO435</f>
        <v>1</v>
      </c>
    </row>
    <row r="436" spans="1:100" ht="13.5" x14ac:dyDescent="0.15">
      <c r="A436" s="15">
        <v>332</v>
      </c>
      <c r="B436" s="28" t="s">
        <v>819</v>
      </c>
      <c r="C436" t="s">
        <v>414</v>
      </c>
      <c r="E436" t="s">
        <v>140</v>
      </c>
      <c r="F436" t="s">
        <v>415</v>
      </c>
      <c r="G436" t="s">
        <v>140</v>
      </c>
      <c r="H436" t="s">
        <v>141</v>
      </c>
      <c r="I436" s="6" t="s">
        <v>136</v>
      </c>
      <c r="J436" s="6">
        <v>0</v>
      </c>
      <c r="L436" s="15">
        <v>1</v>
      </c>
      <c r="M436" s="7">
        <v>45803</v>
      </c>
      <c r="N436" s="7">
        <v>46199</v>
      </c>
      <c r="O436" s="7">
        <v>46195</v>
      </c>
      <c r="P436" s="7">
        <v>46196</v>
      </c>
      <c r="S436" s="6" t="s">
        <v>140</v>
      </c>
      <c r="U436" s="6" t="s">
        <v>413</v>
      </c>
      <c r="V436" s="6" t="str">
        <f>TEXT(N436,"YY/MM")</f>
        <v>26/06</v>
      </c>
      <c r="W436">
        <v>1808</v>
      </c>
      <c r="AA436">
        <v>1162</v>
      </c>
      <c r="AC436">
        <v>1215</v>
      </c>
      <c r="AI436" s="23">
        <v>0</v>
      </c>
      <c r="AJ436" s="23">
        <v>0</v>
      </c>
      <c r="AK436" s="23">
        <v>0</v>
      </c>
      <c r="AL436" s="23">
        <v>0</v>
      </c>
      <c r="AM436" s="23">
        <v>0</v>
      </c>
      <c r="AN436" s="23">
        <v>0</v>
      </c>
      <c r="AO436" s="23">
        <v>0</v>
      </c>
      <c r="AP436" s="23">
        <v>0</v>
      </c>
      <c r="AQ436" s="23">
        <v>0</v>
      </c>
      <c r="AR436" s="23">
        <v>0</v>
      </c>
      <c r="AS436" s="23">
        <v>0</v>
      </c>
      <c r="AT436" s="23">
        <v>0</v>
      </c>
      <c r="AU436" s="23">
        <v>0</v>
      </c>
      <c r="AV436" s="23">
        <v>0</v>
      </c>
      <c r="AW436" s="23">
        <v>0</v>
      </c>
      <c r="AX436" s="23">
        <v>0</v>
      </c>
      <c r="AY436" s="23">
        <v>0</v>
      </c>
      <c r="AZ436" s="23">
        <v>0</v>
      </c>
      <c r="BA436" s="23">
        <v>0</v>
      </c>
      <c r="BB436" s="23">
        <v>0</v>
      </c>
      <c r="BC436" s="23">
        <v>0</v>
      </c>
      <c r="BD436" s="23">
        <v>0</v>
      </c>
      <c r="BE436" s="23">
        <v>0</v>
      </c>
      <c r="BF436" s="23">
        <v>0</v>
      </c>
      <c r="BG436" s="23">
        <v>1</v>
      </c>
      <c r="BH436" s="23">
        <v>1</v>
      </c>
      <c r="BI436" s="23">
        <v>1</v>
      </c>
      <c r="BJ436" s="23">
        <v>1</v>
      </c>
      <c r="BK436" s="23">
        <v>1</v>
      </c>
      <c r="BL436" s="23">
        <v>1</v>
      </c>
      <c r="BM436" s="23">
        <v>1</v>
      </c>
      <c r="BN436" s="23">
        <v>1</v>
      </c>
      <c r="BO436" s="23">
        <v>1</v>
      </c>
      <c r="BP436" s="23">
        <f>$L436*AI436</f>
        <v>0</v>
      </c>
      <c r="BQ436" s="23">
        <f>$L436*AJ436</f>
        <v>0</v>
      </c>
      <c r="BR436" s="23">
        <f>$L436*AK436</f>
        <v>0</v>
      </c>
      <c r="BS436" s="23">
        <f>$L436*AL436</f>
        <v>0</v>
      </c>
      <c r="BT436" s="23">
        <f>$L436*AM436</f>
        <v>0</v>
      </c>
      <c r="BU436" s="23">
        <f>$L436*AN436</f>
        <v>0</v>
      </c>
      <c r="BV436" s="23">
        <f>$L436*AO436</f>
        <v>0</v>
      </c>
      <c r="BW436" s="23">
        <f>$L436*AP436</f>
        <v>0</v>
      </c>
      <c r="BX436" s="23">
        <f>$L436*AQ436</f>
        <v>0</v>
      </c>
      <c r="BY436" s="23">
        <f>$L436*AR436</f>
        <v>0</v>
      </c>
      <c r="BZ436" s="23">
        <f>$L436*AS436</f>
        <v>0</v>
      </c>
      <c r="CA436" s="23">
        <f>$L436*AT436</f>
        <v>0</v>
      </c>
      <c r="CB436" s="23">
        <f>$L436*AU436</f>
        <v>0</v>
      </c>
      <c r="CC436" s="23">
        <f>$L436*AV436</f>
        <v>0</v>
      </c>
      <c r="CD436" s="23">
        <f>$L436*AW436</f>
        <v>0</v>
      </c>
      <c r="CE436" s="23">
        <f>$L436*AX436</f>
        <v>0</v>
      </c>
      <c r="CF436" s="23">
        <f>$L436*AY436</f>
        <v>0</v>
      </c>
      <c r="CG436" s="23">
        <f>$L436*AZ436</f>
        <v>0</v>
      </c>
      <c r="CH436" s="23">
        <f>$L436*BA436</f>
        <v>0</v>
      </c>
      <c r="CI436" s="23">
        <f>$L436*BB436</f>
        <v>0</v>
      </c>
      <c r="CJ436" s="23">
        <f>$L436*BC436</f>
        <v>0</v>
      </c>
      <c r="CK436" s="23">
        <f>$L436*BD436</f>
        <v>0</v>
      </c>
      <c r="CL436" s="23">
        <f>$L436*BE436</f>
        <v>0</v>
      </c>
      <c r="CM436" s="23">
        <f>$L436*BF436</f>
        <v>0</v>
      </c>
      <c r="CN436" s="23">
        <f>$L436*BG436</f>
        <v>1</v>
      </c>
      <c r="CO436" s="23">
        <f>$L436*BH436</f>
        <v>1</v>
      </c>
      <c r="CP436" s="23">
        <f>$L436*BI436</f>
        <v>1</v>
      </c>
      <c r="CQ436" s="23">
        <f>$L436*BJ436</f>
        <v>1</v>
      </c>
      <c r="CR436" s="23">
        <f>$L436*BK436</f>
        <v>1</v>
      </c>
      <c r="CS436" s="23">
        <f>$L436*BL436</f>
        <v>1</v>
      </c>
      <c r="CT436" s="23">
        <f>$L436*BM436</f>
        <v>1</v>
      </c>
      <c r="CU436" s="23">
        <f>$L436*BN436</f>
        <v>1</v>
      </c>
      <c r="CV436" s="23">
        <f>$L436*BO436</f>
        <v>1</v>
      </c>
    </row>
    <row r="437" spans="1:100" ht="13.5" x14ac:dyDescent="0.15">
      <c r="A437" s="15">
        <v>332</v>
      </c>
      <c r="B437" s="28" t="s">
        <v>820</v>
      </c>
      <c r="C437" t="s">
        <v>414</v>
      </c>
      <c r="E437" t="s">
        <v>140</v>
      </c>
      <c r="F437" t="s">
        <v>415</v>
      </c>
      <c r="G437" t="s">
        <v>140</v>
      </c>
      <c r="H437" t="s">
        <v>141</v>
      </c>
      <c r="I437" s="6" t="s">
        <v>136</v>
      </c>
      <c r="J437" s="6">
        <v>0</v>
      </c>
      <c r="L437" s="15">
        <v>1</v>
      </c>
      <c r="M437" s="7">
        <v>45803</v>
      </c>
      <c r="N437" s="7">
        <v>46199</v>
      </c>
      <c r="O437" s="7">
        <v>46195</v>
      </c>
      <c r="P437" s="7">
        <v>46196</v>
      </c>
      <c r="S437" s="6" t="s">
        <v>140</v>
      </c>
      <c r="U437" s="6" t="s">
        <v>413</v>
      </c>
      <c r="V437" s="6" t="str">
        <f>TEXT(N437,"YY/MM")</f>
        <v>26/06</v>
      </c>
      <c r="W437">
        <v>1809</v>
      </c>
      <c r="AA437">
        <v>1163</v>
      </c>
      <c r="AC437">
        <v>1216</v>
      </c>
      <c r="AI437" s="23">
        <v>0</v>
      </c>
      <c r="AJ437" s="23">
        <v>0</v>
      </c>
      <c r="AK437" s="23">
        <v>0</v>
      </c>
      <c r="AL437" s="23">
        <v>0</v>
      </c>
      <c r="AM437" s="23">
        <v>0</v>
      </c>
      <c r="AN437" s="23">
        <v>0</v>
      </c>
      <c r="AO437" s="23">
        <v>0</v>
      </c>
      <c r="AP437" s="23">
        <v>0</v>
      </c>
      <c r="AQ437" s="23">
        <v>0</v>
      </c>
      <c r="AR437" s="23">
        <v>0</v>
      </c>
      <c r="AS437" s="23">
        <v>0</v>
      </c>
      <c r="AT437" s="23">
        <v>0</v>
      </c>
      <c r="AU437" s="23">
        <v>0</v>
      </c>
      <c r="AV437" s="23">
        <v>0</v>
      </c>
      <c r="AW437" s="23">
        <v>0</v>
      </c>
      <c r="AX437" s="23">
        <v>0</v>
      </c>
      <c r="AY437" s="23">
        <v>0</v>
      </c>
      <c r="AZ437" s="23">
        <v>0</v>
      </c>
      <c r="BA437" s="23">
        <v>0</v>
      </c>
      <c r="BB437" s="23">
        <v>0</v>
      </c>
      <c r="BC437" s="23">
        <v>0</v>
      </c>
      <c r="BD437" s="23">
        <v>0</v>
      </c>
      <c r="BE437" s="23">
        <v>0</v>
      </c>
      <c r="BF437" s="23">
        <v>0</v>
      </c>
      <c r="BG437" s="23">
        <v>1</v>
      </c>
      <c r="BH437" s="23">
        <v>1</v>
      </c>
      <c r="BI437" s="23">
        <v>1</v>
      </c>
      <c r="BJ437" s="23">
        <v>1</v>
      </c>
      <c r="BK437" s="23">
        <v>1</v>
      </c>
      <c r="BL437" s="23">
        <v>1</v>
      </c>
      <c r="BM437" s="23">
        <v>1</v>
      </c>
      <c r="BN437" s="23">
        <v>1</v>
      </c>
      <c r="BO437" s="23">
        <v>1</v>
      </c>
      <c r="BP437" s="23">
        <f>$L437*AI437</f>
        <v>0</v>
      </c>
      <c r="BQ437" s="23">
        <f>$L437*AJ437</f>
        <v>0</v>
      </c>
      <c r="BR437" s="23">
        <f>$L437*AK437</f>
        <v>0</v>
      </c>
      <c r="BS437" s="23">
        <f>$L437*AL437</f>
        <v>0</v>
      </c>
      <c r="BT437" s="23">
        <f>$L437*AM437</f>
        <v>0</v>
      </c>
      <c r="BU437" s="23">
        <f>$L437*AN437</f>
        <v>0</v>
      </c>
      <c r="BV437" s="23">
        <f>$L437*AO437</f>
        <v>0</v>
      </c>
      <c r="BW437" s="23">
        <f>$L437*AP437</f>
        <v>0</v>
      </c>
      <c r="BX437" s="23">
        <f>$L437*AQ437</f>
        <v>0</v>
      </c>
      <c r="BY437" s="23">
        <f>$L437*AR437</f>
        <v>0</v>
      </c>
      <c r="BZ437" s="23">
        <f>$L437*AS437</f>
        <v>0</v>
      </c>
      <c r="CA437" s="23">
        <f>$L437*AT437</f>
        <v>0</v>
      </c>
      <c r="CB437" s="23">
        <f>$L437*AU437</f>
        <v>0</v>
      </c>
      <c r="CC437" s="23">
        <f>$L437*AV437</f>
        <v>0</v>
      </c>
      <c r="CD437" s="23">
        <f>$L437*AW437</f>
        <v>0</v>
      </c>
      <c r="CE437" s="23">
        <f>$L437*AX437</f>
        <v>0</v>
      </c>
      <c r="CF437" s="23">
        <f>$L437*AY437</f>
        <v>0</v>
      </c>
      <c r="CG437" s="23">
        <f>$L437*AZ437</f>
        <v>0</v>
      </c>
      <c r="CH437" s="23">
        <f>$L437*BA437</f>
        <v>0</v>
      </c>
      <c r="CI437" s="23">
        <f>$L437*BB437</f>
        <v>0</v>
      </c>
      <c r="CJ437" s="23">
        <f>$L437*BC437</f>
        <v>0</v>
      </c>
      <c r="CK437" s="23">
        <f>$L437*BD437</f>
        <v>0</v>
      </c>
      <c r="CL437" s="23">
        <f>$L437*BE437</f>
        <v>0</v>
      </c>
      <c r="CM437" s="23">
        <f>$L437*BF437</f>
        <v>0</v>
      </c>
      <c r="CN437" s="23">
        <f>$L437*BG437</f>
        <v>1</v>
      </c>
      <c r="CO437" s="23">
        <f>$L437*BH437</f>
        <v>1</v>
      </c>
      <c r="CP437" s="23">
        <f>$L437*BI437</f>
        <v>1</v>
      </c>
      <c r="CQ437" s="23">
        <f>$L437*BJ437</f>
        <v>1</v>
      </c>
      <c r="CR437" s="23">
        <f>$L437*BK437</f>
        <v>1</v>
      </c>
      <c r="CS437" s="23">
        <f>$L437*BL437</f>
        <v>1</v>
      </c>
      <c r="CT437" s="23">
        <f>$L437*BM437</f>
        <v>1</v>
      </c>
      <c r="CU437" s="23">
        <f>$L437*BN437</f>
        <v>1</v>
      </c>
      <c r="CV437" s="23">
        <f>$L437*BO437</f>
        <v>1</v>
      </c>
    </row>
    <row r="438" spans="1:100" ht="13.5" x14ac:dyDescent="0.15">
      <c r="A438" s="15">
        <v>332</v>
      </c>
      <c r="B438" s="28" t="s">
        <v>821</v>
      </c>
      <c r="C438" t="s">
        <v>414</v>
      </c>
      <c r="E438" t="s">
        <v>140</v>
      </c>
      <c r="F438" t="s">
        <v>415</v>
      </c>
      <c r="G438" t="s">
        <v>140</v>
      </c>
      <c r="H438" t="s">
        <v>141</v>
      </c>
      <c r="I438" s="6" t="s">
        <v>136</v>
      </c>
      <c r="J438" s="6">
        <v>0</v>
      </c>
      <c r="L438" s="15">
        <v>1</v>
      </c>
      <c r="M438" s="7">
        <v>45803</v>
      </c>
      <c r="N438" s="7">
        <v>46199</v>
      </c>
      <c r="O438" s="7">
        <v>46195</v>
      </c>
      <c r="P438" s="7">
        <v>46196</v>
      </c>
      <c r="S438" s="6" t="s">
        <v>140</v>
      </c>
      <c r="U438" s="6" t="s">
        <v>413</v>
      </c>
      <c r="V438" s="6" t="str">
        <f>TEXT(N438,"YY/MM")</f>
        <v>26/06</v>
      </c>
      <c r="W438">
        <v>1810</v>
      </c>
      <c r="AA438">
        <v>1164</v>
      </c>
      <c r="AC438">
        <v>1217</v>
      </c>
      <c r="AI438" s="23">
        <v>0</v>
      </c>
      <c r="AJ438" s="23">
        <v>0</v>
      </c>
      <c r="AK438" s="23">
        <v>0</v>
      </c>
      <c r="AL438" s="23">
        <v>0</v>
      </c>
      <c r="AM438" s="23">
        <v>0</v>
      </c>
      <c r="AN438" s="23">
        <v>0</v>
      </c>
      <c r="AO438" s="23">
        <v>0</v>
      </c>
      <c r="AP438" s="23">
        <v>0</v>
      </c>
      <c r="AQ438" s="23">
        <v>0</v>
      </c>
      <c r="AR438" s="23">
        <v>0</v>
      </c>
      <c r="AS438" s="23">
        <v>0</v>
      </c>
      <c r="AT438" s="23">
        <v>0</v>
      </c>
      <c r="AU438" s="23">
        <v>0</v>
      </c>
      <c r="AV438" s="23">
        <v>0</v>
      </c>
      <c r="AW438" s="23">
        <v>0</v>
      </c>
      <c r="AX438" s="23">
        <v>0</v>
      </c>
      <c r="AY438" s="23">
        <v>0</v>
      </c>
      <c r="AZ438" s="23">
        <v>0</v>
      </c>
      <c r="BA438" s="23">
        <v>0</v>
      </c>
      <c r="BB438" s="23">
        <v>0</v>
      </c>
      <c r="BC438" s="23">
        <v>0</v>
      </c>
      <c r="BD438" s="23">
        <v>0</v>
      </c>
      <c r="BE438" s="23">
        <v>0</v>
      </c>
      <c r="BF438" s="23">
        <v>0</v>
      </c>
      <c r="BG438" s="23">
        <v>1</v>
      </c>
      <c r="BH438" s="23">
        <v>1</v>
      </c>
      <c r="BI438" s="23">
        <v>1</v>
      </c>
      <c r="BJ438" s="23">
        <v>1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  <c r="BP438" s="23">
        <f>$L438*AI438</f>
        <v>0</v>
      </c>
      <c r="BQ438" s="23">
        <f>$L438*AJ438</f>
        <v>0</v>
      </c>
      <c r="BR438" s="23">
        <f>$L438*AK438</f>
        <v>0</v>
      </c>
      <c r="BS438" s="23">
        <f>$L438*AL438</f>
        <v>0</v>
      </c>
      <c r="BT438" s="23">
        <f>$L438*AM438</f>
        <v>0</v>
      </c>
      <c r="BU438" s="23">
        <f>$L438*AN438</f>
        <v>0</v>
      </c>
      <c r="BV438" s="23">
        <f>$L438*AO438</f>
        <v>0</v>
      </c>
      <c r="BW438" s="23">
        <f>$L438*AP438</f>
        <v>0</v>
      </c>
      <c r="BX438" s="23">
        <f>$L438*AQ438</f>
        <v>0</v>
      </c>
      <c r="BY438" s="23">
        <f>$L438*AR438</f>
        <v>0</v>
      </c>
      <c r="BZ438" s="23">
        <f>$L438*AS438</f>
        <v>0</v>
      </c>
      <c r="CA438" s="23">
        <f>$L438*AT438</f>
        <v>0</v>
      </c>
      <c r="CB438" s="23">
        <f>$L438*AU438</f>
        <v>0</v>
      </c>
      <c r="CC438" s="23">
        <f>$L438*AV438</f>
        <v>0</v>
      </c>
      <c r="CD438" s="23">
        <f>$L438*AW438</f>
        <v>0</v>
      </c>
      <c r="CE438" s="23">
        <f>$L438*AX438</f>
        <v>0</v>
      </c>
      <c r="CF438" s="23">
        <f>$L438*AY438</f>
        <v>0</v>
      </c>
      <c r="CG438" s="23">
        <f>$L438*AZ438</f>
        <v>0</v>
      </c>
      <c r="CH438" s="23">
        <f>$L438*BA438</f>
        <v>0</v>
      </c>
      <c r="CI438" s="23">
        <f>$L438*BB438</f>
        <v>0</v>
      </c>
      <c r="CJ438" s="23">
        <f>$L438*BC438</f>
        <v>0</v>
      </c>
      <c r="CK438" s="23">
        <f>$L438*BD438</f>
        <v>0</v>
      </c>
      <c r="CL438" s="23">
        <f>$L438*BE438</f>
        <v>0</v>
      </c>
      <c r="CM438" s="23">
        <f>$L438*BF438</f>
        <v>0</v>
      </c>
      <c r="CN438" s="23">
        <f>$L438*BG438</f>
        <v>1</v>
      </c>
      <c r="CO438" s="23">
        <f>$L438*BH438</f>
        <v>1</v>
      </c>
      <c r="CP438" s="23">
        <f>$L438*BI438</f>
        <v>1</v>
      </c>
      <c r="CQ438" s="23">
        <f>$L438*BJ438</f>
        <v>1</v>
      </c>
      <c r="CR438" s="23">
        <f>$L438*BK438</f>
        <v>1</v>
      </c>
      <c r="CS438" s="23">
        <f>$L438*BL438</f>
        <v>1</v>
      </c>
      <c r="CT438" s="23">
        <f>$L438*BM438</f>
        <v>1</v>
      </c>
      <c r="CU438" s="23">
        <f>$L438*BN438</f>
        <v>1</v>
      </c>
      <c r="CV438" s="23">
        <f>$L438*BO438</f>
        <v>1</v>
      </c>
    </row>
    <row r="439" spans="1:100" ht="13.5" x14ac:dyDescent="0.15">
      <c r="A439" s="15">
        <v>332</v>
      </c>
      <c r="B439" s="28" t="s">
        <v>822</v>
      </c>
      <c r="C439" t="s">
        <v>414</v>
      </c>
      <c r="E439" t="s">
        <v>140</v>
      </c>
      <c r="F439" t="s">
        <v>415</v>
      </c>
      <c r="G439" t="s">
        <v>140</v>
      </c>
      <c r="H439" t="s">
        <v>141</v>
      </c>
      <c r="I439" s="6" t="s">
        <v>136</v>
      </c>
      <c r="J439" s="6">
        <v>0</v>
      </c>
      <c r="L439" s="15">
        <v>1</v>
      </c>
      <c r="M439" s="7">
        <v>45803</v>
      </c>
      <c r="N439" s="7">
        <v>46199</v>
      </c>
      <c r="O439" s="7">
        <v>46195</v>
      </c>
      <c r="P439" s="7">
        <v>46196</v>
      </c>
      <c r="S439" s="6" t="s">
        <v>140</v>
      </c>
      <c r="U439" s="6" t="s">
        <v>413</v>
      </c>
      <c r="V439" s="6" t="str">
        <f>TEXT(N439,"YY/MM")</f>
        <v>26/06</v>
      </c>
      <c r="W439">
        <v>1811</v>
      </c>
      <c r="AA439">
        <v>1165</v>
      </c>
      <c r="AC439">
        <v>1218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>
        <v>0</v>
      </c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1</v>
      </c>
      <c r="BH439" s="23">
        <v>1</v>
      </c>
      <c r="BI439" s="23">
        <v>1</v>
      </c>
      <c r="BJ439" s="23">
        <v>1</v>
      </c>
      <c r="BK439" s="23">
        <v>1</v>
      </c>
      <c r="BL439" s="23">
        <v>1</v>
      </c>
      <c r="BM439" s="23">
        <v>1</v>
      </c>
      <c r="BN439" s="23">
        <v>1</v>
      </c>
      <c r="BO439" s="23">
        <v>1</v>
      </c>
      <c r="BP439" s="23">
        <f>$L439*AI439</f>
        <v>0</v>
      </c>
      <c r="BQ439" s="23">
        <f>$L439*AJ439</f>
        <v>0</v>
      </c>
      <c r="BR439" s="23">
        <f>$L439*AK439</f>
        <v>0</v>
      </c>
      <c r="BS439" s="23">
        <f>$L439*AL439</f>
        <v>0</v>
      </c>
      <c r="BT439" s="23">
        <f>$L439*AM439</f>
        <v>0</v>
      </c>
      <c r="BU439" s="23">
        <f>$L439*AN439</f>
        <v>0</v>
      </c>
      <c r="BV439" s="23">
        <f>$L439*AO439</f>
        <v>0</v>
      </c>
      <c r="BW439" s="23">
        <f>$L439*AP439</f>
        <v>0</v>
      </c>
      <c r="BX439" s="23">
        <f>$L439*AQ439</f>
        <v>0</v>
      </c>
      <c r="BY439" s="23">
        <f>$L439*AR439</f>
        <v>0</v>
      </c>
      <c r="BZ439" s="23">
        <f>$L439*AS439</f>
        <v>0</v>
      </c>
      <c r="CA439" s="23">
        <f>$L439*AT439</f>
        <v>0</v>
      </c>
      <c r="CB439" s="23">
        <f>$L439*AU439</f>
        <v>0</v>
      </c>
      <c r="CC439" s="23">
        <f>$L439*AV439</f>
        <v>0</v>
      </c>
      <c r="CD439" s="23">
        <f>$L439*AW439</f>
        <v>0</v>
      </c>
      <c r="CE439" s="23">
        <f>$L439*AX439</f>
        <v>0</v>
      </c>
      <c r="CF439" s="23">
        <f>$L439*AY439</f>
        <v>0</v>
      </c>
      <c r="CG439" s="23">
        <f>$L439*AZ439</f>
        <v>0</v>
      </c>
      <c r="CH439" s="23">
        <f>$L439*BA439</f>
        <v>0</v>
      </c>
      <c r="CI439" s="23">
        <f>$L439*BB439</f>
        <v>0</v>
      </c>
      <c r="CJ439" s="23">
        <f>$L439*BC439</f>
        <v>0</v>
      </c>
      <c r="CK439" s="23">
        <f>$L439*BD439</f>
        <v>0</v>
      </c>
      <c r="CL439" s="23">
        <f>$L439*BE439</f>
        <v>0</v>
      </c>
      <c r="CM439" s="23">
        <f>$L439*BF439</f>
        <v>0</v>
      </c>
      <c r="CN439" s="23">
        <f>$L439*BG439</f>
        <v>1</v>
      </c>
      <c r="CO439" s="23">
        <f>$L439*BH439</f>
        <v>1</v>
      </c>
      <c r="CP439" s="23">
        <f>$L439*BI439</f>
        <v>1</v>
      </c>
      <c r="CQ439" s="23">
        <f>$L439*BJ439</f>
        <v>1</v>
      </c>
      <c r="CR439" s="23">
        <f>$L439*BK439</f>
        <v>1</v>
      </c>
      <c r="CS439" s="23">
        <f>$L439*BL439</f>
        <v>1</v>
      </c>
      <c r="CT439" s="23">
        <f>$L439*BM439</f>
        <v>1</v>
      </c>
      <c r="CU439" s="23">
        <f>$L439*BN439</f>
        <v>1</v>
      </c>
      <c r="CV439" s="23">
        <f>$L439*BO439</f>
        <v>1</v>
      </c>
    </row>
    <row r="440" spans="1:100" ht="13.5" x14ac:dyDescent="0.15">
      <c r="A440" s="15">
        <v>332</v>
      </c>
      <c r="B440" s="28" t="s">
        <v>823</v>
      </c>
      <c r="C440" t="s">
        <v>414</v>
      </c>
      <c r="E440" t="s">
        <v>140</v>
      </c>
      <c r="F440" t="s">
        <v>415</v>
      </c>
      <c r="G440" t="s">
        <v>140</v>
      </c>
      <c r="H440" t="s">
        <v>141</v>
      </c>
      <c r="I440" s="6" t="s">
        <v>136</v>
      </c>
      <c r="J440" s="6">
        <v>0</v>
      </c>
      <c r="L440" s="15">
        <v>1</v>
      </c>
      <c r="M440" s="7">
        <v>45803</v>
      </c>
      <c r="N440" s="7">
        <v>46199</v>
      </c>
      <c r="O440" s="7">
        <v>46195</v>
      </c>
      <c r="P440" s="7">
        <v>46196</v>
      </c>
      <c r="S440" s="6" t="s">
        <v>140</v>
      </c>
      <c r="U440" s="6" t="s">
        <v>413</v>
      </c>
      <c r="V440" s="6" t="str">
        <f>TEXT(N440,"YY/MM")</f>
        <v>26/06</v>
      </c>
      <c r="W440">
        <v>1812</v>
      </c>
      <c r="AA440">
        <v>1166</v>
      </c>
      <c r="AC440">
        <v>1219</v>
      </c>
      <c r="AI440" s="23">
        <v>0</v>
      </c>
      <c r="AJ440" s="23">
        <v>0</v>
      </c>
      <c r="AK440" s="23">
        <v>0</v>
      </c>
      <c r="AL440" s="23">
        <v>0</v>
      </c>
      <c r="AM440" s="23">
        <v>0</v>
      </c>
      <c r="AN440" s="23">
        <v>0</v>
      </c>
      <c r="AO440" s="23">
        <v>0</v>
      </c>
      <c r="AP440" s="23">
        <v>0</v>
      </c>
      <c r="AQ440" s="23">
        <v>0</v>
      </c>
      <c r="AR440" s="23">
        <v>0</v>
      </c>
      <c r="AS440" s="23">
        <v>0</v>
      </c>
      <c r="AT440" s="23">
        <v>0</v>
      </c>
      <c r="AU440" s="23">
        <v>0</v>
      </c>
      <c r="AV440" s="23">
        <v>0</v>
      </c>
      <c r="AW440" s="23">
        <v>0</v>
      </c>
      <c r="AX440" s="23">
        <v>0</v>
      </c>
      <c r="AY440" s="23">
        <v>0</v>
      </c>
      <c r="AZ440" s="23">
        <v>0</v>
      </c>
      <c r="BA440" s="23">
        <v>0</v>
      </c>
      <c r="BB440" s="23">
        <v>0</v>
      </c>
      <c r="BC440" s="23">
        <v>0</v>
      </c>
      <c r="BD440" s="23">
        <v>0</v>
      </c>
      <c r="BE440" s="23">
        <v>0</v>
      </c>
      <c r="BF440" s="23">
        <v>0</v>
      </c>
      <c r="BG440" s="23">
        <v>1</v>
      </c>
      <c r="BH440" s="23">
        <v>1</v>
      </c>
      <c r="BI440" s="23">
        <v>1</v>
      </c>
      <c r="BJ440" s="23">
        <v>1</v>
      </c>
      <c r="BK440" s="23">
        <v>1</v>
      </c>
      <c r="BL440" s="23">
        <v>1</v>
      </c>
      <c r="BM440" s="23">
        <v>1</v>
      </c>
      <c r="BN440" s="23">
        <v>1</v>
      </c>
      <c r="BO440" s="23">
        <v>1</v>
      </c>
      <c r="BP440" s="23">
        <f>$L440*AI440</f>
        <v>0</v>
      </c>
      <c r="BQ440" s="23">
        <f>$L440*AJ440</f>
        <v>0</v>
      </c>
      <c r="BR440" s="23">
        <f>$L440*AK440</f>
        <v>0</v>
      </c>
      <c r="BS440" s="23">
        <f>$L440*AL440</f>
        <v>0</v>
      </c>
      <c r="BT440" s="23">
        <f>$L440*AM440</f>
        <v>0</v>
      </c>
      <c r="BU440" s="23">
        <f>$L440*AN440</f>
        <v>0</v>
      </c>
      <c r="BV440" s="23">
        <f>$L440*AO440</f>
        <v>0</v>
      </c>
      <c r="BW440" s="23">
        <f>$L440*AP440</f>
        <v>0</v>
      </c>
      <c r="BX440" s="23">
        <f>$L440*AQ440</f>
        <v>0</v>
      </c>
      <c r="BY440" s="23">
        <f>$L440*AR440</f>
        <v>0</v>
      </c>
      <c r="BZ440" s="23">
        <f>$L440*AS440</f>
        <v>0</v>
      </c>
      <c r="CA440" s="23">
        <f>$L440*AT440</f>
        <v>0</v>
      </c>
      <c r="CB440" s="23">
        <f>$L440*AU440</f>
        <v>0</v>
      </c>
      <c r="CC440" s="23">
        <f>$L440*AV440</f>
        <v>0</v>
      </c>
      <c r="CD440" s="23">
        <f>$L440*AW440</f>
        <v>0</v>
      </c>
      <c r="CE440" s="23">
        <f>$L440*AX440</f>
        <v>0</v>
      </c>
      <c r="CF440" s="23">
        <f>$L440*AY440</f>
        <v>0</v>
      </c>
      <c r="CG440" s="23">
        <f>$L440*AZ440</f>
        <v>0</v>
      </c>
      <c r="CH440" s="23">
        <f>$L440*BA440</f>
        <v>0</v>
      </c>
      <c r="CI440" s="23">
        <f>$L440*BB440</f>
        <v>0</v>
      </c>
      <c r="CJ440" s="23">
        <f>$L440*BC440</f>
        <v>0</v>
      </c>
      <c r="CK440" s="23">
        <f>$L440*BD440</f>
        <v>0</v>
      </c>
      <c r="CL440" s="23">
        <f>$L440*BE440</f>
        <v>0</v>
      </c>
      <c r="CM440" s="23">
        <f>$L440*BF440</f>
        <v>0</v>
      </c>
      <c r="CN440" s="23">
        <f>$L440*BG440</f>
        <v>1</v>
      </c>
      <c r="CO440" s="23">
        <f>$L440*BH440</f>
        <v>1</v>
      </c>
      <c r="CP440" s="23">
        <f>$L440*BI440</f>
        <v>1</v>
      </c>
      <c r="CQ440" s="23">
        <f>$L440*BJ440</f>
        <v>1</v>
      </c>
      <c r="CR440" s="23">
        <f>$L440*BK440</f>
        <v>1</v>
      </c>
      <c r="CS440" s="23">
        <f>$L440*BL440</f>
        <v>1</v>
      </c>
      <c r="CT440" s="23">
        <f>$L440*BM440</f>
        <v>1</v>
      </c>
      <c r="CU440" s="23">
        <f>$L440*BN440</f>
        <v>1</v>
      </c>
      <c r="CV440" s="23">
        <f>$L440*BO440</f>
        <v>1</v>
      </c>
    </row>
    <row r="441" spans="1:100" ht="13.5" x14ac:dyDescent="0.15">
      <c r="A441" s="15">
        <v>332</v>
      </c>
      <c r="B441" s="28" t="s">
        <v>824</v>
      </c>
      <c r="C441" t="s">
        <v>414</v>
      </c>
      <c r="E441" t="s">
        <v>140</v>
      </c>
      <c r="F441" t="s">
        <v>415</v>
      </c>
      <c r="G441" t="s">
        <v>140</v>
      </c>
      <c r="H441" t="s">
        <v>141</v>
      </c>
      <c r="I441" s="6" t="s">
        <v>136</v>
      </c>
      <c r="J441" s="6">
        <v>0</v>
      </c>
      <c r="L441" s="15">
        <v>1</v>
      </c>
      <c r="M441" s="7">
        <v>45803</v>
      </c>
      <c r="N441" s="7">
        <v>46199</v>
      </c>
      <c r="O441" s="7">
        <v>46195</v>
      </c>
      <c r="P441" s="7">
        <v>46196</v>
      </c>
      <c r="S441" s="6" t="s">
        <v>140</v>
      </c>
      <c r="U441" s="6" t="s">
        <v>413</v>
      </c>
      <c r="V441" s="6" t="str">
        <f>TEXT(N441,"YY/MM")</f>
        <v>26/06</v>
      </c>
      <c r="W441">
        <v>1813</v>
      </c>
      <c r="AA441">
        <v>1167</v>
      </c>
      <c r="AC441">
        <v>1220</v>
      </c>
      <c r="AI441" s="23">
        <v>0</v>
      </c>
      <c r="AJ441" s="23">
        <v>0</v>
      </c>
      <c r="AK441" s="23">
        <v>0</v>
      </c>
      <c r="AL441" s="23">
        <v>0</v>
      </c>
      <c r="AM441" s="23">
        <v>0</v>
      </c>
      <c r="AN441" s="23">
        <v>0</v>
      </c>
      <c r="AO441" s="23">
        <v>0</v>
      </c>
      <c r="AP441" s="23">
        <v>0</v>
      </c>
      <c r="AQ441" s="23">
        <v>0</v>
      </c>
      <c r="AR441" s="23">
        <v>0</v>
      </c>
      <c r="AS441" s="23">
        <v>0</v>
      </c>
      <c r="AT441" s="23">
        <v>0</v>
      </c>
      <c r="AU441" s="23">
        <v>0</v>
      </c>
      <c r="AV441" s="23">
        <v>0</v>
      </c>
      <c r="AW441" s="23">
        <v>0</v>
      </c>
      <c r="AX441" s="23">
        <v>0</v>
      </c>
      <c r="AY441" s="23">
        <v>0</v>
      </c>
      <c r="AZ441" s="23">
        <v>0</v>
      </c>
      <c r="BA441" s="23">
        <v>0</v>
      </c>
      <c r="BB441" s="23">
        <v>0</v>
      </c>
      <c r="BC441" s="23">
        <v>0</v>
      </c>
      <c r="BD441" s="23">
        <v>0</v>
      </c>
      <c r="BE441" s="23">
        <v>0</v>
      </c>
      <c r="BF441" s="23">
        <v>0</v>
      </c>
      <c r="BG441" s="23">
        <v>1</v>
      </c>
      <c r="BH441" s="23">
        <v>1</v>
      </c>
      <c r="BI441" s="23">
        <v>1</v>
      </c>
      <c r="BJ441" s="23">
        <v>1</v>
      </c>
      <c r="BK441" s="23">
        <v>1</v>
      </c>
      <c r="BL441" s="23">
        <v>1</v>
      </c>
      <c r="BM441" s="23">
        <v>1</v>
      </c>
      <c r="BN441" s="23">
        <v>1</v>
      </c>
      <c r="BO441" s="23">
        <v>1</v>
      </c>
      <c r="BP441" s="23">
        <f>$L441*AI441</f>
        <v>0</v>
      </c>
      <c r="BQ441" s="23">
        <f>$L441*AJ441</f>
        <v>0</v>
      </c>
      <c r="BR441" s="23">
        <f>$L441*AK441</f>
        <v>0</v>
      </c>
      <c r="BS441" s="23">
        <f>$L441*AL441</f>
        <v>0</v>
      </c>
      <c r="BT441" s="23">
        <f>$L441*AM441</f>
        <v>0</v>
      </c>
      <c r="BU441" s="23">
        <f>$L441*AN441</f>
        <v>0</v>
      </c>
      <c r="BV441" s="23">
        <f>$L441*AO441</f>
        <v>0</v>
      </c>
      <c r="BW441" s="23">
        <f>$L441*AP441</f>
        <v>0</v>
      </c>
      <c r="BX441" s="23">
        <f>$L441*AQ441</f>
        <v>0</v>
      </c>
      <c r="BY441" s="23">
        <f>$L441*AR441</f>
        <v>0</v>
      </c>
      <c r="BZ441" s="23">
        <f>$L441*AS441</f>
        <v>0</v>
      </c>
      <c r="CA441" s="23">
        <f>$L441*AT441</f>
        <v>0</v>
      </c>
      <c r="CB441" s="23">
        <f>$L441*AU441</f>
        <v>0</v>
      </c>
      <c r="CC441" s="23">
        <f>$L441*AV441</f>
        <v>0</v>
      </c>
      <c r="CD441" s="23">
        <f>$L441*AW441</f>
        <v>0</v>
      </c>
      <c r="CE441" s="23">
        <f>$L441*AX441</f>
        <v>0</v>
      </c>
      <c r="CF441" s="23">
        <f>$L441*AY441</f>
        <v>0</v>
      </c>
      <c r="CG441" s="23">
        <f>$L441*AZ441</f>
        <v>0</v>
      </c>
      <c r="CH441" s="23">
        <f>$L441*BA441</f>
        <v>0</v>
      </c>
      <c r="CI441" s="23">
        <f>$L441*BB441</f>
        <v>0</v>
      </c>
      <c r="CJ441" s="23">
        <f>$L441*BC441</f>
        <v>0</v>
      </c>
      <c r="CK441" s="23">
        <f>$L441*BD441</f>
        <v>0</v>
      </c>
      <c r="CL441" s="23">
        <f>$L441*BE441</f>
        <v>0</v>
      </c>
      <c r="CM441" s="23">
        <f>$L441*BF441</f>
        <v>0</v>
      </c>
      <c r="CN441" s="23">
        <f>$L441*BG441</f>
        <v>1</v>
      </c>
      <c r="CO441" s="23">
        <f>$L441*BH441</f>
        <v>1</v>
      </c>
      <c r="CP441" s="23">
        <f>$L441*BI441</f>
        <v>1</v>
      </c>
      <c r="CQ441" s="23">
        <f>$L441*BJ441</f>
        <v>1</v>
      </c>
      <c r="CR441" s="23">
        <f>$L441*BK441</f>
        <v>1</v>
      </c>
      <c r="CS441" s="23">
        <f>$L441*BL441</f>
        <v>1</v>
      </c>
      <c r="CT441" s="23">
        <f>$L441*BM441</f>
        <v>1</v>
      </c>
      <c r="CU441" s="23">
        <f>$L441*BN441</f>
        <v>1</v>
      </c>
      <c r="CV441" s="23">
        <f>$L441*BO441</f>
        <v>1</v>
      </c>
    </row>
    <row r="442" spans="1:100" ht="13.5" x14ac:dyDescent="0.15">
      <c r="A442" s="15">
        <v>332</v>
      </c>
      <c r="B442" s="28" t="s">
        <v>825</v>
      </c>
      <c r="C442" t="s">
        <v>414</v>
      </c>
      <c r="E442" t="s">
        <v>140</v>
      </c>
      <c r="F442" t="s">
        <v>415</v>
      </c>
      <c r="G442" t="s">
        <v>140</v>
      </c>
      <c r="H442" t="s">
        <v>141</v>
      </c>
      <c r="I442" s="6" t="s">
        <v>136</v>
      </c>
      <c r="J442" s="6">
        <v>0</v>
      </c>
      <c r="L442" s="15">
        <v>1</v>
      </c>
      <c r="M442" s="7">
        <v>45803</v>
      </c>
      <c r="N442" s="7">
        <v>46202</v>
      </c>
      <c r="O442" s="7">
        <v>46195</v>
      </c>
      <c r="P442" s="7">
        <v>46196</v>
      </c>
      <c r="S442" s="6" t="s">
        <v>140</v>
      </c>
      <c r="U442" s="6" t="s">
        <v>413</v>
      </c>
      <c r="V442" s="6" t="str">
        <f>TEXT(N442,"YY/MM")</f>
        <v>26/06</v>
      </c>
      <c r="W442">
        <v>1814</v>
      </c>
      <c r="AA442">
        <v>1168</v>
      </c>
      <c r="AC442">
        <v>1221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3">
        <v>0</v>
      </c>
      <c r="AU442" s="23">
        <v>0</v>
      </c>
      <c r="AV442" s="23">
        <v>0</v>
      </c>
      <c r="AW442" s="23">
        <v>0</v>
      </c>
      <c r="AX442" s="23">
        <v>0</v>
      </c>
      <c r="AY442" s="23">
        <v>0</v>
      </c>
      <c r="AZ442" s="23">
        <v>0</v>
      </c>
      <c r="BA442" s="23">
        <v>0</v>
      </c>
      <c r="BB442" s="23">
        <v>0</v>
      </c>
      <c r="BC442" s="23">
        <v>0</v>
      </c>
      <c r="BD442" s="23">
        <v>0</v>
      </c>
      <c r="BE442" s="23">
        <v>0</v>
      </c>
      <c r="BF442" s="23">
        <v>0</v>
      </c>
      <c r="BG442" s="23">
        <v>1</v>
      </c>
      <c r="BH442" s="23">
        <v>1</v>
      </c>
      <c r="BI442" s="23">
        <v>1</v>
      </c>
      <c r="BJ442" s="23">
        <v>1</v>
      </c>
      <c r="BK442" s="23">
        <v>1</v>
      </c>
      <c r="BL442" s="23">
        <v>1</v>
      </c>
      <c r="BM442" s="23">
        <v>1</v>
      </c>
      <c r="BN442" s="23">
        <v>1</v>
      </c>
      <c r="BO442" s="23">
        <v>1</v>
      </c>
      <c r="BP442" s="23">
        <f>$L442*AI442</f>
        <v>0</v>
      </c>
      <c r="BQ442" s="23">
        <f>$L442*AJ442</f>
        <v>0</v>
      </c>
      <c r="BR442" s="23">
        <f>$L442*AK442</f>
        <v>0</v>
      </c>
      <c r="BS442" s="23">
        <f>$L442*AL442</f>
        <v>0</v>
      </c>
      <c r="BT442" s="23">
        <f>$L442*AM442</f>
        <v>0</v>
      </c>
      <c r="BU442" s="23">
        <f>$L442*AN442</f>
        <v>0</v>
      </c>
      <c r="BV442" s="23">
        <f>$L442*AO442</f>
        <v>0</v>
      </c>
      <c r="BW442" s="23">
        <f>$L442*AP442</f>
        <v>0</v>
      </c>
      <c r="BX442" s="23">
        <f>$L442*AQ442</f>
        <v>0</v>
      </c>
      <c r="BY442" s="23">
        <f>$L442*AR442</f>
        <v>0</v>
      </c>
      <c r="BZ442" s="23">
        <f>$L442*AS442</f>
        <v>0</v>
      </c>
      <c r="CA442" s="23">
        <f>$L442*AT442</f>
        <v>0</v>
      </c>
      <c r="CB442" s="23">
        <f>$L442*AU442</f>
        <v>0</v>
      </c>
      <c r="CC442" s="23">
        <f>$L442*AV442</f>
        <v>0</v>
      </c>
      <c r="CD442" s="23">
        <f>$L442*AW442</f>
        <v>0</v>
      </c>
      <c r="CE442" s="23">
        <f>$L442*AX442</f>
        <v>0</v>
      </c>
      <c r="CF442" s="23">
        <f>$L442*AY442</f>
        <v>0</v>
      </c>
      <c r="CG442" s="23">
        <f>$L442*AZ442</f>
        <v>0</v>
      </c>
      <c r="CH442" s="23">
        <f>$L442*BA442</f>
        <v>0</v>
      </c>
      <c r="CI442" s="23">
        <f>$L442*BB442</f>
        <v>0</v>
      </c>
      <c r="CJ442" s="23">
        <f>$L442*BC442</f>
        <v>0</v>
      </c>
      <c r="CK442" s="23">
        <f>$L442*BD442</f>
        <v>0</v>
      </c>
      <c r="CL442" s="23">
        <f>$L442*BE442</f>
        <v>0</v>
      </c>
      <c r="CM442" s="23">
        <f>$L442*BF442</f>
        <v>0</v>
      </c>
      <c r="CN442" s="23">
        <f>$L442*BG442</f>
        <v>1</v>
      </c>
      <c r="CO442" s="23">
        <f>$L442*BH442</f>
        <v>1</v>
      </c>
      <c r="CP442" s="23">
        <f>$L442*BI442</f>
        <v>1</v>
      </c>
      <c r="CQ442" s="23">
        <f>$L442*BJ442</f>
        <v>1</v>
      </c>
      <c r="CR442" s="23">
        <f>$L442*BK442</f>
        <v>1</v>
      </c>
      <c r="CS442" s="23">
        <f>$L442*BL442</f>
        <v>1</v>
      </c>
      <c r="CT442" s="23">
        <f>$L442*BM442</f>
        <v>1</v>
      </c>
      <c r="CU442" s="23">
        <f>$L442*BN442</f>
        <v>1</v>
      </c>
      <c r="CV442" s="23">
        <f>$L442*BO442</f>
        <v>1</v>
      </c>
    </row>
    <row r="443" spans="1:100" ht="13.5" x14ac:dyDescent="0.15">
      <c r="A443" s="15">
        <v>332</v>
      </c>
      <c r="B443" s="28" t="s">
        <v>826</v>
      </c>
      <c r="C443" t="s">
        <v>414</v>
      </c>
      <c r="E443" t="s">
        <v>140</v>
      </c>
      <c r="F443" t="s">
        <v>415</v>
      </c>
      <c r="G443" t="s">
        <v>140</v>
      </c>
      <c r="H443" t="s">
        <v>141</v>
      </c>
      <c r="I443" s="6" t="s">
        <v>136</v>
      </c>
      <c r="J443" s="6">
        <v>0</v>
      </c>
      <c r="L443" s="15">
        <v>1</v>
      </c>
      <c r="M443" s="7">
        <v>45803</v>
      </c>
      <c r="N443" s="7">
        <v>46202</v>
      </c>
      <c r="O443" s="7">
        <v>46195</v>
      </c>
      <c r="P443" s="7">
        <v>46196</v>
      </c>
      <c r="S443" s="6" t="s">
        <v>140</v>
      </c>
      <c r="U443" s="6" t="s">
        <v>413</v>
      </c>
      <c r="V443" s="6" t="str">
        <f>TEXT(N443,"YY/MM")</f>
        <v>26/06</v>
      </c>
      <c r="W443">
        <v>1815</v>
      </c>
      <c r="AA443">
        <v>1169</v>
      </c>
      <c r="AC443">
        <v>1222</v>
      </c>
      <c r="AI443" s="23">
        <v>0</v>
      </c>
      <c r="AJ443" s="23">
        <v>0</v>
      </c>
      <c r="AK443" s="23">
        <v>0</v>
      </c>
      <c r="AL443" s="23">
        <v>0</v>
      </c>
      <c r="AM443" s="23">
        <v>0</v>
      </c>
      <c r="AN443" s="23">
        <v>0</v>
      </c>
      <c r="AO443" s="23">
        <v>0</v>
      </c>
      <c r="AP443" s="23">
        <v>0</v>
      </c>
      <c r="AQ443" s="23">
        <v>0</v>
      </c>
      <c r="AR443" s="23">
        <v>0</v>
      </c>
      <c r="AS443" s="23">
        <v>0</v>
      </c>
      <c r="AT443" s="23">
        <v>0</v>
      </c>
      <c r="AU443" s="23">
        <v>0</v>
      </c>
      <c r="AV443" s="23">
        <v>0</v>
      </c>
      <c r="AW443" s="23">
        <v>0</v>
      </c>
      <c r="AX443" s="23">
        <v>0</v>
      </c>
      <c r="AY443" s="23">
        <v>0</v>
      </c>
      <c r="AZ443" s="23">
        <v>0</v>
      </c>
      <c r="BA443" s="23">
        <v>0</v>
      </c>
      <c r="BB443" s="23">
        <v>0</v>
      </c>
      <c r="BC443" s="23">
        <v>0</v>
      </c>
      <c r="BD443" s="23">
        <v>0</v>
      </c>
      <c r="BE443" s="23">
        <v>0</v>
      </c>
      <c r="BF443" s="23">
        <v>0</v>
      </c>
      <c r="BG443" s="23">
        <v>1</v>
      </c>
      <c r="BH443" s="23">
        <v>1</v>
      </c>
      <c r="BI443" s="23">
        <v>1</v>
      </c>
      <c r="BJ443" s="23">
        <v>1</v>
      </c>
      <c r="BK443" s="23">
        <v>1</v>
      </c>
      <c r="BL443" s="23">
        <v>1</v>
      </c>
      <c r="BM443" s="23">
        <v>1</v>
      </c>
      <c r="BN443" s="23">
        <v>1</v>
      </c>
      <c r="BO443" s="23">
        <v>1</v>
      </c>
      <c r="BP443" s="23">
        <f>$L443*AI443</f>
        <v>0</v>
      </c>
      <c r="BQ443" s="23">
        <f>$L443*AJ443</f>
        <v>0</v>
      </c>
      <c r="BR443" s="23">
        <f>$L443*AK443</f>
        <v>0</v>
      </c>
      <c r="BS443" s="23">
        <f>$L443*AL443</f>
        <v>0</v>
      </c>
      <c r="BT443" s="23">
        <f>$L443*AM443</f>
        <v>0</v>
      </c>
      <c r="BU443" s="23">
        <f>$L443*AN443</f>
        <v>0</v>
      </c>
      <c r="BV443" s="23">
        <f>$L443*AO443</f>
        <v>0</v>
      </c>
      <c r="BW443" s="23">
        <f>$L443*AP443</f>
        <v>0</v>
      </c>
      <c r="BX443" s="23">
        <f>$L443*AQ443</f>
        <v>0</v>
      </c>
      <c r="BY443" s="23">
        <f>$L443*AR443</f>
        <v>0</v>
      </c>
      <c r="BZ443" s="23">
        <f>$L443*AS443</f>
        <v>0</v>
      </c>
      <c r="CA443" s="23">
        <f>$L443*AT443</f>
        <v>0</v>
      </c>
      <c r="CB443" s="23">
        <f>$L443*AU443</f>
        <v>0</v>
      </c>
      <c r="CC443" s="23">
        <f>$L443*AV443</f>
        <v>0</v>
      </c>
      <c r="CD443" s="23">
        <f>$L443*AW443</f>
        <v>0</v>
      </c>
      <c r="CE443" s="23">
        <f>$L443*AX443</f>
        <v>0</v>
      </c>
      <c r="CF443" s="23">
        <f>$L443*AY443</f>
        <v>0</v>
      </c>
      <c r="CG443" s="23">
        <f>$L443*AZ443</f>
        <v>0</v>
      </c>
      <c r="CH443" s="23">
        <f>$L443*BA443</f>
        <v>0</v>
      </c>
      <c r="CI443" s="23">
        <f>$L443*BB443</f>
        <v>0</v>
      </c>
      <c r="CJ443" s="23">
        <f>$L443*BC443</f>
        <v>0</v>
      </c>
      <c r="CK443" s="23">
        <f>$L443*BD443</f>
        <v>0</v>
      </c>
      <c r="CL443" s="23">
        <f>$L443*BE443</f>
        <v>0</v>
      </c>
      <c r="CM443" s="23">
        <f>$L443*BF443</f>
        <v>0</v>
      </c>
      <c r="CN443" s="23">
        <f>$L443*BG443</f>
        <v>1</v>
      </c>
      <c r="CO443" s="23">
        <f>$L443*BH443</f>
        <v>1</v>
      </c>
      <c r="CP443" s="23">
        <f>$L443*BI443</f>
        <v>1</v>
      </c>
      <c r="CQ443" s="23">
        <f>$L443*BJ443</f>
        <v>1</v>
      </c>
      <c r="CR443" s="23">
        <f>$L443*BK443</f>
        <v>1</v>
      </c>
      <c r="CS443" s="23">
        <f>$L443*BL443</f>
        <v>1</v>
      </c>
      <c r="CT443" s="23">
        <f>$L443*BM443</f>
        <v>1</v>
      </c>
      <c r="CU443" s="23">
        <f>$L443*BN443</f>
        <v>1</v>
      </c>
      <c r="CV443" s="23">
        <f>$L443*BO443</f>
        <v>1</v>
      </c>
    </row>
    <row r="444" spans="1:100" ht="13.5" x14ac:dyDescent="0.15">
      <c r="A444" s="15">
        <v>332</v>
      </c>
      <c r="B444" s="28" t="s">
        <v>827</v>
      </c>
      <c r="C444" t="s">
        <v>414</v>
      </c>
      <c r="E444" t="s">
        <v>140</v>
      </c>
      <c r="F444" t="s">
        <v>415</v>
      </c>
      <c r="G444" t="s">
        <v>140</v>
      </c>
      <c r="H444" t="s">
        <v>141</v>
      </c>
      <c r="I444" s="6" t="s">
        <v>136</v>
      </c>
      <c r="J444" s="6">
        <v>0</v>
      </c>
      <c r="L444" s="15">
        <v>1</v>
      </c>
      <c r="M444" s="7">
        <v>45803</v>
      </c>
      <c r="N444" s="7">
        <v>46202</v>
      </c>
      <c r="O444" s="7">
        <v>46195</v>
      </c>
      <c r="P444" s="7">
        <v>46196</v>
      </c>
      <c r="S444" s="6" t="s">
        <v>140</v>
      </c>
      <c r="U444" s="6" t="s">
        <v>413</v>
      </c>
      <c r="V444" s="6" t="str">
        <f>TEXT(N444,"YY/MM")</f>
        <v>26/06</v>
      </c>
      <c r="W444">
        <v>1816</v>
      </c>
      <c r="AA444">
        <v>1170</v>
      </c>
      <c r="AC444">
        <v>1223</v>
      </c>
      <c r="AI444" s="23">
        <v>0</v>
      </c>
      <c r="AJ444" s="23">
        <v>0</v>
      </c>
      <c r="AK444" s="23">
        <v>0</v>
      </c>
      <c r="AL444" s="23">
        <v>0</v>
      </c>
      <c r="AM444" s="23">
        <v>0</v>
      </c>
      <c r="AN444" s="23">
        <v>0</v>
      </c>
      <c r="AO444" s="23">
        <v>0</v>
      </c>
      <c r="AP444" s="23">
        <v>0</v>
      </c>
      <c r="AQ444" s="23">
        <v>0</v>
      </c>
      <c r="AR444" s="23">
        <v>0</v>
      </c>
      <c r="AS444" s="23">
        <v>0</v>
      </c>
      <c r="AT444" s="23">
        <v>0</v>
      </c>
      <c r="AU444" s="23">
        <v>0</v>
      </c>
      <c r="AV444" s="23">
        <v>0</v>
      </c>
      <c r="AW444" s="23">
        <v>0</v>
      </c>
      <c r="AX444" s="23">
        <v>0</v>
      </c>
      <c r="AY444" s="23">
        <v>0</v>
      </c>
      <c r="AZ444" s="23">
        <v>0</v>
      </c>
      <c r="BA444" s="23">
        <v>0</v>
      </c>
      <c r="BB444" s="23">
        <v>0</v>
      </c>
      <c r="BC444" s="23">
        <v>0</v>
      </c>
      <c r="BD444" s="23">
        <v>0</v>
      </c>
      <c r="BE444" s="23">
        <v>0</v>
      </c>
      <c r="BF444" s="23">
        <v>0</v>
      </c>
      <c r="BG444" s="23">
        <v>1</v>
      </c>
      <c r="BH444" s="23">
        <v>1</v>
      </c>
      <c r="BI444" s="23">
        <v>1</v>
      </c>
      <c r="BJ444" s="23">
        <v>1</v>
      </c>
      <c r="BK444" s="23">
        <v>1</v>
      </c>
      <c r="BL444" s="23">
        <v>1</v>
      </c>
      <c r="BM444" s="23">
        <v>1</v>
      </c>
      <c r="BN444" s="23">
        <v>1</v>
      </c>
      <c r="BO444" s="23">
        <v>1</v>
      </c>
      <c r="BP444" s="23">
        <f>$L444*AI444</f>
        <v>0</v>
      </c>
      <c r="BQ444" s="23">
        <f>$L444*AJ444</f>
        <v>0</v>
      </c>
      <c r="BR444" s="23">
        <f>$L444*AK444</f>
        <v>0</v>
      </c>
      <c r="BS444" s="23">
        <f>$L444*AL444</f>
        <v>0</v>
      </c>
      <c r="BT444" s="23">
        <f>$L444*AM444</f>
        <v>0</v>
      </c>
      <c r="BU444" s="23">
        <f>$L444*AN444</f>
        <v>0</v>
      </c>
      <c r="BV444" s="23">
        <f>$L444*AO444</f>
        <v>0</v>
      </c>
      <c r="BW444" s="23">
        <f>$L444*AP444</f>
        <v>0</v>
      </c>
      <c r="BX444" s="23">
        <f>$L444*AQ444</f>
        <v>0</v>
      </c>
      <c r="BY444" s="23">
        <f>$L444*AR444</f>
        <v>0</v>
      </c>
      <c r="BZ444" s="23">
        <f>$L444*AS444</f>
        <v>0</v>
      </c>
      <c r="CA444" s="23">
        <f>$L444*AT444</f>
        <v>0</v>
      </c>
      <c r="CB444" s="23">
        <f>$L444*AU444</f>
        <v>0</v>
      </c>
      <c r="CC444" s="23">
        <f>$L444*AV444</f>
        <v>0</v>
      </c>
      <c r="CD444" s="23">
        <f>$L444*AW444</f>
        <v>0</v>
      </c>
      <c r="CE444" s="23">
        <f>$L444*AX444</f>
        <v>0</v>
      </c>
      <c r="CF444" s="23">
        <f>$L444*AY444</f>
        <v>0</v>
      </c>
      <c r="CG444" s="23">
        <f>$L444*AZ444</f>
        <v>0</v>
      </c>
      <c r="CH444" s="23">
        <f>$L444*BA444</f>
        <v>0</v>
      </c>
      <c r="CI444" s="23">
        <f>$L444*BB444</f>
        <v>0</v>
      </c>
      <c r="CJ444" s="23">
        <f>$L444*BC444</f>
        <v>0</v>
      </c>
      <c r="CK444" s="23">
        <f>$L444*BD444</f>
        <v>0</v>
      </c>
      <c r="CL444" s="23">
        <f>$L444*BE444</f>
        <v>0</v>
      </c>
      <c r="CM444" s="23">
        <f>$L444*BF444</f>
        <v>0</v>
      </c>
      <c r="CN444" s="23">
        <f>$L444*BG444</f>
        <v>1</v>
      </c>
      <c r="CO444" s="23">
        <f>$L444*BH444</f>
        <v>1</v>
      </c>
      <c r="CP444" s="23">
        <f>$L444*BI444</f>
        <v>1</v>
      </c>
      <c r="CQ444" s="23">
        <f>$L444*BJ444</f>
        <v>1</v>
      </c>
      <c r="CR444" s="23">
        <f>$L444*BK444</f>
        <v>1</v>
      </c>
      <c r="CS444" s="23">
        <f>$L444*BL444</f>
        <v>1</v>
      </c>
      <c r="CT444" s="23">
        <f>$L444*BM444</f>
        <v>1</v>
      </c>
      <c r="CU444" s="23">
        <f>$L444*BN444</f>
        <v>1</v>
      </c>
      <c r="CV444" s="23">
        <f>$L444*BO444</f>
        <v>1</v>
      </c>
    </row>
    <row r="445" spans="1:100" ht="13.5" x14ac:dyDescent="0.15">
      <c r="A445" s="15">
        <v>332</v>
      </c>
      <c r="B445" s="28" t="s">
        <v>828</v>
      </c>
      <c r="C445" t="s">
        <v>414</v>
      </c>
      <c r="E445" t="s">
        <v>140</v>
      </c>
      <c r="F445" t="s">
        <v>415</v>
      </c>
      <c r="G445" t="s">
        <v>140</v>
      </c>
      <c r="H445" t="s">
        <v>141</v>
      </c>
      <c r="I445" s="6" t="s">
        <v>136</v>
      </c>
      <c r="J445" s="6">
        <v>0</v>
      </c>
      <c r="L445" s="15">
        <v>1</v>
      </c>
      <c r="M445" s="7">
        <v>45803</v>
      </c>
      <c r="N445" s="7">
        <v>46202</v>
      </c>
      <c r="O445" s="7">
        <v>46195</v>
      </c>
      <c r="P445" s="7">
        <v>46196</v>
      </c>
      <c r="S445" s="6" t="s">
        <v>140</v>
      </c>
      <c r="U445" s="6" t="s">
        <v>413</v>
      </c>
      <c r="V445" s="6" t="str">
        <f>TEXT(N445,"YY/MM")</f>
        <v>26/06</v>
      </c>
      <c r="W445">
        <v>1817</v>
      </c>
      <c r="AA445">
        <v>1171</v>
      </c>
      <c r="AC445">
        <v>1224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  <c r="AO445" s="23">
        <v>0</v>
      </c>
      <c r="AP445" s="23">
        <v>0</v>
      </c>
      <c r="AQ445" s="23">
        <v>0</v>
      </c>
      <c r="AR445" s="23">
        <v>0</v>
      </c>
      <c r="AS445" s="23">
        <v>0</v>
      </c>
      <c r="AT445" s="23">
        <v>0</v>
      </c>
      <c r="AU445" s="23">
        <v>0</v>
      </c>
      <c r="AV445" s="23">
        <v>0</v>
      </c>
      <c r="AW445" s="23">
        <v>0</v>
      </c>
      <c r="AX445" s="23">
        <v>0</v>
      </c>
      <c r="AY445" s="23">
        <v>0</v>
      </c>
      <c r="AZ445" s="23">
        <v>0</v>
      </c>
      <c r="BA445" s="23">
        <v>0</v>
      </c>
      <c r="BB445" s="23">
        <v>0</v>
      </c>
      <c r="BC445" s="23">
        <v>0</v>
      </c>
      <c r="BD445" s="23">
        <v>0</v>
      </c>
      <c r="BE445" s="23">
        <v>0</v>
      </c>
      <c r="BF445" s="23">
        <v>0</v>
      </c>
      <c r="BG445" s="23">
        <v>1</v>
      </c>
      <c r="BH445" s="23">
        <v>1</v>
      </c>
      <c r="BI445" s="23">
        <v>1</v>
      </c>
      <c r="BJ445" s="23">
        <v>1</v>
      </c>
      <c r="BK445" s="23">
        <v>1</v>
      </c>
      <c r="BL445" s="23">
        <v>1</v>
      </c>
      <c r="BM445" s="23">
        <v>1</v>
      </c>
      <c r="BN445" s="23">
        <v>1</v>
      </c>
      <c r="BO445" s="23">
        <v>1</v>
      </c>
      <c r="BP445" s="23">
        <f>$L445*AI445</f>
        <v>0</v>
      </c>
      <c r="BQ445" s="23">
        <f>$L445*AJ445</f>
        <v>0</v>
      </c>
      <c r="BR445" s="23">
        <f>$L445*AK445</f>
        <v>0</v>
      </c>
      <c r="BS445" s="23">
        <f>$L445*AL445</f>
        <v>0</v>
      </c>
      <c r="BT445" s="23">
        <f>$L445*AM445</f>
        <v>0</v>
      </c>
      <c r="BU445" s="23">
        <f>$L445*AN445</f>
        <v>0</v>
      </c>
      <c r="BV445" s="23">
        <f>$L445*AO445</f>
        <v>0</v>
      </c>
      <c r="BW445" s="23">
        <f>$L445*AP445</f>
        <v>0</v>
      </c>
      <c r="BX445" s="23">
        <f>$L445*AQ445</f>
        <v>0</v>
      </c>
      <c r="BY445" s="23">
        <f>$L445*AR445</f>
        <v>0</v>
      </c>
      <c r="BZ445" s="23">
        <f>$L445*AS445</f>
        <v>0</v>
      </c>
      <c r="CA445" s="23">
        <f>$L445*AT445</f>
        <v>0</v>
      </c>
      <c r="CB445" s="23">
        <f>$L445*AU445</f>
        <v>0</v>
      </c>
      <c r="CC445" s="23">
        <f>$L445*AV445</f>
        <v>0</v>
      </c>
      <c r="CD445" s="23">
        <f>$L445*AW445</f>
        <v>0</v>
      </c>
      <c r="CE445" s="23">
        <f>$L445*AX445</f>
        <v>0</v>
      </c>
      <c r="CF445" s="23">
        <f>$L445*AY445</f>
        <v>0</v>
      </c>
      <c r="CG445" s="23">
        <f>$L445*AZ445</f>
        <v>0</v>
      </c>
      <c r="CH445" s="23">
        <f>$L445*BA445</f>
        <v>0</v>
      </c>
      <c r="CI445" s="23">
        <f>$L445*BB445</f>
        <v>0</v>
      </c>
      <c r="CJ445" s="23">
        <f>$L445*BC445</f>
        <v>0</v>
      </c>
      <c r="CK445" s="23">
        <f>$L445*BD445</f>
        <v>0</v>
      </c>
      <c r="CL445" s="23">
        <f>$L445*BE445</f>
        <v>0</v>
      </c>
      <c r="CM445" s="23">
        <f>$L445*BF445</f>
        <v>0</v>
      </c>
      <c r="CN445" s="23">
        <f>$L445*BG445</f>
        <v>1</v>
      </c>
      <c r="CO445" s="23">
        <f>$L445*BH445</f>
        <v>1</v>
      </c>
      <c r="CP445" s="23">
        <f>$L445*BI445</f>
        <v>1</v>
      </c>
      <c r="CQ445" s="23">
        <f>$L445*BJ445</f>
        <v>1</v>
      </c>
      <c r="CR445" s="23">
        <f>$L445*BK445</f>
        <v>1</v>
      </c>
      <c r="CS445" s="23">
        <f>$L445*BL445</f>
        <v>1</v>
      </c>
      <c r="CT445" s="23">
        <f>$L445*BM445</f>
        <v>1</v>
      </c>
      <c r="CU445" s="23">
        <f>$L445*BN445</f>
        <v>1</v>
      </c>
      <c r="CV445" s="23">
        <f>$L445*BO445</f>
        <v>1</v>
      </c>
    </row>
    <row r="446" spans="1:100" ht="13.5" x14ac:dyDescent="0.15">
      <c r="A446" s="15">
        <v>332</v>
      </c>
      <c r="B446" s="28" t="s">
        <v>829</v>
      </c>
      <c r="C446" t="s">
        <v>414</v>
      </c>
      <c r="E446" t="s">
        <v>140</v>
      </c>
      <c r="F446" t="s">
        <v>415</v>
      </c>
      <c r="G446" t="s">
        <v>140</v>
      </c>
      <c r="H446" t="s">
        <v>141</v>
      </c>
      <c r="I446" s="6" t="s">
        <v>136</v>
      </c>
      <c r="J446" s="6">
        <v>0</v>
      </c>
      <c r="L446" s="15">
        <v>1</v>
      </c>
      <c r="M446" s="7">
        <v>45803</v>
      </c>
      <c r="N446" s="7">
        <v>46202</v>
      </c>
      <c r="O446" s="7">
        <v>46195</v>
      </c>
      <c r="P446" s="7">
        <v>46196</v>
      </c>
      <c r="S446" s="6" t="s">
        <v>140</v>
      </c>
      <c r="U446" s="6" t="s">
        <v>413</v>
      </c>
      <c r="V446" s="6" t="str">
        <f>TEXT(N446,"YY/MM")</f>
        <v>26/06</v>
      </c>
      <c r="W446">
        <v>1818</v>
      </c>
      <c r="AA446">
        <v>1172</v>
      </c>
      <c r="AC446">
        <v>1225</v>
      </c>
      <c r="AI446" s="23">
        <v>0</v>
      </c>
      <c r="AJ446" s="23">
        <v>0</v>
      </c>
      <c r="AK446" s="23">
        <v>0</v>
      </c>
      <c r="AL446" s="23">
        <v>0</v>
      </c>
      <c r="AM446" s="23">
        <v>0</v>
      </c>
      <c r="AN446" s="23">
        <v>0</v>
      </c>
      <c r="AO446" s="23">
        <v>0</v>
      </c>
      <c r="AP446" s="23">
        <v>0</v>
      </c>
      <c r="AQ446" s="23">
        <v>0</v>
      </c>
      <c r="AR446" s="23">
        <v>0</v>
      </c>
      <c r="AS446" s="23">
        <v>0</v>
      </c>
      <c r="AT446" s="23">
        <v>0</v>
      </c>
      <c r="AU446" s="23">
        <v>0</v>
      </c>
      <c r="AV446" s="23">
        <v>0</v>
      </c>
      <c r="AW446" s="23">
        <v>0</v>
      </c>
      <c r="AX446" s="23">
        <v>0</v>
      </c>
      <c r="AY446" s="23">
        <v>0</v>
      </c>
      <c r="AZ446" s="23">
        <v>0</v>
      </c>
      <c r="BA446" s="23">
        <v>0</v>
      </c>
      <c r="BB446" s="23">
        <v>0</v>
      </c>
      <c r="BC446" s="23">
        <v>0</v>
      </c>
      <c r="BD446" s="23">
        <v>0</v>
      </c>
      <c r="BE446" s="23">
        <v>0</v>
      </c>
      <c r="BF446" s="23">
        <v>0</v>
      </c>
      <c r="BG446" s="23">
        <v>1</v>
      </c>
      <c r="BH446" s="23">
        <v>1</v>
      </c>
      <c r="BI446" s="23">
        <v>1</v>
      </c>
      <c r="BJ446" s="23">
        <v>1</v>
      </c>
      <c r="BK446" s="23">
        <v>1</v>
      </c>
      <c r="BL446" s="23">
        <v>1</v>
      </c>
      <c r="BM446" s="23">
        <v>1</v>
      </c>
      <c r="BN446" s="23">
        <v>1</v>
      </c>
      <c r="BO446" s="23">
        <v>1</v>
      </c>
      <c r="BP446" s="23">
        <f>$L446*AI446</f>
        <v>0</v>
      </c>
      <c r="BQ446" s="23">
        <f>$L446*AJ446</f>
        <v>0</v>
      </c>
      <c r="BR446" s="23">
        <f>$L446*AK446</f>
        <v>0</v>
      </c>
      <c r="BS446" s="23">
        <f>$L446*AL446</f>
        <v>0</v>
      </c>
      <c r="BT446" s="23">
        <f>$L446*AM446</f>
        <v>0</v>
      </c>
      <c r="BU446" s="23">
        <f>$L446*AN446</f>
        <v>0</v>
      </c>
      <c r="BV446" s="23">
        <f>$L446*AO446</f>
        <v>0</v>
      </c>
      <c r="BW446" s="23">
        <f>$L446*AP446</f>
        <v>0</v>
      </c>
      <c r="BX446" s="23">
        <f>$L446*AQ446</f>
        <v>0</v>
      </c>
      <c r="BY446" s="23">
        <f>$L446*AR446</f>
        <v>0</v>
      </c>
      <c r="BZ446" s="23">
        <f>$L446*AS446</f>
        <v>0</v>
      </c>
      <c r="CA446" s="23">
        <f>$L446*AT446</f>
        <v>0</v>
      </c>
      <c r="CB446" s="23">
        <f>$L446*AU446</f>
        <v>0</v>
      </c>
      <c r="CC446" s="23">
        <f>$L446*AV446</f>
        <v>0</v>
      </c>
      <c r="CD446" s="23">
        <f>$L446*AW446</f>
        <v>0</v>
      </c>
      <c r="CE446" s="23">
        <f>$L446*AX446</f>
        <v>0</v>
      </c>
      <c r="CF446" s="23">
        <f>$L446*AY446</f>
        <v>0</v>
      </c>
      <c r="CG446" s="23">
        <f>$L446*AZ446</f>
        <v>0</v>
      </c>
      <c r="CH446" s="23">
        <f>$L446*BA446</f>
        <v>0</v>
      </c>
      <c r="CI446" s="23">
        <f>$L446*BB446</f>
        <v>0</v>
      </c>
      <c r="CJ446" s="23">
        <f>$L446*BC446</f>
        <v>0</v>
      </c>
      <c r="CK446" s="23">
        <f>$L446*BD446</f>
        <v>0</v>
      </c>
      <c r="CL446" s="23">
        <f>$L446*BE446</f>
        <v>0</v>
      </c>
      <c r="CM446" s="23">
        <f>$L446*BF446</f>
        <v>0</v>
      </c>
      <c r="CN446" s="23">
        <f>$L446*BG446</f>
        <v>1</v>
      </c>
      <c r="CO446" s="23">
        <f>$L446*BH446</f>
        <v>1</v>
      </c>
      <c r="CP446" s="23">
        <f>$L446*BI446</f>
        <v>1</v>
      </c>
      <c r="CQ446" s="23">
        <f>$L446*BJ446</f>
        <v>1</v>
      </c>
      <c r="CR446" s="23">
        <f>$L446*BK446</f>
        <v>1</v>
      </c>
      <c r="CS446" s="23">
        <f>$L446*BL446</f>
        <v>1</v>
      </c>
      <c r="CT446" s="23">
        <f>$L446*BM446</f>
        <v>1</v>
      </c>
      <c r="CU446" s="23">
        <f>$L446*BN446</f>
        <v>1</v>
      </c>
      <c r="CV446" s="23">
        <f>$L446*BO446</f>
        <v>1</v>
      </c>
    </row>
    <row r="447" spans="1:100" ht="13.5" x14ac:dyDescent="0.15">
      <c r="A447" s="15">
        <v>332</v>
      </c>
      <c r="B447" s="28" t="s">
        <v>830</v>
      </c>
      <c r="C447" t="s">
        <v>414</v>
      </c>
      <c r="E447" t="s">
        <v>140</v>
      </c>
      <c r="F447" t="s">
        <v>415</v>
      </c>
      <c r="G447" t="s">
        <v>140</v>
      </c>
      <c r="H447" t="s">
        <v>141</v>
      </c>
      <c r="I447" s="6" t="s">
        <v>136</v>
      </c>
      <c r="J447" s="6">
        <v>0</v>
      </c>
      <c r="L447" s="15">
        <v>1</v>
      </c>
      <c r="M447" s="7">
        <v>45803</v>
      </c>
      <c r="N447" s="7">
        <v>46203</v>
      </c>
      <c r="O447" s="7">
        <v>46195</v>
      </c>
      <c r="P447" s="7">
        <v>46196</v>
      </c>
      <c r="S447" s="6" t="s">
        <v>140</v>
      </c>
      <c r="U447" s="6" t="s">
        <v>413</v>
      </c>
      <c r="V447" s="6" t="str">
        <f>TEXT(N447,"YY/MM")</f>
        <v>26/06</v>
      </c>
      <c r="W447">
        <v>1819</v>
      </c>
      <c r="AA447">
        <v>1173</v>
      </c>
      <c r="AC447">
        <v>1226</v>
      </c>
      <c r="AI447" s="23">
        <v>0</v>
      </c>
      <c r="AJ447" s="23">
        <v>0</v>
      </c>
      <c r="AK447" s="23">
        <v>0</v>
      </c>
      <c r="AL447" s="23">
        <v>0</v>
      </c>
      <c r="AM447" s="23">
        <v>0</v>
      </c>
      <c r="AN447" s="23">
        <v>0</v>
      </c>
      <c r="AO447" s="23">
        <v>0</v>
      </c>
      <c r="AP447" s="23">
        <v>0</v>
      </c>
      <c r="AQ447" s="23">
        <v>0</v>
      </c>
      <c r="AR447" s="23">
        <v>0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0</v>
      </c>
      <c r="AZ447" s="23">
        <v>0</v>
      </c>
      <c r="BA447" s="23">
        <v>0</v>
      </c>
      <c r="BB447" s="23">
        <v>0</v>
      </c>
      <c r="BC447" s="23">
        <v>0</v>
      </c>
      <c r="BD447" s="23">
        <v>0</v>
      </c>
      <c r="BE447" s="23">
        <v>0</v>
      </c>
      <c r="BF447" s="23">
        <v>0</v>
      </c>
      <c r="BG447" s="23">
        <v>1</v>
      </c>
      <c r="BH447" s="23">
        <v>1</v>
      </c>
      <c r="BI447" s="23">
        <v>1</v>
      </c>
      <c r="BJ447" s="23">
        <v>1</v>
      </c>
      <c r="BK447" s="23">
        <v>1</v>
      </c>
      <c r="BL447" s="23">
        <v>1</v>
      </c>
      <c r="BM447" s="23">
        <v>1</v>
      </c>
      <c r="BN447" s="23">
        <v>1</v>
      </c>
      <c r="BO447" s="23">
        <v>1</v>
      </c>
      <c r="BP447" s="23">
        <f>$L447*AI447</f>
        <v>0</v>
      </c>
      <c r="BQ447" s="23">
        <f>$L447*AJ447</f>
        <v>0</v>
      </c>
      <c r="BR447" s="23">
        <f>$L447*AK447</f>
        <v>0</v>
      </c>
      <c r="BS447" s="23">
        <f>$L447*AL447</f>
        <v>0</v>
      </c>
      <c r="BT447" s="23">
        <f>$L447*AM447</f>
        <v>0</v>
      </c>
      <c r="BU447" s="23">
        <f>$L447*AN447</f>
        <v>0</v>
      </c>
      <c r="BV447" s="23">
        <f>$L447*AO447</f>
        <v>0</v>
      </c>
      <c r="BW447" s="23">
        <f>$L447*AP447</f>
        <v>0</v>
      </c>
      <c r="BX447" s="23">
        <f>$L447*AQ447</f>
        <v>0</v>
      </c>
      <c r="BY447" s="23">
        <f>$L447*AR447</f>
        <v>0</v>
      </c>
      <c r="BZ447" s="23">
        <f>$L447*AS447</f>
        <v>0</v>
      </c>
      <c r="CA447" s="23">
        <f>$L447*AT447</f>
        <v>0</v>
      </c>
      <c r="CB447" s="23">
        <f>$L447*AU447</f>
        <v>0</v>
      </c>
      <c r="CC447" s="23">
        <f>$L447*AV447</f>
        <v>0</v>
      </c>
      <c r="CD447" s="23">
        <f>$L447*AW447</f>
        <v>0</v>
      </c>
      <c r="CE447" s="23">
        <f>$L447*AX447</f>
        <v>0</v>
      </c>
      <c r="CF447" s="23">
        <f>$L447*AY447</f>
        <v>0</v>
      </c>
      <c r="CG447" s="23">
        <f>$L447*AZ447</f>
        <v>0</v>
      </c>
      <c r="CH447" s="23">
        <f>$L447*BA447</f>
        <v>0</v>
      </c>
      <c r="CI447" s="23">
        <f>$L447*BB447</f>
        <v>0</v>
      </c>
      <c r="CJ447" s="23">
        <f>$L447*BC447</f>
        <v>0</v>
      </c>
      <c r="CK447" s="23">
        <f>$L447*BD447</f>
        <v>0</v>
      </c>
      <c r="CL447" s="23">
        <f>$L447*BE447</f>
        <v>0</v>
      </c>
      <c r="CM447" s="23">
        <f>$L447*BF447</f>
        <v>0</v>
      </c>
      <c r="CN447" s="23">
        <f>$L447*BG447</f>
        <v>1</v>
      </c>
      <c r="CO447" s="23">
        <f>$L447*BH447</f>
        <v>1</v>
      </c>
      <c r="CP447" s="23">
        <f>$L447*BI447</f>
        <v>1</v>
      </c>
      <c r="CQ447" s="23">
        <f>$L447*BJ447</f>
        <v>1</v>
      </c>
      <c r="CR447" s="23">
        <f>$L447*BK447</f>
        <v>1</v>
      </c>
      <c r="CS447" s="23">
        <f>$L447*BL447</f>
        <v>1</v>
      </c>
      <c r="CT447" s="23">
        <f>$L447*BM447</f>
        <v>1</v>
      </c>
      <c r="CU447" s="23">
        <f>$L447*BN447</f>
        <v>1</v>
      </c>
      <c r="CV447" s="23">
        <f>$L447*BO447</f>
        <v>1</v>
      </c>
    </row>
    <row r="448" spans="1:100" ht="13.5" x14ac:dyDescent="0.15">
      <c r="A448" s="15">
        <v>332</v>
      </c>
      <c r="B448" s="28" t="s">
        <v>831</v>
      </c>
      <c r="C448" t="s">
        <v>414</v>
      </c>
      <c r="E448" t="s">
        <v>140</v>
      </c>
      <c r="F448" t="s">
        <v>415</v>
      </c>
      <c r="G448" t="s">
        <v>140</v>
      </c>
      <c r="H448" t="s">
        <v>141</v>
      </c>
      <c r="I448" s="6" t="s">
        <v>136</v>
      </c>
      <c r="J448" s="6">
        <v>0</v>
      </c>
      <c r="L448" s="15">
        <v>1</v>
      </c>
      <c r="M448" s="7">
        <v>45803</v>
      </c>
      <c r="N448" s="7">
        <v>46203</v>
      </c>
      <c r="O448" s="7">
        <v>46195</v>
      </c>
      <c r="P448" s="7">
        <v>46196</v>
      </c>
      <c r="S448" s="6" t="s">
        <v>140</v>
      </c>
      <c r="U448" s="6" t="s">
        <v>413</v>
      </c>
      <c r="V448" s="6" t="str">
        <f>TEXT(N448,"YY/MM")</f>
        <v>26/06</v>
      </c>
      <c r="W448">
        <v>1820</v>
      </c>
      <c r="AA448">
        <v>1174</v>
      </c>
      <c r="AC448">
        <v>1227</v>
      </c>
      <c r="AI448" s="23">
        <v>0</v>
      </c>
      <c r="AJ448" s="23">
        <v>0</v>
      </c>
      <c r="AK448" s="23">
        <v>0</v>
      </c>
      <c r="AL448" s="23">
        <v>0</v>
      </c>
      <c r="AM448" s="23">
        <v>0</v>
      </c>
      <c r="AN448" s="23">
        <v>0</v>
      </c>
      <c r="AO448" s="23">
        <v>0</v>
      </c>
      <c r="AP448" s="23">
        <v>0</v>
      </c>
      <c r="AQ448" s="23">
        <v>0</v>
      </c>
      <c r="AR448" s="23">
        <v>0</v>
      </c>
      <c r="AS448" s="23">
        <v>0</v>
      </c>
      <c r="AT448" s="23">
        <v>0</v>
      </c>
      <c r="AU448" s="23">
        <v>0</v>
      </c>
      <c r="AV448" s="23">
        <v>0</v>
      </c>
      <c r="AW448" s="23">
        <v>0</v>
      </c>
      <c r="AX448" s="23">
        <v>0</v>
      </c>
      <c r="AY448" s="23">
        <v>0</v>
      </c>
      <c r="AZ448" s="23">
        <v>0</v>
      </c>
      <c r="BA448" s="23">
        <v>0</v>
      </c>
      <c r="BB448" s="23">
        <v>0</v>
      </c>
      <c r="BC448" s="23">
        <v>0</v>
      </c>
      <c r="BD448" s="23">
        <v>0</v>
      </c>
      <c r="BE448" s="23">
        <v>0</v>
      </c>
      <c r="BF448" s="23">
        <v>0</v>
      </c>
      <c r="BG448" s="23">
        <v>1</v>
      </c>
      <c r="BH448" s="23">
        <v>1</v>
      </c>
      <c r="BI448" s="23">
        <v>1</v>
      </c>
      <c r="BJ448" s="23">
        <v>1</v>
      </c>
      <c r="BK448" s="23">
        <v>1</v>
      </c>
      <c r="BL448" s="23">
        <v>1</v>
      </c>
      <c r="BM448" s="23">
        <v>1</v>
      </c>
      <c r="BN448" s="23">
        <v>1</v>
      </c>
      <c r="BO448" s="23">
        <v>1</v>
      </c>
      <c r="BP448" s="23">
        <f>$L448*AI448</f>
        <v>0</v>
      </c>
      <c r="BQ448" s="23">
        <f>$L448*AJ448</f>
        <v>0</v>
      </c>
      <c r="BR448" s="23">
        <f>$L448*AK448</f>
        <v>0</v>
      </c>
      <c r="BS448" s="23">
        <f>$L448*AL448</f>
        <v>0</v>
      </c>
      <c r="BT448" s="23">
        <f>$L448*AM448</f>
        <v>0</v>
      </c>
      <c r="BU448" s="23">
        <f>$L448*AN448</f>
        <v>0</v>
      </c>
      <c r="BV448" s="23">
        <f>$L448*AO448</f>
        <v>0</v>
      </c>
      <c r="BW448" s="23">
        <f>$L448*AP448</f>
        <v>0</v>
      </c>
      <c r="BX448" s="23">
        <f>$L448*AQ448</f>
        <v>0</v>
      </c>
      <c r="BY448" s="23">
        <f>$L448*AR448</f>
        <v>0</v>
      </c>
      <c r="BZ448" s="23">
        <f>$L448*AS448</f>
        <v>0</v>
      </c>
      <c r="CA448" s="23">
        <f>$L448*AT448</f>
        <v>0</v>
      </c>
      <c r="CB448" s="23">
        <f>$L448*AU448</f>
        <v>0</v>
      </c>
      <c r="CC448" s="23">
        <f>$L448*AV448</f>
        <v>0</v>
      </c>
      <c r="CD448" s="23">
        <f>$L448*AW448</f>
        <v>0</v>
      </c>
      <c r="CE448" s="23">
        <f>$L448*AX448</f>
        <v>0</v>
      </c>
      <c r="CF448" s="23">
        <f>$L448*AY448</f>
        <v>0</v>
      </c>
      <c r="CG448" s="23">
        <f>$L448*AZ448</f>
        <v>0</v>
      </c>
      <c r="CH448" s="23">
        <f>$L448*BA448</f>
        <v>0</v>
      </c>
      <c r="CI448" s="23">
        <f>$L448*BB448</f>
        <v>0</v>
      </c>
      <c r="CJ448" s="23">
        <f>$L448*BC448</f>
        <v>0</v>
      </c>
      <c r="CK448" s="23">
        <f>$L448*BD448</f>
        <v>0</v>
      </c>
      <c r="CL448" s="23">
        <f>$L448*BE448</f>
        <v>0</v>
      </c>
      <c r="CM448" s="23">
        <f>$L448*BF448</f>
        <v>0</v>
      </c>
      <c r="CN448" s="23">
        <f>$L448*BG448</f>
        <v>1</v>
      </c>
      <c r="CO448" s="23">
        <f>$L448*BH448</f>
        <v>1</v>
      </c>
      <c r="CP448" s="23">
        <f>$L448*BI448</f>
        <v>1</v>
      </c>
      <c r="CQ448" s="23">
        <f>$L448*BJ448</f>
        <v>1</v>
      </c>
      <c r="CR448" s="23">
        <f>$L448*BK448</f>
        <v>1</v>
      </c>
      <c r="CS448" s="23">
        <f>$L448*BL448</f>
        <v>1</v>
      </c>
      <c r="CT448" s="23">
        <f>$L448*BM448</f>
        <v>1</v>
      </c>
      <c r="CU448" s="23">
        <f>$L448*BN448</f>
        <v>1</v>
      </c>
      <c r="CV448" s="23">
        <f>$L448*BO448</f>
        <v>1</v>
      </c>
    </row>
    <row r="449" spans="1:100" ht="13.5" x14ac:dyDescent="0.15">
      <c r="A449" s="15">
        <v>332</v>
      </c>
      <c r="B449" s="28" t="s">
        <v>832</v>
      </c>
      <c r="C449" t="s">
        <v>414</v>
      </c>
      <c r="E449" t="s">
        <v>140</v>
      </c>
      <c r="F449" t="s">
        <v>415</v>
      </c>
      <c r="G449" t="s">
        <v>140</v>
      </c>
      <c r="H449" t="s">
        <v>141</v>
      </c>
      <c r="I449" s="6" t="s">
        <v>136</v>
      </c>
      <c r="J449" s="6">
        <v>0</v>
      </c>
      <c r="L449" s="15">
        <v>1</v>
      </c>
      <c r="M449" s="7">
        <v>45803</v>
      </c>
      <c r="N449" s="7">
        <v>46203</v>
      </c>
      <c r="O449" s="7">
        <v>46195</v>
      </c>
      <c r="P449" s="7">
        <v>46196</v>
      </c>
      <c r="S449" s="6" t="s">
        <v>140</v>
      </c>
      <c r="U449" s="6" t="s">
        <v>413</v>
      </c>
      <c r="V449" s="6" t="str">
        <f>TEXT(N449,"YY/MM")</f>
        <v>26/06</v>
      </c>
      <c r="W449">
        <v>1821</v>
      </c>
      <c r="AA449">
        <v>1175</v>
      </c>
      <c r="AC449">
        <v>1228</v>
      </c>
      <c r="AI449" s="23">
        <v>0</v>
      </c>
      <c r="AJ449" s="23">
        <v>0</v>
      </c>
      <c r="AK449" s="23">
        <v>0</v>
      </c>
      <c r="AL449" s="23">
        <v>0</v>
      </c>
      <c r="AM449" s="23">
        <v>0</v>
      </c>
      <c r="AN449" s="23">
        <v>0</v>
      </c>
      <c r="AO449" s="23">
        <v>0</v>
      </c>
      <c r="AP449" s="23">
        <v>0</v>
      </c>
      <c r="AQ449" s="23">
        <v>0</v>
      </c>
      <c r="AR449" s="23">
        <v>0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0</v>
      </c>
      <c r="AZ449" s="23">
        <v>0</v>
      </c>
      <c r="BA449" s="23">
        <v>0</v>
      </c>
      <c r="BB449" s="23">
        <v>0</v>
      </c>
      <c r="BC449" s="23">
        <v>0</v>
      </c>
      <c r="BD449" s="23">
        <v>0</v>
      </c>
      <c r="BE449" s="23">
        <v>0</v>
      </c>
      <c r="BF449" s="23">
        <v>0</v>
      </c>
      <c r="BG449" s="23">
        <v>1</v>
      </c>
      <c r="BH449" s="23">
        <v>1</v>
      </c>
      <c r="BI449" s="23">
        <v>1</v>
      </c>
      <c r="BJ449" s="23">
        <v>1</v>
      </c>
      <c r="BK449" s="23">
        <v>1</v>
      </c>
      <c r="BL449" s="23">
        <v>1</v>
      </c>
      <c r="BM449" s="23">
        <v>1</v>
      </c>
      <c r="BN449" s="23">
        <v>1</v>
      </c>
      <c r="BO449" s="23">
        <v>1</v>
      </c>
      <c r="BP449" s="23">
        <f>$L449*AI449</f>
        <v>0</v>
      </c>
      <c r="BQ449" s="23">
        <f>$L449*AJ449</f>
        <v>0</v>
      </c>
      <c r="BR449" s="23">
        <f>$L449*AK449</f>
        <v>0</v>
      </c>
      <c r="BS449" s="23">
        <f>$L449*AL449</f>
        <v>0</v>
      </c>
      <c r="BT449" s="23">
        <f>$L449*AM449</f>
        <v>0</v>
      </c>
      <c r="BU449" s="23">
        <f>$L449*AN449</f>
        <v>0</v>
      </c>
      <c r="BV449" s="23">
        <f>$L449*AO449</f>
        <v>0</v>
      </c>
      <c r="BW449" s="23">
        <f>$L449*AP449</f>
        <v>0</v>
      </c>
      <c r="BX449" s="23">
        <f>$L449*AQ449</f>
        <v>0</v>
      </c>
      <c r="BY449" s="23">
        <f>$L449*AR449</f>
        <v>0</v>
      </c>
      <c r="BZ449" s="23">
        <f>$L449*AS449</f>
        <v>0</v>
      </c>
      <c r="CA449" s="23">
        <f>$L449*AT449</f>
        <v>0</v>
      </c>
      <c r="CB449" s="23">
        <f>$L449*AU449</f>
        <v>0</v>
      </c>
      <c r="CC449" s="23">
        <f>$L449*AV449</f>
        <v>0</v>
      </c>
      <c r="CD449" s="23">
        <f>$L449*AW449</f>
        <v>0</v>
      </c>
      <c r="CE449" s="23">
        <f>$L449*AX449</f>
        <v>0</v>
      </c>
      <c r="CF449" s="23">
        <f>$L449*AY449</f>
        <v>0</v>
      </c>
      <c r="CG449" s="23">
        <f>$L449*AZ449</f>
        <v>0</v>
      </c>
      <c r="CH449" s="23">
        <f>$L449*BA449</f>
        <v>0</v>
      </c>
      <c r="CI449" s="23">
        <f>$L449*BB449</f>
        <v>0</v>
      </c>
      <c r="CJ449" s="23">
        <f>$L449*BC449</f>
        <v>0</v>
      </c>
      <c r="CK449" s="23">
        <f>$L449*BD449</f>
        <v>0</v>
      </c>
      <c r="CL449" s="23">
        <f>$L449*BE449</f>
        <v>0</v>
      </c>
      <c r="CM449" s="23">
        <f>$L449*BF449</f>
        <v>0</v>
      </c>
      <c r="CN449" s="23">
        <f>$L449*BG449</f>
        <v>1</v>
      </c>
      <c r="CO449" s="23">
        <f>$L449*BH449</f>
        <v>1</v>
      </c>
      <c r="CP449" s="23">
        <f>$L449*BI449</f>
        <v>1</v>
      </c>
      <c r="CQ449" s="23">
        <f>$L449*BJ449</f>
        <v>1</v>
      </c>
      <c r="CR449" s="23">
        <f>$L449*BK449</f>
        <v>1</v>
      </c>
      <c r="CS449" s="23">
        <f>$L449*BL449</f>
        <v>1</v>
      </c>
      <c r="CT449" s="23">
        <f>$L449*BM449</f>
        <v>1</v>
      </c>
      <c r="CU449" s="23">
        <f>$L449*BN449</f>
        <v>1</v>
      </c>
      <c r="CV449" s="23">
        <f>$L449*BO449</f>
        <v>1</v>
      </c>
    </row>
    <row r="450" spans="1:100" ht="13.5" x14ac:dyDescent="0.15">
      <c r="A450" s="15">
        <v>332</v>
      </c>
      <c r="B450" s="28" t="s">
        <v>833</v>
      </c>
      <c r="C450" t="s">
        <v>414</v>
      </c>
      <c r="E450" t="s">
        <v>140</v>
      </c>
      <c r="F450" t="s">
        <v>415</v>
      </c>
      <c r="G450" t="s">
        <v>140</v>
      </c>
      <c r="H450" t="s">
        <v>141</v>
      </c>
      <c r="I450" s="6" t="s">
        <v>136</v>
      </c>
      <c r="J450" s="6">
        <v>0</v>
      </c>
      <c r="L450" s="15">
        <v>1</v>
      </c>
      <c r="M450" s="7">
        <v>45803</v>
      </c>
      <c r="N450" s="7">
        <v>46203</v>
      </c>
      <c r="O450" s="7">
        <v>46195</v>
      </c>
      <c r="P450" s="7">
        <v>46196</v>
      </c>
      <c r="S450" s="6" t="s">
        <v>140</v>
      </c>
      <c r="U450" s="6" t="s">
        <v>413</v>
      </c>
      <c r="V450" s="6" t="str">
        <f>TEXT(N450,"YY/MM")</f>
        <v>26/06</v>
      </c>
      <c r="W450">
        <v>1822</v>
      </c>
      <c r="AA450">
        <v>1176</v>
      </c>
      <c r="AC450">
        <v>1229</v>
      </c>
      <c r="AI450" s="23">
        <v>0</v>
      </c>
      <c r="AJ450" s="23">
        <v>0</v>
      </c>
      <c r="AK450" s="23">
        <v>0</v>
      </c>
      <c r="AL450" s="23">
        <v>0</v>
      </c>
      <c r="AM450" s="23">
        <v>0</v>
      </c>
      <c r="AN450" s="23">
        <v>0</v>
      </c>
      <c r="AO450" s="23">
        <v>0</v>
      </c>
      <c r="AP450" s="23">
        <v>0</v>
      </c>
      <c r="AQ450" s="23">
        <v>0</v>
      </c>
      <c r="AR450" s="23">
        <v>0</v>
      </c>
      <c r="AS450" s="23">
        <v>0</v>
      </c>
      <c r="AT450" s="23">
        <v>0</v>
      </c>
      <c r="AU450" s="23">
        <v>0</v>
      </c>
      <c r="AV450" s="23">
        <v>0</v>
      </c>
      <c r="AW450" s="23">
        <v>0</v>
      </c>
      <c r="AX450" s="23">
        <v>0</v>
      </c>
      <c r="AY450" s="23">
        <v>0</v>
      </c>
      <c r="AZ450" s="23">
        <v>0</v>
      </c>
      <c r="BA450" s="23">
        <v>0</v>
      </c>
      <c r="BB450" s="23">
        <v>0</v>
      </c>
      <c r="BC450" s="23">
        <v>0</v>
      </c>
      <c r="BD450" s="23">
        <v>0</v>
      </c>
      <c r="BE450" s="23">
        <v>0</v>
      </c>
      <c r="BF450" s="23">
        <v>0</v>
      </c>
      <c r="BG450" s="23">
        <v>1</v>
      </c>
      <c r="BH450" s="23">
        <v>1</v>
      </c>
      <c r="BI450" s="23">
        <v>1</v>
      </c>
      <c r="BJ450" s="23">
        <v>1</v>
      </c>
      <c r="BK450" s="23">
        <v>1</v>
      </c>
      <c r="BL450" s="23">
        <v>1</v>
      </c>
      <c r="BM450" s="23">
        <v>1</v>
      </c>
      <c r="BN450" s="23">
        <v>1</v>
      </c>
      <c r="BO450" s="23">
        <v>1</v>
      </c>
      <c r="BP450" s="23">
        <f>$L450*AI450</f>
        <v>0</v>
      </c>
      <c r="BQ450" s="23">
        <f>$L450*AJ450</f>
        <v>0</v>
      </c>
      <c r="BR450" s="23">
        <f>$L450*AK450</f>
        <v>0</v>
      </c>
      <c r="BS450" s="23">
        <f>$L450*AL450</f>
        <v>0</v>
      </c>
      <c r="BT450" s="23">
        <f>$L450*AM450</f>
        <v>0</v>
      </c>
      <c r="BU450" s="23">
        <f>$L450*AN450</f>
        <v>0</v>
      </c>
      <c r="BV450" s="23">
        <f>$L450*AO450</f>
        <v>0</v>
      </c>
      <c r="BW450" s="23">
        <f>$L450*AP450</f>
        <v>0</v>
      </c>
      <c r="BX450" s="23">
        <f>$L450*AQ450</f>
        <v>0</v>
      </c>
      <c r="BY450" s="23">
        <f>$L450*AR450</f>
        <v>0</v>
      </c>
      <c r="BZ450" s="23">
        <f>$L450*AS450</f>
        <v>0</v>
      </c>
      <c r="CA450" s="23">
        <f>$L450*AT450</f>
        <v>0</v>
      </c>
      <c r="CB450" s="23">
        <f>$L450*AU450</f>
        <v>0</v>
      </c>
      <c r="CC450" s="23">
        <f>$L450*AV450</f>
        <v>0</v>
      </c>
      <c r="CD450" s="23">
        <f>$L450*AW450</f>
        <v>0</v>
      </c>
      <c r="CE450" s="23">
        <f>$L450*AX450</f>
        <v>0</v>
      </c>
      <c r="CF450" s="23">
        <f>$L450*AY450</f>
        <v>0</v>
      </c>
      <c r="CG450" s="23">
        <f>$L450*AZ450</f>
        <v>0</v>
      </c>
      <c r="CH450" s="23">
        <f>$L450*BA450</f>
        <v>0</v>
      </c>
      <c r="CI450" s="23">
        <f>$L450*BB450</f>
        <v>0</v>
      </c>
      <c r="CJ450" s="23">
        <f>$L450*BC450</f>
        <v>0</v>
      </c>
      <c r="CK450" s="23">
        <f>$L450*BD450</f>
        <v>0</v>
      </c>
      <c r="CL450" s="23">
        <f>$L450*BE450</f>
        <v>0</v>
      </c>
      <c r="CM450" s="23">
        <f>$L450*BF450</f>
        <v>0</v>
      </c>
      <c r="CN450" s="23">
        <f>$L450*BG450</f>
        <v>1</v>
      </c>
      <c r="CO450" s="23">
        <f>$L450*BH450</f>
        <v>1</v>
      </c>
      <c r="CP450" s="23">
        <f>$L450*BI450</f>
        <v>1</v>
      </c>
      <c r="CQ450" s="23">
        <f>$L450*BJ450</f>
        <v>1</v>
      </c>
      <c r="CR450" s="23">
        <f>$L450*BK450</f>
        <v>1</v>
      </c>
      <c r="CS450" s="23">
        <f>$L450*BL450</f>
        <v>1</v>
      </c>
      <c r="CT450" s="23">
        <f>$L450*BM450</f>
        <v>1</v>
      </c>
      <c r="CU450" s="23">
        <f>$L450*BN450</f>
        <v>1</v>
      </c>
      <c r="CV450" s="23">
        <f>$L450*BO450</f>
        <v>1</v>
      </c>
    </row>
    <row r="451" spans="1:100" ht="13.5" x14ac:dyDescent="0.15">
      <c r="A451" s="15">
        <v>332</v>
      </c>
      <c r="B451" s="28" t="s">
        <v>834</v>
      </c>
      <c r="C451" t="s">
        <v>414</v>
      </c>
      <c r="E451" t="s">
        <v>140</v>
      </c>
      <c r="F451" t="s">
        <v>415</v>
      </c>
      <c r="G451" t="s">
        <v>140</v>
      </c>
      <c r="H451" t="s">
        <v>141</v>
      </c>
      <c r="I451" s="6" t="s">
        <v>136</v>
      </c>
      <c r="J451" s="6">
        <v>0</v>
      </c>
      <c r="L451" s="15">
        <v>1</v>
      </c>
      <c r="M451" s="7">
        <v>45803</v>
      </c>
      <c r="N451" s="7">
        <v>46203</v>
      </c>
      <c r="O451" s="7">
        <v>46195</v>
      </c>
      <c r="P451" s="7">
        <v>46196</v>
      </c>
      <c r="S451" s="6" t="s">
        <v>140</v>
      </c>
      <c r="U451" s="6" t="s">
        <v>413</v>
      </c>
      <c r="V451" s="6" t="str">
        <f>TEXT(N451,"YY/MM")</f>
        <v>26/06</v>
      </c>
      <c r="W451">
        <v>1823</v>
      </c>
      <c r="AA451">
        <v>1177</v>
      </c>
      <c r="AC451">
        <v>1230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0</v>
      </c>
      <c r="AZ451" s="23">
        <v>0</v>
      </c>
      <c r="BA451" s="23">
        <v>0</v>
      </c>
      <c r="BB451" s="23">
        <v>0</v>
      </c>
      <c r="BC451" s="23">
        <v>0</v>
      </c>
      <c r="BD451" s="23">
        <v>0</v>
      </c>
      <c r="BE451" s="23">
        <v>0</v>
      </c>
      <c r="BF451" s="23">
        <v>0</v>
      </c>
      <c r="BG451" s="23">
        <v>1</v>
      </c>
      <c r="BH451" s="23">
        <v>1</v>
      </c>
      <c r="BI451" s="23">
        <v>1</v>
      </c>
      <c r="BJ451" s="23">
        <v>1</v>
      </c>
      <c r="BK451" s="23">
        <v>1</v>
      </c>
      <c r="BL451" s="23">
        <v>1</v>
      </c>
      <c r="BM451" s="23">
        <v>1</v>
      </c>
      <c r="BN451" s="23">
        <v>1</v>
      </c>
      <c r="BO451" s="23">
        <v>1</v>
      </c>
      <c r="BP451" s="23">
        <f>$L451*AI451</f>
        <v>0</v>
      </c>
      <c r="BQ451" s="23">
        <f>$L451*AJ451</f>
        <v>0</v>
      </c>
      <c r="BR451" s="23">
        <f>$L451*AK451</f>
        <v>0</v>
      </c>
      <c r="BS451" s="23">
        <f>$L451*AL451</f>
        <v>0</v>
      </c>
      <c r="BT451" s="23">
        <f>$L451*AM451</f>
        <v>0</v>
      </c>
      <c r="BU451" s="23">
        <f>$L451*AN451</f>
        <v>0</v>
      </c>
      <c r="BV451" s="23">
        <f>$L451*AO451</f>
        <v>0</v>
      </c>
      <c r="BW451" s="23">
        <f>$L451*AP451</f>
        <v>0</v>
      </c>
      <c r="BX451" s="23">
        <f>$L451*AQ451</f>
        <v>0</v>
      </c>
      <c r="BY451" s="23">
        <f>$L451*AR451</f>
        <v>0</v>
      </c>
      <c r="BZ451" s="23">
        <f>$L451*AS451</f>
        <v>0</v>
      </c>
      <c r="CA451" s="23">
        <f>$L451*AT451</f>
        <v>0</v>
      </c>
      <c r="CB451" s="23">
        <f>$L451*AU451</f>
        <v>0</v>
      </c>
      <c r="CC451" s="23">
        <f>$L451*AV451</f>
        <v>0</v>
      </c>
      <c r="CD451" s="23">
        <f>$L451*AW451</f>
        <v>0</v>
      </c>
      <c r="CE451" s="23">
        <f>$L451*AX451</f>
        <v>0</v>
      </c>
      <c r="CF451" s="23">
        <f>$L451*AY451</f>
        <v>0</v>
      </c>
      <c r="CG451" s="23">
        <f>$L451*AZ451</f>
        <v>0</v>
      </c>
      <c r="CH451" s="23">
        <f>$L451*BA451</f>
        <v>0</v>
      </c>
      <c r="CI451" s="23">
        <f>$L451*BB451</f>
        <v>0</v>
      </c>
      <c r="CJ451" s="23">
        <f>$L451*BC451</f>
        <v>0</v>
      </c>
      <c r="CK451" s="23">
        <f>$L451*BD451</f>
        <v>0</v>
      </c>
      <c r="CL451" s="23">
        <f>$L451*BE451</f>
        <v>0</v>
      </c>
      <c r="CM451" s="23">
        <f>$L451*BF451</f>
        <v>0</v>
      </c>
      <c r="CN451" s="23">
        <f>$L451*BG451</f>
        <v>1</v>
      </c>
      <c r="CO451" s="23">
        <f>$L451*BH451</f>
        <v>1</v>
      </c>
      <c r="CP451" s="23">
        <f>$L451*BI451</f>
        <v>1</v>
      </c>
      <c r="CQ451" s="23">
        <f>$L451*BJ451</f>
        <v>1</v>
      </c>
      <c r="CR451" s="23">
        <f>$L451*BK451</f>
        <v>1</v>
      </c>
      <c r="CS451" s="23">
        <f>$L451*BL451</f>
        <v>1</v>
      </c>
      <c r="CT451" s="23">
        <f>$L451*BM451</f>
        <v>1</v>
      </c>
      <c r="CU451" s="23">
        <f>$L451*BN451</f>
        <v>1</v>
      </c>
      <c r="CV451" s="23">
        <f>$L451*BO451</f>
        <v>1</v>
      </c>
    </row>
    <row r="452" spans="1:100" ht="13.5" x14ac:dyDescent="0.15">
      <c r="A452" s="15">
        <v>354</v>
      </c>
      <c r="B452" s="27" t="s">
        <v>422</v>
      </c>
      <c r="C452" t="s">
        <v>414</v>
      </c>
      <c r="E452" t="s">
        <v>140</v>
      </c>
      <c r="F452" t="s">
        <v>415</v>
      </c>
      <c r="G452" t="s">
        <v>140</v>
      </c>
      <c r="H452" t="s">
        <v>141</v>
      </c>
      <c r="I452" s="6" t="s">
        <v>136</v>
      </c>
      <c r="J452" s="6">
        <v>0</v>
      </c>
      <c r="L452" s="15">
        <v>28</v>
      </c>
      <c r="M452" s="7">
        <v>45803</v>
      </c>
      <c r="N452" s="7">
        <v>46204</v>
      </c>
      <c r="O452" s="7">
        <v>46202</v>
      </c>
      <c r="P452" s="7">
        <v>46203</v>
      </c>
      <c r="S452" s="6" t="s">
        <v>140</v>
      </c>
      <c r="U452" s="6" t="s">
        <v>413</v>
      </c>
      <c r="V452" s="6" t="str">
        <f>TEXT(N452,"YY/MM")</f>
        <v>26/07</v>
      </c>
      <c r="W452">
        <v>1824</v>
      </c>
      <c r="AA452">
        <v>1178</v>
      </c>
      <c r="AC452">
        <v>1231</v>
      </c>
      <c r="AI452" s="23">
        <v>0</v>
      </c>
      <c r="AJ452" s="23">
        <v>0</v>
      </c>
      <c r="AK452" s="23">
        <v>0</v>
      </c>
      <c r="AL452" s="23">
        <v>0</v>
      </c>
      <c r="AM452" s="23">
        <v>0</v>
      </c>
      <c r="AN452" s="23">
        <v>0</v>
      </c>
      <c r="AO452" s="23">
        <v>0</v>
      </c>
      <c r="AP452" s="23">
        <v>0</v>
      </c>
      <c r="AQ452" s="23">
        <v>0</v>
      </c>
      <c r="AR452" s="23">
        <v>0</v>
      </c>
      <c r="AS452" s="23">
        <v>0</v>
      </c>
      <c r="AT452" s="23">
        <v>0</v>
      </c>
      <c r="AU452" s="23">
        <v>0</v>
      </c>
      <c r="AV452" s="23">
        <v>0</v>
      </c>
      <c r="AW452" s="23">
        <v>0</v>
      </c>
      <c r="AX452" s="23">
        <v>0</v>
      </c>
      <c r="AY452" s="23">
        <v>0</v>
      </c>
      <c r="AZ452" s="23">
        <v>0</v>
      </c>
      <c r="BA452" s="23">
        <v>0</v>
      </c>
      <c r="BB452" s="23">
        <v>0</v>
      </c>
      <c r="BC452" s="23">
        <v>0</v>
      </c>
      <c r="BD452" s="23">
        <v>0</v>
      </c>
      <c r="BE452" s="23">
        <v>0</v>
      </c>
      <c r="BF452" s="23">
        <v>0</v>
      </c>
      <c r="BG452" s="23">
        <v>1</v>
      </c>
      <c r="BH452" s="23">
        <v>1</v>
      </c>
      <c r="BI452" s="23">
        <v>1</v>
      </c>
      <c r="BJ452" s="23">
        <v>1</v>
      </c>
      <c r="BK452" s="23">
        <v>1</v>
      </c>
      <c r="BL452" s="23">
        <v>1</v>
      </c>
      <c r="BM452" s="23">
        <v>1</v>
      </c>
      <c r="BN452" s="23">
        <v>1</v>
      </c>
      <c r="BO452" s="23">
        <v>1</v>
      </c>
      <c r="BP452" s="23">
        <f>$L452*AI452</f>
        <v>0</v>
      </c>
      <c r="BQ452" s="23">
        <f>$L452*AJ452</f>
        <v>0</v>
      </c>
      <c r="BR452" s="23">
        <f>$L452*AK452</f>
        <v>0</v>
      </c>
      <c r="BS452" s="23">
        <f>$L452*AL452</f>
        <v>0</v>
      </c>
      <c r="BT452" s="23">
        <f>$L452*AM452</f>
        <v>0</v>
      </c>
      <c r="BU452" s="23">
        <f>$L452*AN452</f>
        <v>0</v>
      </c>
      <c r="BV452" s="23">
        <f>$L452*AO452</f>
        <v>0</v>
      </c>
      <c r="BW452" s="23">
        <f>$L452*AP452</f>
        <v>0</v>
      </c>
      <c r="BX452" s="23">
        <f>$L452*AQ452</f>
        <v>0</v>
      </c>
      <c r="BY452" s="23">
        <f>$L452*AR452</f>
        <v>0</v>
      </c>
      <c r="BZ452" s="23">
        <f>$L452*AS452</f>
        <v>0</v>
      </c>
      <c r="CA452" s="23">
        <f>$L452*AT452</f>
        <v>0</v>
      </c>
      <c r="CB452" s="23">
        <f>$L452*AU452</f>
        <v>0</v>
      </c>
      <c r="CC452" s="23">
        <f>$L452*AV452</f>
        <v>0</v>
      </c>
      <c r="CD452" s="23">
        <f>$L452*AW452</f>
        <v>0</v>
      </c>
      <c r="CE452" s="23">
        <f>$L452*AX452</f>
        <v>0</v>
      </c>
      <c r="CF452" s="23">
        <f>$L452*AY452</f>
        <v>0</v>
      </c>
      <c r="CG452" s="23">
        <f>$L452*AZ452</f>
        <v>0</v>
      </c>
      <c r="CH452" s="23">
        <f>$L452*BA452</f>
        <v>0</v>
      </c>
      <c r="CI452" s="23">
        <f>$L452*BB452</f>
        <v>0</v>
      </c>
      <c r="CJ452" s="23">
        <f>$L452*BC452</f>
        <v>0</v>
      </c>
      <c r="CK452" s="23">
        <f>$L452*BD452</f>
        <v>0</v>
      </c>
      <c r="CL452" s="23">
        <f>$L452*BE452</f>
        <v>0</v>
      </c>
      <c r="CM452" s="23">
        <f>$L452*BF452</f>
        <v>0</v>
      </c>
      <c r="CN452" s="23">
        <f>$L452*BG452</f>
        <v>28</v>
      </c>
      <c r="CO452" s="23">
        <f>$L452*BH452</f>
        <v>28</v>
      </c>
      <c r="CP452" s="23">
        <f>$L452*BI452</f>
        <v>28</v>
      </c>
      <c r="CQ452" s="23">
        <f>$L452*BJ452</f>
        <v>28</v>
      </c>
      <c r="CR452" s="23">
        <f>$L452*BK452</f>
        <v>28</v>
      </c>
      <c r="CS452" s="23">
        <f>$L452*BL452</f>
        <v>28</v>
      </c>
      <c r="CT452" s="23">
        <f>$L452*BM452</f>
        <v>28</v>
      </c>
      <c r="CU452" s="23">
        <f>$L452*BN452</f>
        <v>28</v>
      </c>
      <c r="CV452" s="23">
        <f>$L452*BO452</f>
        <v>28</v>
      </c>
    </row>
    <row r="453" spans="1:100" ht="13.5" x14ac:dyDescent="0.15">
      <c r="A453" s="15">
        <v>381</v>
      </c>
      <c r="B453" s="27" t="s">
        <v>423</v>
      </c>
      <c r="C453" t="s">
        <v>414</v>
      </c>
      <c r="E453" t="s">
        <v>140</v>
      </c>
      <c r="F453" t="s">
        <v>415</v>
      </c>
      <c r="G453" t="s">
        <v>140</v>
      </c>
      <c r="H453" t="s">
        <v>141</v>
      </c>
      <c r="I453" s="6" t="s">
        <v>136</v>
      </c>
      <c r="J453" s="6">
        <v>0</v>
      </c>
      <c r="L453" s="15">
        <v>27</v>
      </c>
      <c r="M453" s="7">
        <v>46203</v>
      </c>
      <c r="N453" s="7">
        <v>46210</v>
      </c>
      <c r="O453" s="7">
        <v>46209</v>
      </c>
      <c r="P453" s="7">
        <v>46210</v>
      </c>
      <c r="S453" s="6" t="s">
        <v>140</v>
      </c>
      <c r="U453" s="6" t="s">
        <v>413</v>
      </c>
      <c r="V453" s="6" t="str">
        <f>TEXT(N453,"YY/MM")</f>
        <v>26/07</v>
      </c>
      <c r="W453">
        <v>1825</v>
      </c>
      <c r="AA453">
        <v>1179</v>
      </c>
      <c r="AC453">
        <v>1232</v>
      </c>
      <c r="AI453" s="23">
        <v>0</v>
      </c>
      <c r="AJ453" s="23">
        <v>0</v>
      </c>
      <c r="AK453" s="23">
        <v>0</v>
      </c>
      <c r="AL453" s="23">
        <v>0</v>
      </c>
      <c r="AM453" s="23">
        <v>0</v>
      </c>
      <c r="AN453" s="23">
        <v>0</v>
      </c>
      <c r="AO453" s="23">
        <v>0</v>
      </c>
      <c r="AP453" s="23">
        <v>0</v>
      </c>
      <c r="AQ453" s="23">
        <v>0</v>
      </c>
      <c r="AR453" s="23">
        <v>0</v>
      </c>
      <c r="AS453" s="23">
        <v>0</v>
      </c>
      <c r="AT453" s="23">
        <v>0</v>
      </c>
      <c r="AU453" s="23">
        <v>0</v>
      </c>
      <c r="AV453" s="23">
        <v>0</v>
      </c>
      <c r="AW453" s="23">
        <v>0</v>
      </c>
      <c r="AX453" s="23">
        <v>0</v>
      </c>
      <c r="AY453" s="23">
        <v>0</v>
      </c>
      <c r="AZ453" s="23">
        <v>0</v>
      </c>
      <c r="BA453" s="23">
        <v>0</v>
      </c>
      <c r="BB453" s="23">
        <v>0</v>
      </c>
      <c r="BC453" s="23">
        <v>0</v>
      </c>
      <c r="BD453" s="23">
        <v>0</v>
      </c>
      <c r="BE453" s="23">
        <v>0</v>
      </c>
      <c r="BF453" s="23">
        <v>0</v>
      </c>
      <c r="BG453" s="23">
        <v>1</v>
      </c>
      <c r="BH453" s="23">
        <v>1</v>
      </c>
      <c r="BI453" s="23">
        <v>1</v>
      </c>
      <c r="BJ453" s="23">
        <v>1</v>
      </c>
      <c r="BK453" s="23">
        <v>1</v>
      </c>
      <c r="BL453" s="23">
        <v>1</v>
      </c>
      <c r="BM453" s="23">
        <v>1</v>
      </c>
      <c r="BN453" s="23">
        <v>1</v>
      </c>
      <c r="BO453" s="23">
        <v>1</v>
      </c>
      <c r="BP453" s="23">
        <f>$L453*AI453</f>
        <v>0</v>
      </c>
      <c r="BQ453" s="23">
        <f>$L453*AJ453</f>
        <v>0</v>
      </c>
      <c r="BR453" s="23">
        <f>$L453*AK453</f>
        <v>0</v>
      </c>
      <c r="BS453" s="23">
        <f>$L453*AL453</f>
        <v>0</v>
      </c>
      <c r="BT453" s="23">
        <f>$L453*AM453</f>
        <v>0</v>
      </c>
      <c r="BU453" s="23">
        <f>$L453*AN453</f>
        <v>0</v>
      </c>
      <c r="BV453" s="23">
        <f>$L453*AO453</f>
        <v>0</v>
      </c>
      <c r="BW453" s="23">
        <f>$L453*AP453</f>
        <v>0</v>
      </c>
      <c r="BX453" s="23">
        <f>$L453*AQ453</f>
        <v>0</v>
      </c>
      <c r="BY453" s="23">
        <f>$L453*AR453</f>
        <v>0</v>
      </c>
      <c r="BZ453" s="23">
        <f>$L453*AS453</f>
        <v>0</v>
      </c>
      <c r="CA453" s="23">
        <f>$L453*AT453</f>
        <v>0</v>
      </c>
      <c r="CB453" s="23">
        <f>$L453*AU453</f>
        <v>0</v>
      </c>
      <c r="CC453" s="23">
        <f>$L453*AV453</f>
        <v>0</v>
      </c>
      <c r="CD453" s="23">
        <f>$L453*AW453</f>
        <v>0</v>
      </c>
      <c r="CE453" s="23">
        <f>$L453*AX453</f>
        <v>0</v>
      </c>
      <c r="CF453" s="23">
        <f>$L453*AY453</f>
        <v>0</v>
      </c>
      <c r="CG453" s="23">
        <f>$L453*AZ453</f>
        <v>0</v>
      </c>
      <c r="CH453" s="23">
        <f>$L453*BA453</f>
        <v>0</v>
      </c>
      <c r="CI453" s="23">
        <f>$L453*BB453</f>
        <v>0</v>
      </c>
      <c r="CJ453" s="23">
        <f>$L453*BC453</f>
        <v>0</v>
      </c>
      <c r="CK453" s="23">
        <f>$L453*BD453</f>
        <v>0</v>
      </c>
      <c r="CL453" s="23">
        <f>$L453*BE453</f>
        <v>0</v>
      </c>
      <c r="CM453" s="23">
        <f>$L453*BF453</f>
        <v>0</v>
      </c>
      <c r="CN453" s="23">
        <f>$L453*BG453</f>
        <v>27</v>
      </c>
      <c r="CO453" s="23">
        <f>$L453*BH453</f>
        <v>27</v>
      </c>
      <c r="CP453" s="23">
        <f>$L453*BI453</f>
        <v>27</v>
      </c>
      <c r="CQ453" s="23">
        <f>$L453*BJ453</f>
        <v>27</v>
      </c>
      <c r="CR453" s="23">
        <f>$L453*BK453</f>
        <v>27</v>
      </c>
      <c r="CS453" s="23">
        <f>$L453*BL453</f>
        <v>27</v>
      </c>
      <c r="CT453" s="23">
        <f>$L453*BM453</f>
        <v>27</v>
      </c>
      <c r="CU453" s="23">
        <f>$L453*BN453</f>
        <v>27</v>
      </c>
      <c r="CV453" s="23">
        <f>$L453*BO453</f>
        <v>27</v>
      </c>
    </row>
    <row r="454" spans="1:100" ht="13.5" x14ac:dyDescent="0.15">
      <c r="A454" s="15">
        <v>398</v>
      </c>
      <c r="B454" s="27" t="s">
        <v>424</v>
      </c>
      <c r="C454" t="s">
        <v>414</v>
      </c>
      <c r="E454" t="s">
        <v>140</v>
      </c>
      <c r="F454" t="s">
        <v>415</v>
      </c>
      <c r="G454" t="s">
        <v>140</v>
      </c>
      <c r="H454" t="s">
        <v>141</v>
      </c>
      <c r="I454" s="6" t="s">
        <v>136</v>
      </c>
      <c r="J454" s="6">
        <v>0</v>
      </c>
      <c r="L454" s="15">
        <v>27</v>
      </c>
      <c r="M454" s="7">
        <v>46203</v>
      </c>
      <c r="N454" s="7">
        <v>46216</v>
      </c>
      <c r="O454" s="7">
        <v>46213</v>
      </c>
      <c r="P454" s="7">
        <v>46216</v>
      </c>
      <c r="S454" s="6" t="s">
        <v>140</v>
      </c>
      <c r="U454" s="6" t="s">
        <v>413</v>
      </c>
      <c r="V454" s="6" t="str">
        <f>TEXT(N454,"YY/MM")</f>
        <v>26/07</v>
      </c>
      <c r="W454">
        <v>1826</v>
      </c>
      <c r="AA454">
        <v>1180</v>
      </c>
      <c r="AC454">
        <v>1233</v>
      </c>
      <c r="AI454" s="23">
        <v>0</v>
      </c>
      <c r="AJ454" s="23">
        <v>0</v>
      </c>
      <c r="AK454" s="23">
        <v>0</v>
      </c>
      <c r="AL454" s="23">
        <v>0</v>
      </c>
      <c r="AM454" s="23">
        <v>0</v>
      </c>
      <c r="AN454" s="23">
        <v>0</v>
      </c>
      <c r="AO454" s="23">
        <v>0</v>
      </c>
      <c r="AP454" s="23">
        <v>0</v>
      </c>
      <c r="AQ454" s="23">
        <v>0</v>
      </c>
      <c r="AR454" s="23">
        <v>0</v>
      </c>
      <c r="AS454" s="23">
        <v>0</v>
      </c>
      <c r="AT454" s="23">
        <v>0</v>
      </c>
      <c r="AU454" s="23">
        <v>0</v>
      </c>
      <c r="AV454" s="23">
        <v>0</v>
      </c>
      <c r="AW454" s="23">
        <v>0</v>
      </c>
      <c r="AX454" s="23">
        <v>0</v>
      </c>
      <c r="AY454" s="23">
        <v>0</v>
      </c>
      <c r="AZ454" s="23">
        <v>0</v>
      </c>
      <c r="BA454" s="23">
        <v>0</v>
      </c>
      <c r="BB454" s="23">
        <v>0</v>
      </c>
      <c r="BC454" s="23">
        <v>0</v>
      </c>
      <c r="BD454" s="23">
        <v>0</v>
      </c>
      <c r="BE454" s="23">
        <v>0</v>
      </c>
      <c r="BF454" s="23">
        <v>0</v>
      </c>
      <c r="BG454" s="23">
        <v>1</v>
      </c>
      <c r="BH454" s="23">
        <v>1</v>
      </c>
      <c r="BI454" s="23">
        <v>1</v>
      </c>
      <c r="BJ454" s="23">
        <v>1</v>
      </c>
      <c r="BK454" s="23">
        <v>1</v>
      </c>
      <c r="BL454" s="23">
        <v>1</v>
      </c>
      <c r="BM454" s="23">
        <v>1</v>
      </c>
      <c r="BN454" s="23">
        <v>1</v>
      </c>
      <c r="BO454" s="23">
        <v>1</v>
      </c>
      <c r="BP454" s="23">
        <f>$L454*AI454</f>
        <v>0</v>
      </c>
      <c r="BQ454" s="23">
        <f>$L454*AJ454</f>
        <v>0</v>
      </c>
      <c r="BR454" s="23">
        <f>$L454*AK454</f>
        <v>0</v>
      </c>
      <c r="BS454" s="23">
        <f>$L454*AL454</f>
        <v>0</v>
      </c>
      <c r="BT454" s="23">
        <f>$L454*AM454</f>
        <v>0</v>
      </c>
      <c r="BU454" s="23">
        <f>$L454*AN454</f>
        <v>0</v>
      </c>
      <c r="BV454" s="23">
        <f>$L454*AO454</f>
        <v>0</v>
      </c>
      <c r="BW454" s="23">
        <f>$L454*AP454</f>
        <v>0</v>
      </c>
      <c r="BX454" s="23">
        <f>$L454*AQ454</f>
        <v>0</v>
      </c>
      <c r="BY454" s="23">
        <f>$L454*AR454</f>
        <v>0</v>
      </c>
      <c r="BZ454" s="23">
        <f>$L454*AS454</f>
        <v>0</v>
      </c>
      <c r="CA454" s="23">
        <f>$L454*AT454</f>
        <v>0</v>
      </c>
      <c r="CB454" s="23">
        <f>$L454*AU454</f>
        <v>0</v>
      </c>
      <c r="CC454" s="23">
        <f>$L454*AV454</f>
        <v>0</v>
      </c>
      <c r="CD454" s="23">
        <f>$L454*AW454</f>
        <v>0</v>
      </c>
      <c r="CE454" s="23">
        <f>$L454*AX454</f>
        <v>0</v>
      </c>
      <c r="CF454" s="23">
        <f>$L454*AY454</f>
        <v>0</v>
      </c>
      <c r="CG454" s="23">
        <f>$L454*AZ454</f>
        <v>0</v>
      </c>
      <c r="CH454" s="23">
        <f>$L454*BA454</f>
        <v>0</v>
      </c>
      <c r="CI454" s="23">
        <f>$L454*BB454</f>
        <v>0</v>
      </c>
      <c r="CJ454" s="23">
        <f>$L454*BC454</f>
        <v>0</v>
      </c>
      <c r="CK454" s="23">
        <f>$L454*BD454</f>
        <v>0</v>
      </c>
      <c r="CL454" s="23">
        <f>$L454*BE454</f>
        <v>0</v>
      </c>
      <c r="CM454" s="23">
        <f>$L454*BF454</f>
        <v>0</v>
      </c>
      <c r="CN454" s="23">
        <f>$L454*BG454</f>
        <v>27</v>
      </c>
      <c r="CO454" s="23">
        <f>$L454*BH454</f>
        <v>27</v>
      </c>
      <c r="CP454" s="23">
        <f>$L454*BI454</f>
        <v>27</v>
      </c>
      <c r="CQ454" s="23">
        <f>$L454*BJ454</f>
        <v>27</v>
      </c>
      <c r="CR454" s="23">
        <f>$L454*BK454</f>
        <v>27</v>
      </c>
      <c r="CS454" s="23">
        <f>$L454*BL454</f>
        <v>27</v>
      </c>
      <c r="CT454" s="23">
        <f>$L454*BM454</f>
        <v>27</v>
      </c>
      <c r="CU454" s="23">
        <f>$L454*BN454</f>
        <v>27</v>
      </c>
      <c r="CV454" s="23">
        <f>$L454*BO454</f>
        <v>27</v>
      </c>
    </row>
    <row r="455" spans="1:100" ht="13.5" x14ac:dyDescent="0.15">
      <c r="A455" s="15">
        <v>431</v>
      </c>
      <c r="B455" s="27" t="s">
        <v>425</v>
      </c>
      <c r="C455" t="s">
        <v>414</v>
      </c>
      <c r="E455" t="s">
        <v>140</v>
      </c>
      <c r="F455" t="s">
        <v>415</v>
      </c>
      <c r="G455" t="s">
        <v>140</v>
      </c>
      <c r="H455" t="s">
        <v>141</v>
      </c>
      <c r="I455" s="6" t="s">
        <v>136</v>
      </c>
      <c r="J455" s="6">
        <v>0</v>
      </c>
      <c r="L455" s="15">
        <v>37</v>
      </c>
      <c r="M455" s="7">
        <v>46203</v>
      </c>
      <c r="N455" s="7">
        <v>46231</v>
      </c>
      <c r="O455" s="7">
        <v>46230</v>
      </c>
      <c r="P455" s="7">
        <v>46231</v>
      </c>
      <c r="S455" s="6" t="s">
        <v>140</v>
      </c>
      <c r="U455" s="6" t="s">
        <v>413</v>
      </c>
      <c r="V455" s="6" t="str">
        <f>TEXT(N455,"YY/MM")</f>
        <v>26/07</v>
      </c>
      <c r="W455">
        <v>1827</v>
      </c>
      <c r="AA455">
        <v>1181</v>
      </c>
      <c r="AC455">
        <v>1234</v>
      </c>
      <c r="AI455" s="23">
        <v>0</v>
      </c>
      <c r="AJ455" s="23">
        <v>0</v>
      </c>
      <c r="AK455" s="23">
        <v>0</v>
      </c>
      <c r="AL455" s="23">
        <v>0</v>
      </c>
      <c r="AM455" s="23">
        <v>0</v>
      </c>
      <c r="AN455" s="23">
        <v>0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0</v>
      </c>
      <c r="AU455" s="23">
        <v>0</v>
      </c>
      <c r="AV455" s="23">
        <v>0</v>
      </c>
      <c r="AW455" s="23">
        <v>0</v>
      </c>
      <c r="AX455" s="23">
        <v>0</v>
      </c>
      <c r="AY455" s="23">
        <v>0</v>
      </c>
      <c r="AZ455" s="23">
        <v>0</v>
      </c>
      <c r="BA455" s="23">
        <v>0</v>
      </c>
      <c r="BB455" s="23">
        <v>0</v>
      </c>
      <c r="BC455" s="23">
        <v>0</v>
      </c>
      <c r="BD455" s="23">
        <v>0</v>
      </c>
      <c r="BE455" s="23">
        <v>0</v>
      </c>
      <c r="BF455" s="23">
        <v>0</v>
      </c>
      <c r="BG455" s="23">
        <v>1</v>
      </c>
      <c r="BH455" s="23">
        <v>1</v>
      </c>
      <c r="BI455" s="23">
        <v>1</v>
      </c>
      <c r="BJ455" s="23">
        <v>1</v>
      </c>
      <c r="BK455" s="23">
        <v>1</v>
      </c>
      <c r="BL455" s="23">
        <v>1</v>
      </c>
      <c r="BM455" s="23">
        <v>1</v>
      </c>
      <c r="BN455" s="23">
        <v>1</v>
      </c>
      <c r="BO455" s="23">
        <v>1</v>
      </c>
      <c r="BP455" s="23">
        <f>$L455*AI455</f>
        <v>0</v>
      </c>
      <c r="BQ455" s="23">
        <f>$L455*AJ455</f>
        <v>0</v>
      </c>
      <c r="BR455" s="23">
        <f>$L455*AK455</f>
        <v>0</v>
      </c>
      <c r="BS455" s="23">
        <f>$L455*AL455</f>
        <v>0</v>
      </c>
      <c r="BT455" s="23">
        <f>$L455*AM455</f>
        <v>0</v>
      </c>
      <c r="BU455" s="23">
        <f>$L455*AN455</f>
        <v>0</v>
      </c>
      <c r="BV455" s="23">
        <f>$L455*AO455</f>
        <v>0</v>
      </c>
      <c r="BW455" s="23">
        <f>$L455*AP455</f>
        <v>0</v>
      </c>
      <c r="BX455" s="23">
        <f>$L455*AQ455</f>
        <v>0</v>
      </c>
      <c r="BY455" s="23">
        <f>$L455*AR455</f>
        <v>0</v>
      </c>
      <c r="BZ455" s="23">
        <f>$L455*AS455</f>
        <v>0</v>
      </c>
      <c r="CA455" s="23">
        <f>$L455*AT455</f>
        <v>0</v>
      </c>
      <c r="CB455" s="23">
        <f>$L455*AU455</f>
        <v>0</v>
      </c>
      <c r="CC455" s="23">
        <f>$L455*AV455</f>
        <v>0</v>
      </c>
      <c r="CD455" s="23">
        <f>$L455*AW455</f>
        <v>0</v>
      </c>
      <c r="CE455" s="23">
        <f>$L455*AX455</f>
        <v>0</v>
      </c>
      <c r="CF455" s="23">
        <f>$L455*AY455</f>
        <v>0</v>
      </c>
      <c r="CG455" s="23">
        <f>$L455*AZ455</f>
        <v>0</v>
      </c>
      <c r="CH455" s="23">
        <f>$L455*BA455</f>
        <v>0</v>
      </c>
      <c r="CI455" s="23">
        <f>$L455*BB455</f>
        <v>0</v>
      </c>
      <c r="CJ455" s="23">
        <f>$L455*BC455</f>
        <v>0</v>
      </c>
      <c r="CK455" s="23">
        <f>$L455*BD455</f>
        <v>0</v>
      </c>
      <c r="CL455" s="23">
        <f>$L455*BE455</f>
        <v>0</v>
      </c>
      <c r="CM455" s="23">
        <f>$L455*BF455</f>
        <v>0</v>
      </c>
      <c r="CN455" s="23">
        <f>$L455*BG455</f>
        <v>37</v>
      </c>
      <c r="CO455" s="23">
        <f>$L455*BH455</f>
        <v>37</v>
      </c>
      <c r="CP455" s="23">
        <f>$L455*BI455</f>
        <v>37</v>
      </c>
      <c r="CQ455" s="23">
        <f>$L455*BJ455</f>
        <v>37</v>
      </c>
      <c r="CR455" s="23">
        <f>$L455*BK455</f>
        <v>37</v>
      </c>
      <c r="CS455" s="23">
        <f>$L455*BL455</f>
        <v>37</v>
      </c>
      <c r="CT455" s="23">
        <f>$L455*BM455</f>
        <v>37</v>
      </c>
      <c r="CU455" s="23">
        <f>$L455*BN455</f>
        <v>37</v>
      </c>
      <c r="CV455" s="23">
        <f>$L455*BO455</f>
        <v>37</v>
      </c>
    </row>
    <row r="456" spans="1:100" ht="13.5" x14ac:dyDescent="0.15">
      <c r="A456" s="15">
        <v>453</v>
      </c>
      <c r="B456" s="27" t="s">
        <v>426</v>
      </c>
      <c r="C456" t="s">
        <v>153</v>
      </c>
      <c r="D456" t="s">
        <v>427</v>
      </c>
      <c r="E456" t="s">
        <v>139</v>
      </c>
      <c r="F456" t="s">
        <v>134</v>
      </c>
      <c r="G456" t="s">
        <v>140</v>
      </c>
      <c r="H456" t="s">
        <v>141</v>
      </c>
      <c r="I456" s="6" t="s">
        <v>136</v>
      </c>
      <c r="J456" s="6">
        <v>0</v>
      </c>
      <c r="L456" s="15">
        <v>30</v>
      </c>
      <c r="N456" s="7">
        <v>46237</v>
      </c>
      <c r="O456" s="7">
        <v>46234</v>
      </c>
      <c r="P456" s="7">
        <v>46237</v>
      </c>
      <c r="S456" s="6" t="s">
        <v>140</v>
      </c>
      <c r="U456" s="6" t="s">
        <v>413</v>
      </c>
      <c r="V456" s="6" t="str">
        <f>TEXT(N456,"YY/MM")</f>
        <v>26/08</v>
      </c>
      <c r="W456">
        <v>1828</v>
      </c>
      <c r="AA456">
        <v>1182</v>
      </c>
      <c r="AC456">
        <v>1235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  <c r="BF456" s="23">
        <v>0</v>
      </c>
      <c r="BG456" s="23">
        <v>1</v>
      </c>
      <c r="BH456" s="23">
        <v>1</v>
      </c>
      <c r="BI456" s="23">
        <v>1</v>
      </c>
      <c r="BJ456" s="23">
        <v>1</v>
      </c>
      <c r="BK456" s="23">
        <v>1</v>
      </c>
      <c r="BL456" s="23">
        <v>1</v>
      </c>
      <c r="BM456" s="23">
        <v>1</v>
      </c>
      <c r="BN456" s="23">
        <v>1</v>
      </c>
      <c r="BO456" s="23">
        <v>1</v>
      </c>
      <c r="BP456" s="23">
        <f>$L456*AI456</f>
        <v>0</v>
      </c>
      <c r="BQ456" s="23">
        <f>$L456*AJ456</f>
        <v>0</v>
      </c>
      <c r="BR456" s="23">
        <f>$L456*AK456</f>
        <v>0</v>
      </c>
      <c r="BS456" s="23">
        <f>$L456*AL456</f>
        <v>0</v>
      </c>
      <c r="BT456" s="23">
        <f>$L456*AM456</f>
        <v>0</v>
      </c>
      <c r="BU456" s="23">
        <f>$L456*AN456</f>
        <v>0</v>
      </c>
      <c r="BV456" s="23">
        <f>$L456*AO456</f>
        <v>0</v>
      </c>
      <c r="BW456" s="23">
        <f>$L456*AP456</f>
        <v>0</v>
      </c>
      <c r="BX456" s="23">
        <f>$L456*AQ456</f>
        <v>0</v>
      </c>
      <c r="BY456" s="23">
        <f>$L456*AR456</f>
        <v>0</v>
      </c>
      <c r="BZ456" s="23">
        <f>$L456*AS456</f>
        <v>0</v>
      </c>
      <c r="CA456" s="23">
        <f>$L456*AT456</f>
        <v>0</v>
      </c>
      <c r="CB456" s="23">
        <f>$L456*AU456</f>
        <v>0</v>
      </c>
      <c r="CC456" s="23">
        <f>$L456*AV456</f>
        <v>0</v>
      </c>
      <c r="CD456" s="23">
        <f>$L456*AW456</f>
        <v>0</v>
      </c>
      <c r="CE456" s="23">
        <f>$L456*AX456</f>
        <v>0</v>
      </c>
      <c r="CF456" s="23">
        <f>$L456*AY456</f>
        <v>0</v>
      </c>
      <c r="CG456" s="23">
        <f>$L456*AZ456</f>
        <v>0</v>
      </c>
      <c r="CH456" s="23">
        <f>$L456*BA456</f>
        <v>0</v>
      </c>
      <c r="CI456" s="23">
        <f>$L456*BB456</f>
        <v>0</v>
      </c>
      <c r="CJ456" s="23">
        <f>$L456*BC456</f>
        <v>0</v>
      </c>
      <c r="CK456" s="23">
        <f>$L456*BD456</f>
        <v>0</v>
      </c>
      <c r="CL456" s="23">
        <f>$L456*BE456</f>
        <v>0</v>
      </c>
      <c r="CM456" s="23">
        <f>$L456*BF456</f>
        <v>0</v>
      </c>
      <c r="CN456" s="23">
        <f>$L456*BG456</f>
        <v>30</v>
      </c>
      <c r="CO456" s="23">
        <f>$L456*BH456</f>
        <v>30</v>
      </c>
      <c r="CP456" s="23">
        <f>$L456*BI456</f>
        <v>30</v>
      </c>
      <c r="CQ456" s="23">
        <f>$L456*BJ456</f>
        <v>30</v>
      </c>
      <c r="CR456" s="23">
        <f>$L456*BK456</f>
        <v>30</v>
      </c>
      <c r="CS456" s="23">
        <f>$L456*BL456</f>
        <v>30</v>
      </c>
      <c r="CT456" s="23">
        <f>$L456*BM456</f>
        <v>30</v>
      </c>
      <c r="CU456" s="23">
        <f>$L456*BN456</f>
        <v>30</v>
      </c>
      <c r="CV456" s="23">
        <f>$L456*BO456</f>
        <v>30</v>
      </c>
    </row>
    <row r="457" spans="1:100" ht="13.5" x14ac:dyDescent="0.15">
      <c r="A457" s="15">
        <v>550</v>
      </c>
      <c r="B457" s="27" t="s">
        <v>428</v>
      </c>
      <c r="C457" t="s">
        <v>414</v>
      </c>
      <c r="E457" t="s">
        <v>140</v>
      </c>
      <c r="F457" t="s">
        <v>415</v>
      </c>
      <c r="G457" t="s">
        <v>140</v>
      </c>
      <c r="H457" t="s">
        <v>141</v>
      </c>
      <c r="I457" s="6" t="s">
        <v>136</v>
      </c>
      <c r="J457" s="6">
        <v>0</v>
      </c>
      <c r="L457" s="15">
        <v>37</v>
      </c>
      <c r="M457" s="7">
        <v>46231</v>
      </c>
      <c r="N457" s="7">
        <v>46238</v>
      </c>
      <c r="O457" s="7">
        <v>46237</v>
      </c>
      <c r="P457" s="7">
        <v>46238</v>
      </c>
      <c r="S457" s="6" t="s">
        <v>140</v>
      </c>
      <c r="U457" s="6" t="s">
        <v>413</v>
      </c>
      <c r="V457" s="6" t="str">
        <f>TEXT(N457,"YY/MM")</f>
        <v>26/08</v>
      </c>
      <c r="W457">
        <v>1829</v>
      </c>
      <c r="AA457">
        <v>1183</v>
      </c>
      <c r="AC457">
        <v>1236</v>
      </c>
      <c r="AI457" s="23">
        <v>0</v>
      </c>
      <c r="AJ457" s="23">
        <v>0</v>
      </c>
      <c r="AK457" s="23">
        <v>0</v>
      </c>
      <c r="AL457" s="23">
        <v>0</v>
      </c>
      <c r="AM457" s="23">
        <v>0</v>
      </c>
      <c r="AN457" s="23">
        <v>0</v>
      </c>
      <c r="AO457" s="23">
        <v>0</v>
      </c>
      <c r="AP457" s="23">
        <v>0</v>
      </c>
      <c r="AQ457" s="23">
        <v>0</v>
      </c>
      <c r="AR457" s="23">
        <v>0</v>
      </c>
      <c r="AS457" s="23">
        <v>0</v>
      </c>
      <c r="AT457" s="23">
        <v>0</v>
      </c>
      <c r="AU457" s="23">
        <v>0</v>
      </c>
      <c r="AV457" s="23">
        <v>0</v>
      </c>
      <c r="AW457" s="23">
        <v>0</v>
      </c>
      <c r="AX457" s="23">
        <v>0</v>
      </c>
      <c r="AY457" s="23">
        <v>0</v>
      </c>
      <c r="AZ457" s="23">
        <v>0</v>
      </c>
      <c r="BA457" s="23">
        <v>0</v>
      </c>
      <c r="BB457" s="23">
        <v>0</v>
      </c>
      <c r="BC457" s="23">
        <v>0</v>
      </c>
      <c r="BD457" s="23">
        <v>0</v>
      </c>
      <c r="BE457" s="23">
        <v>0</v>
      </c>
      <c r="BF457" s="23">
        <v>0</v>
      </c>
      <c r="BG457" s="23">
        <v>1</v>
      </c>
      <c r="BH457" s="23">
        <v>1</v>
      </c>
      <c r="BI457" s="23">
        <v>1</v>
      </c>
      <c r="BJ457" s="23">
        <v>1</v>
      </c>
      <c r="BK457" s="23">
        <v>1</v>
      </c>
      <c r="BL457" s="23">
        <v>1</v>
      </c>
      <c r="BM457" s="23">
        <v>1</v>
      </c>
      <c r="BN457" s="23">
        <v>1</v>
      </c>
      <c r="BO457" s="23">
        <v>1</v>
      </c>
      <c r="BP457" s="23">
        <f>$L457*AI457</f>
        <v>0</v>
      </c>
      <c r="BQ457" s="23">
        <f>$L457*AJ457</f>
        <v>0</v>
      </c>
      <c r="BR457" s="23">
        <f>$L457*AK457</f>
        <v>0</v>
      </c>
      <c r="BS457" s="23">
        <f>$L457*AL457</f>
        <v>0</v>
      </c>
      <c r="BT457" s="23">
        <f>$L457*AM457</f>
        <v>0</v>
      </c>
      <c r="BU457" s="23">
        <f>$L457*AN457</f>
        <v>0</v>
      </c>
      <c r="BV457" s="23">
        <f>$L457*AO457</f>
        <v>0</v>
      </c>
      <c r="BW457" s="23">
        <f>$L457*AP457</f>
        <v>0</v>
      </c>
      <c r="BX457" s="23">
        <f>$L457*AQ457</f>
        <v>0</v>
      </c>
      <c r="BY457" s="23">
        <f>$L457*AR457</f>
        <v>0</v>
      </c>
      <c r="BZ457" s="23">
        <f>$L457*AS457</f>
        <v>0</v>
      </c>
      <c r="CA457" s="23">
        <f>$L457*AT457</f>
        <v>0</v>
      </c>
      <c r="CB457" s="23">
        <f>$L457*AU457</f>
        <v>0</v>
      </c>
      <c r="CC457" s="23">
        <f>$L457*AV457</f>
        <v>0</v>
      </c>
      <c r="CD457" s="23">
        <f>$L457*AW457</f>
        <v>0</v>
      </c>
      <c r="CE457" s="23">
        <f>$L457*AX457</f>
        <v>0</v>
      </c>
      <c r="CF457" s="23">
        <f>$L457*AY457</f>
        <v>0</v>
      </c>
      <c r="CG457" s="23">
        <f>$L457*AZ457</f>
        <v>0</v>
      </c>
      <c r="CH457" s="23">
        <f>$L457*BA457</f>
        <v>0</v>
      </c>
      <c r="CI457" s="23">
        <f>$L457*BB457</f>
        <v>0</v>
      </c>
      <c r="CJ457" s="23">
        <f>$L457*BC457</f>
        <v>0</v>
      </c>
      <c r="CK457" s="23">
        <f>$L457*BD457</f>
        <v>0</v>
      </c>
      <c r="CL457" s="23">
        <f>$L457*BE457</f>
        <v>0</v>
      </c>
      <c r="CM457" s="23">
        <f>$L457*BF457</f>
        <v>0</v>
      </c>
      <c r="CN457" s="23">
        <f>$L457*BG457</f>
        <v>37</v>
      </c>
      <c r="CO457" s="23">
        <f>$L457*BH457</f>
        <v>37</v>
      </c>
      <c r="CP457" s="23">
        <f>$L457*BI457</f>
        <v>37</v>
      </c>
      <c r="CQ457" s="23">
        <f>$L457*BJ457</f>
        <v>37</v>
      </c>
      <c r="CR457" s="23">
        <f>$L457*BK457</f>
        <v>37</v>
      </c>
      <c r="CS457" s="23">
        <f>$L457*BL457</f>
        <v>37</v>
      </c>
      <c r="CT457" s="23">
        <f>$L457*BM457</f>
        <v>37</v>
      </c>
      <c r="CU457" s="23">
        <f>$L457*BN457</f>
        <v>37</v>
      </c>
      <c r="CV457" s="23">
        <f>$L457*BO457</f>
        <v>37</v>
      </c>
    </row>
    <row r="458" spans="1:100" ht="13.5" x14ac:dyDescent="0.15">
      <c r="A458" s="15">
        <v>554</v>
      </c>
      <c r="B458" s="27" t="s">
        <v>429</v>
      </c>
      <c r="C458" t="s">
        <v>414</v>
      </c>
      <c r="E458" t="s">
        <v>140</v>
      </c>
      <c r="F458" t="s">
        <v>415</v>
      </c>
      <c r="G458" t="s">
        <v>140</v>
      </c>
      <c r="H458" t="s">
        <v>141</v>
      </c>
      <c r="I458" s="6" t="s">
        <v>136</v>
      </c>
      <c r="J458" s="6">
        <v>0</v>
      </c>
      <c r="L458" s="15">
        <v>36</v>
      </c>
      <c r="M458" s="7">
        <v>46231</v>
      </c>
      <c r="N458" s="7">
        <v>46252</v>
      </c>
      <c r="O458" s="7">
        <v>46251</v>
      </c>
      <c r="P458" s="7">
        <v>46252</v>
      </c>
      <c r="S458" s="6" t="s">
        <v>140</v>
      </c>
      <c r="U458" s="6" t="s">
        <v>413</v>
      </c>
      <c r="V458" s="6" t="str">
        <f>TEXT(N458,"YY/MM")</f>
        <v>26/08</v>
      </c>
      <c r="W458">
        <v>1830</v>
      </c>
      <c r="AA458">
        <v>1184</v>
      </c>
      <c r="AC458">
        <v>1237</v>
      </c>
      <c r="AI458" s="23">
        <v>0</v>
      </c>
      <c r="AJ458" s="23">
        <v>0</v>
      </c>
      <c r="AK458" s="23">
        <v>0</v>
      </c>
      <c r="AL458" s="23">
        <v>0</v>
      </c>
      <c r="AM458" s="23">
        <v>0</v>
      </c>
      <c r="AN458" s="23">
        <v>0</v>
      </c>
      <c r="AO458" s="23">
        <v>0</v>
      </c>
      <c r="AP458" s="23">
        <v>0</v>
      </c>
      <c r="AQ458" s="23">
        <v>0</v>
      </c>
      <c r="AR458" s="23">
        <v>0</v>
      </c>
      <c r="AS458" s="23">
        <v>0</v>
      </c>
      <c r="AT458" s="23">
        <v>0</v>
      </c>
      <c r="AU458" s="23">
        <v>0</v>
      </c>
      <c r="AV458" s="23">
        <v>0</v>
      </c>
      <c r="AW458" s="23">
        <v>0</v>
      </c>
      <c r="AX458" s="23">
        <v>0</v>
      </c>
      <c r="AY458" s="23">
        <v>0</v>
      </c>
      <c r="AZ458" s="23">
        <v>0</v>
      </c>
      <c r="BA458" s="23">
        <v>0</v>
      </c>
      <c r="BB458" s="23">
        <v>0</v>
      </c>
      <c r="BC458" s="23">
        <v>0</v>
      </c>
      <c r="BD458" s="23">
        <v>0</v>
      </c>
      <c r="BE458" s="23">
        <v>0</v>
      </c>
      <c r="BF458" s="23">
        <v>0</v>
      </c>
      <c r="BG458" s="23">
        <v>1</v>
      </c>
      <c r="BH458" s="23">
        <v>1</v>
      </c>
      <c r="BI458" s="23">
        <v>1</v>
      </c>
      <c r="BJ458" s="23">
        <v>1</v>
      </c>
      <c r="BK458" s="23">
        <v>1</v>
      </c>
      <c r="BL458" s="23">
        <v>1</v>
      </c>
      <c r="BM458" s="23">
        <v>1</v>
      </c>
      <c r="BN458" s="23">
        <v>1</v>
      </c>
      <c r="BO458" s="23">
        <v>1</v>
      </c>
      <c r="BP458" s="23">
        <f>$L458*AI458</f>
        <v>0</v>
      </c>
      <c r="BQ458" s="23">
        <f>$L458*AJ458</f>
        <v>0</v>
      </c>
      <c r="BR458" s="23">
        <f>$L458*AK458</f>
        <v>0</v>
      </c>
      <c r="BS458" s="23">
        <f>$L458*AL458</f>
        <v>0</v>
      </c>
      <c r="BT458" s="23">
        <f>$L458*AM458</f>
        <v>0</v>
      </c>
      <c r="BU458" s="23">
        <f>$L458*AN458</f>
        <v>0</v>
      </c>
      <c r="BV458" s="23">
        <f>$L458*AO458</f>
        <v>0</v>
      </c>
      <c r="BW458" s="23">
        <f>$L458*AP458</f>
        <v>0</v>
      </c>
      <c r="BX458" s="23">
        <f>$L458*AQ458</f>
        <v>0</v>
      </c>
      <c r="BY458" s="23">
        <f>$L458*AR458</f>
        <v>0</v>
      </c>
      <c r="BZ458" s="23">
        <f>$L458*AS458</f>
        <v>0</v>
      </c>
      <c r="CA458" s="23">
        <f>$L458*AT458</f>
        <v>0</v>
      </c>
      <c r="CB458" s="23">
        <f>$L458*AU458</f>
        <v>0</v>
      </c>
      <c r="CC458" s="23">
        <f>$L458*AV458</f>
        <v>0</v>
      </c>
      <c r="CD458" s="23">
        <f>$L458*AW458</f>
        <v>0</v>
      </c>
      <c r="CE458" s="23">
        <f>$L458*AX458</f>
        <v>0</v>
      </c>
      <c r="CF458" s="23">
        <f>$L458*AY458</f>
        <v>0</v>
      </c>
      <c r="CG458" s="23">
        <f>$L458*AZ458</f>
        <v>0</v>
      </c>
      <c r="CH458" s="23">
        <f>$L458*BA458</f>
        <v>0</v>
      </c>
      <c r="CI458" s="23">
        <f>$L458*BB458</f>
        <v>0</v>
      </c>
      <c r="CJ458" s="23">
        <f>$L458*BC458</f>
        <v>0</v>
      </c>
      <c r="CK458" s="23">
        <f>$L458*BD458</f>
        <v>0</v>
      </c>
      <c r="CL458" s="23">
        <f>$L458*BE458</f>
        <v>0</v>
      </c>
      <c r="CM458" s="23">
        <f>$L458*BF458</f>
        <v>0</v>
      </c>
      <c r="CN458" s="23">
        <f>$L458*BG458</f>
        <v>36</v>
      </c>
      <c r="CO458" s="23">
        <f>$L458*BH458</f>
        <v>36</v>
      </c>
      <c r="CP458" s="23">
        <f>$L458*BI458</f>
        <v>36</v>
      </c>
      <c r="CQ458" s="23">
        <f>$L458*BJ458</f>
        <v>36</v>
      </c>
      <c r="CR458" s="23">
        <f>$L458*BK458</f>
        <v>36</v>
      </c>
      <c r="CS458" s="23">
        <f>$L458*BL458</f>
        <v>36</v>
      </c>
      <c r="CT458" s="23">
        <f>$L458*BM458</f>
        <v>36</v>
      </c>
      <c r="CU458" s="23">
        <f>$L458*BN458</f>
        <v>36</v>
      </c>
      <c r="CV458" s="23">
        <f>$L458*BO458</f>
        <v>36</v>
      </c>
    </row>
    <row r="459" spans="1:100" ht="13.5" x14ac:dyDescent="0.15">
      <c r="A459" s="15">
        <v>555</v>
      </c>
      <c r="B459" s="27" t="s">
        <v>430</v>
      </c>
      <c r="C459" t="s">
        <v>414</v>
      </c>
      <c r="E459" t="s">
        <v>140</v>
      </c>
      <c r="F459" t="s">
        <v>415</v>
      </c>
      <c r="G459" t="s">
        <v>140</v>
      </c>
      <c r="H459" t="s">
        <v>141</v>
      </c>
      <c r="I459" s="6" t="s">
        <v>136</v>
      </c>
      <c r="J459" s="6">
        <v>0</v>
      </c>
      <c r="L459" s="15">
        <v>37</v>
      </c>
      <c r="M459" s="7">
        <v>46231</v>
      </c>
      <c r="N459" s="7">
        <v>46259</v>
      </c>
      <c r="O459" s="7">
        <v>46258</v>
      </c>
      <c r="P459" s="7">
        <v>46259</v>
      </c>
      <c r="S459" s="6" t="s">
        <v>140</v>
      </c>
      <c r="U459" s="6" t="s">
        <v>413</v>
      </c>
      <c r="V459" s="6" t="str">
        <f>TEXT(N459,"YY/MM")</f>
        <v>26/08</v>
      </c>
      <c r="W459">
        <v>1831</v>
      </c>
      <c r="AA459">
        <v>1185</v>
      </c>
      <c r="AC459">
        <v>1238</v>
      </c>
      <c r="AI459" s="23">
        <v>0</v>
      </c>
      <c r="AJ459" s="23">
        <v>0</v>
      </c>
      <c r="AK459" s="23">
        <v>0</v>
      </c>
      <c r="AL459" s="23">
        <v>0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0</v>
      </c>
      <c r="AU459" s="23">
        <v>0</v>
      </c>
      <c r="AV459" s="23">
        <v>0</v>
      </c>
      <c r="AW459" s="23">
        <v>0</v>
      </c>
      <c r="AX459" s="23">
        <v>0</v>
      </c>
      <c r="AY459" s="23">
        <v>0</v>
      </c>
      <c r="AZ459" s="23">
        <v>0</v>
      </c>
      <c r="BA459" s="23">
        <v>0</v>
      </c>
      <c r="BB459" s="23">
        <v>0</v>
      </c>
      <c r="BC459" s="23">
        <v>0</v>
      </c>
      <c r="BD459" s="23">
        <v>0</v>
      </c>
      <c r="BE459" s="23">
        <v>0</v>
      </c>
      <c r="BF459" s="23">
        <v>0</v>
      </c>
      <c r="BG459" s="23">
        <v>1</v>
      </c>
      <c r="BH459" s="23">
        <v>1</v>
      </c>
      <c r="BI459" s="23">
        <v>1</v>
      </c>
      <c r="BJ459" s="23">
        <v>1</v>
      </c>
      <c r="BK459" s="23">
        <v>1</v>
      </c>
      <c r="BL459" s="23">
        <v>1</v>
      </c>
      <c r="BM459" s="23">
        <v>1</v>
      </c>
      <c r="BN459" s="23">
        <v>1</v>
      </c>
      <c r="BO459" s="23">
        <v>1</v>
      </c>
      <c r="BP459" s="23">
        <f>$L459*AI459</f>
        <v>0</v>
      </c>
      <c r="BQ459" s="23">
        <f>$L459*AJ459</f>
        <v>0</v>
      </c>
      <c r="BR459" s="23">
        <f>$L459*AK459</f>
        <v>0</v>
      </c>
      <c r="BS459" s="23">
        <f>$L459*AL459</f>
        <v>0</v>
      </c>
      <c r="BT459" s="23">
        <f>$L459*AM459</f>
        <v>0</v>
      </c>
      <c r="BU459" s="23">
        <f>$L459*AN459</f>
        <v>0</v>
      </c>
      <c r="BV459" s="23">
        <f>$L459*AO459</f>
        <v>0</v>
      </c>
      <c r="BW459" s="23">
        <f>$L459*AP459</f>
        <v>0</v>
      </c>
      <c r="BX459" s="23">
        <f>$L459*AQ459</f>
        <v>0</v>
      </c>
      <c r="BY459" s="23">
        <f>$L459*AR459</f>
        <v>0</v>
      </c>
      <c r="BZ459" s="23">
        <f>$L459*AS459</f>
        <v>0</v>
      </c>
      <c r="CA459" s="23">
        <f>$L459*AT459</f>
        <v>0</v>
      </c>
      <c r="CB459" s="23">
        <f>$L459*AU459</f>
        <v>0</v>
      </c>
      <c r="CC459" s="23">
        <f>$L459*AV459</f>
        <v>0</v>
      </c>
      <c r="CD459" s="23">
        <f>$L459*AW459</f>
        <v>0</v>
      </c>
      <c r="CE459" s="23">
        <f>$L459*AX459</f>
        <v>0</v>
      </c>
      <c r="CF459" s="23">
        <f>$L459*AY459</f>
        <v>0</v>
      </c>
      <c r="CG459" s="23">
        <f>$L459*AZ459</f>
        <v>0</v>
      </c>
      <c r="CH459" s="23">
        <f>$L459*BA459</f>
        <v>0</v>
      </c>
      <c r="CI459" s="23">
        <f>$L459*BB459</f>
        <v>0</v>
      </c>
      <c r="CJ459" s="23">
        <f>$L459*BC459</f>
        <v>0</v>
      </c>
      <c r="CK459" s="23">
        <f>$L459*BD459</f>
        <v>0</v>
      </c>
      <c r="CL459" s="23">
        <f>$L459*BE459</f>
        <v>0</v>
      </c>
      <c r="CM459" s="23">
        <f>$L459*BF459</f>
        <v>0</v>
      </c>
      <c r="CN459" s="23">
        <f>$L459*BG459</f>
        <v>37</v>
      </c>
      <c r="CO459" s="23">
        <f>$L459*BH459</f>
        <v>37</v>
      </c>
      <c r="CP459" s="23">
        <f>$L459*BI459</f>
        <v>37</v>
      </c>
      <c r="CQ459" s="23">
        <f>$L459*BJ459</f>
        <v>37</v>
      </c>
      <c r="CR459" s="23">
        <f>$L459*BK459</f>
        <v>37</v>
      </c>
      <c r="CS459" s="23">
        <f>$L459*BL459</f>
        <v>37</v>
      </c>
      <c r="CT459" s="23">
        <f>$L459*BM459</f>
        <v>37</v>
      </c>
      <c r="CU459" s="23">
        <f>$L459*BN459</f>
        <v>37</v>
      </c>
      <c r="CV459" s="23">
        <f>$L459*BO459</f>
        <v>37</v>
      </c>
    </row>
    <row r="460" spans="1:100" ht="13.5" x14ac:dyDescent="0.15">
      <c r="A460" s="15">
        <v>648</v>
      </c>
      <c r="B460" s="27" t="s">
        <v>431</v>
      </c>
      <c r="C460" t="s">
        <v>414</v>
      </c>
      <c r="E460" t="s">
        <v>140</v>
      </c>
      <c r="F460" t="s">
        <v>415</v>
      </c>
      <c r="G460" t="s">
        <v>140</v>
      </c>
      <c r="H460" t="s">
        <v>141</v>
      </c>
      <c r="I460" s="6" t="s">
        <v>136</v>
      </c>
      <c r="J460" s="6">
        <v>0</v>
      </c>
      <c r="L460" s="15">
        <v>37</v>
      </c>
      <c r="M460" s="7">
        <v>46259</v>
      </c>
      <c r="N460" s="7">
        <v>46266</v>
      </c>
      <c r="O460" s="7">
        <v>46265</v>
      </c>
      <c r="P460" s="7">
        <v>46266</v>
      </c>
      <c r="S460" s="6" t="s">
        <v>140</v>
      </c>
      <c r="U460" s="6" t="s">
        <v>413</v>
      </c>
      <c r="V460" s="6" t="str">
        <f>TEXT(N460,"YY/MM")</f>
        <v>26/09</v>
      </c>
      <c r="W460">
        <v>1832</v>
      </c>
      <c r="AA460">
        <v>1186</v>
      </c>
      <c r="AC460">
        <v>1239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3">
        <v>0</v>
      </c>
      <c r="AU460" s="23">
        <v>0</v>
      </c>
      <c r="AV460" s="23">
        <v>0</v>
      </c>
      <c r="AW460" s="23">
        <v>0</v>
      </c>
      <c r="AX460" s="23">
        <v>0</v>
      </c>
      <c r="AY460" s="23">
        <v>0</v>
      </c>
      <c r="AZ460" s="23">
        <v>0</v>
      </c>
      <c r="BA460" s="23">
        <v>0</v>
      </c>
      <c r="BB460" s="23">
        <v>0</v>
      </c>
      <c r="BC460" s="23">
        <v>0</v>
      </c>
      <c r="BD460" s="23">
        <v>0</v>
      </c>
      <c r="BE460" s="23">
        <v>0</v>
      </c>
      <c r="BF460" s="23">
        <v>0</v>
      </c>
      <c r="BG460" s="23">
        <v>1</v>
      </c>
      <c r="BH460" s="23">
        <v>1</v>
      </c>
      <c r="BI460" s="23">
        <v>1</v>
      </c>
      <c r="BJ460" s="23">
        <v>1</v>
      </c>
      <c r="BK460" s="23">
        <v>1</v>
      </c>
      <c r="BL460" s="23">
        <v>1</v>
      </c>
      <c r="BM460" s="23">
        <v>1</v>
      </c>
      <c r="BN460" s="23">
        <v>1</v>
      </c>
      <c r="BO460" s="23">
        <v>1</v>
      </c>
      <c r="BP460" s="23">
        <f>$L460*AI460</f>
        <v>0</v>
      </c>
      <c r="BQ460" s="23">
        <f>$L460*AJ460</f>
        <v>0</v>
      </c>
      <c r="BR460" s="23">
        <f>$L460*AK460</f>
        <v>0</v>
      </c>
      <c r="BS460" s="23">
        <f>$L460*AL460</f>
        <v>0</v>
      </c>
      <c r="BT460" s="23">
        <f>$L460*AM460</f>
        <v>0</v>
      </c>
      <c r="BU460" s="23">
        <f>$L460*AN460</f>
        <v>0</v>
      </c>
      <c r="BV460" s="23">
        <f>$L460*AO460</f>
        <v>0</v>
      </c>
      <c r="BW460" s="23">
        <f>$L460*AP460</f>
        <v>0</v>
      </c>
      <c r="BX460" s="23">
        <f>$L460*AQ460</f>
        <v>0</v>
      </c>
      <c r="BY460" s="23">
        <f>$L460*AR460</f>
        <v>0</v>
      </c>
      <c r="BZ460" s="23">
        <f>$L460*AS460</f>
        <v>0</v>
      </c>
      <c r="CA460" s="23">
        <f>$L460*AT460</f>
        <v>0</v>
      </c>
      <c r="CB460" s="23">
        <f>$L460*AU460</f>
        <v>0</v>
      </c>
      <c r="CC460" s="23">
        <f>$L460*AV460</f>
        <v>0</v>
      </c>
      <c r="CD460" s="23">
        <f>$L460*AW460</f>
        <v>0</v>
      </c>
      <c r="CE460" s="23">
        <f>$L460*AX460</f>
        <v>0</v>
      </c>
      <c r="CF460" s="23">
        <f>$L460*AY460</f>
        <v>0</v>
      </c>
      <c r="CG460" s="23">
        <f>$L460*AZ460</f>
        <v>0</v>
      </c>
      <c r="CH460" s="23">
        <f>$L460*BA460</f>
        <v>0</v>
      </c>
      <c r="CI460" s="23">
        <f>$L460*BB460</f>
        <v>0</v>
      </c>
      <c r="CJ460" s="23">
        <f>$L460*BC460</f>
        <v>0</v>
      </c>
      <c r="CK460" s="23">
        <f>$L460*BD460</f>
        <v>0</v>
      </c>
      <c r="CL460" s="23">
        <f>$L460*BE460</f>
        <v>0</v>
      </c>
      <c r="CM460" s="23">
        <f>$L460*BF460</f>
        <v>0</v>
      </c>
      <c r="CN460" s="23">
        <f>$L460*BG460</f>
        <v>37</v>
      </c>
      <c r="CO460" s="23">
        <f>$L460*BH460</f>
        <v>37</v>
      </c>
      <c r="CP460" s="23">
        <f>$L460*BI460</f>
        <v>37</v>
      </c>
      <c r="CQ460" s="23">
        <f>$L460*BJ460</f>
        <v>37</v>
      </c>
      <c r="CR460" s="23">
        <f>$L460*BK460</f>
        <v>37</v>
      </c>
      <c r="CS460" s="23">
        <f>$L460*BL460</f>
        <v>37</v>
      </c>
      <c r="CT460" s="23">
        <f>$L460*BM460</f>
        <v>37</v>
      </c>
      <c r="CU460" s="23">
        <f>$L460*BN460</f>
        <v>37</v>
      </c>
      <c r="CV460" s="23">
        <f>$L460*BO460</f>
        <v>37</v>
      </c>
    </row>
    <row r="461" spans="1:100" ht="13.5" x14ac:dyDescent="0.15">
      <c r="A461" s="15">
        <v>556</v>
      </c>
      <c r="B461" s="27" t="s">
        <v>432</v>
      </c>
      <c r="C461" t="s">
        <v>132</v>
      </c>
      <c r="E461" t="s">
        <v>133</v>
      </c>
      <c r="F461" t="s">
        <v>134</v>
      </c>
      <c r="G461" t="s">
        <v>133</v>
      </c>
      <c r="H461" t="s">
        <v>135</v>
      </c>
      <c r="I461" s="6" t="s">
        <v>136</v>
      </c>
      <c r="J461" s="6">
        <v>1</v>
      </c>
      <c r="L461" s="15">
        <v>41</v>
      </c>
      <c r="M461" s="7">
        <v>46255</v>
      </c>
      <c r="N461" s="7">
        <v>46267</v>
      </c>
      <c r="O461" s="7">
        <v>46266</v>
      </c>
      <c r="P461" s="7">
        <v>46266</v>
      </c>
      <c r="S461" s="6" t="s">
        <v>133</v>
      </c>
      <c r="U461" s="6" t="s">
        <v>413</v>
      </c>
      <c r="V461" s="6" t="str">
        <f>TEXT(N461,"YY/MM")</f>
        <v>26/09</v>
      </c>
      <c r="W461">
        <v>1833</v>
      </c>
      <c r="AB461">
        <v>650</v>
      </c>
      <c r="AD461">
        <v>597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  <c r="AO461" s="23">
        <v>0</v>
      </c>
      <c r="AP461" s="23">
        <v>0</v>
      </c>
      <c r="AQ461" s="23">
        <v>0</v>
      </c>
      <c r="AR461" s="23">
        <v>0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0</v>
      </c>
      <c r="AZ461" s="23">
        <v>0</v>
      </c>
      <c r="BA461" s="23">
        <v>0</v>
      </c>
      <c r="BB461" s="23">
        <v>0</v>
      </c>
      <c r="BC461" s="23">
        <v>0</v>
      </c>
      <c r="BD461" s="23">
        <v>0</v>
      </c>
      <c r="BE461" s="23">
        <v>0</v>
      </c>
      <c r="BF461" s="23">
        <v>0</v>
      </c>
      <c r="BG461" s="23">
        <v>1</v>
      </c>
      <c r="BH461" s="23">
        <v>1</v>
      </c>
      <c r="BI461" s="23">
        <v>1</v>
      </c>
      <c r="BJ461" s="23">
        <v>1</v>
      </c>
      <c r="BK461" s="23">
        <v>1</v>
      </c>
      <c r="BL461" s="23">
        <v>1</v>
      </c>
      <c r="BM461" s="23">
        <v>1</v>
      </c>
      <c r="BN461" s="23">
        <v>1</v>
      </c>
      <c r="BO461" s="23">
        <v>0</v>
      </c>
      <c r="BP461" s="23">
        <f>$L461*AI461</f>
        <v>0</v>
      </c>
      <c r="BQ461" s="23">
        <f>$L461*AJ461</f>
        <v>0</v>
      </c>
      <c r="BR461" s="23">
        <f>$L461*AK461</f>
        <v>0</v>
      </c>
      <c r="BS461" s="23">
        <f>$L461*AL461</f>
        <v>0</v>
      </c>
      <c r="BT461" s="23">
        <f>$L461*AM461</f>
        <v>0</v>
      </c>
      <c r="BU461" s="23">
        <f>$L461*AN461</f>
        <v>0</v>
      </c>
      <c r="BV461" s="23">
        <f>$L461*AO461</f>
        <v>0</v>
      </c>
      <c r="BW461" s="23">
        <f>$L461*AP461</f>
        <v>0</v>
      </c>
      <c r="BX461" s="23">
        <f>$L461*AQ461</f>
        <v>0</v>
      </c>
      <c r="BY461" s="23">
        <f>$L461*AR461</f>
        <v>0</v>
      </c>
      <c r="BZ461" s="23">
        <f>$L461*AS461</f>
        <v>0</v>
      </c>
      <c r="CA461" s="23">
        <f>$L461*AT461</f>
        <v>0</v>
      </c>
      <c r="CB461" s="23">
        <f>$L461*AU461</f>
        <v>0</v>
      </c>
      <c r="CC461" s="23">
        <f>$L461*AV461</f>
        <v>0</v>
      </c>
      <c r="CD461" s="23">
        <f>$L461*AW461</f>
        <v>0</v>
      </c>
      <c r="CE461" s="23">
        <f>$L461*AX461</f>
        <v>0</v>
      </c>
      <c r="CF461" s="23">
        <f>$L461*AY461</f>
        <v>0</v>
      </c>
      <c r="CG461" s="23">
        <f>$L461*AZ461</f>
        <v>0</v>
      </c>
      <c r="CH461" s="23">
        <f>$L461*BA461</f>
        <v>0</v>
      </c>
      <c r="CI461" s="23">
        <f>$L461*BB461</f>
        <v>0</v>
      </c>
      <c r="CJ461" s="23">
        <f>$L461*BC461</f>
        <v>0</v>
      </c>
      <c r="CK461" s="23">
        <f>$L461*BD461</f>
        <v>0</v>
      </c>
      <c r="CL461" s="23">
        <f>$L461*BE461</f>
        <v>0</v>
      </c>
      <c r="CM461" s="23">
        <f>$L461*BF461</f>
        <v>0</v>
      </c>
      <c r="CN461" s="23">
        <f>$L461*BG461</f>
        <v>41</v>
      </c>
      <c r="CO461" s="23">
        <f>$L461*BH461</f>
        <v>41</v>
      </c>
      <c r="CP461" s="23">
        <f>$L461*BI461</f>
        <v>41</v>
      </c>
      <c r="CQ461" s="23">
        <f>$L461*BJ461</f>
        <v>41</v>
      </c>
      <c r="CR461" s="23">
        <f>$L461*BK461</f>
        <v>41</v>
      </c>
      <c r="CS461" s="23">
        <f>$L461*BL461</f>
        <v>41</v>
      </c>
      <c r="CT461" s="23">
        <f>$L461*BM461</f>
        <v>41</v>
      </c>
      <c r="CU461" s="23">
        <f>$L461*BN461</f>
        <v>41</v>
      </c>
      <c r="CV461" s="23">
        <f>$L461*BO461</f>
        <v>0</v>
      </c>
    </row>
    <row r="462" spans="1:100" ht="13.5" x14ac:dyDescent="0.15">
      <c r="A462" s="15">
        <v>561</v>
      </c>
      <c r="B462" s="27" t="s">
        <v>433</v>
      </c>
      <c r="C462" t="s">
        <v>153</v>
      </c>
      <c r="D462" t="s">
        <v>427</v>
      </c>
      <c r="E462" t="s">
        <v>139</v>
      </c>
      <c r="F462" t="s">
        <v>134</v>
      </c>
      <c r="G462" t="s">
        <v>140</v>
      </c>
      <c r="H462" t="s">
        <v>141</v>
      </c>
      <c r="I462" s="6" t="s">
        <v>136</v>
      </c>
      <c r="J462" s="6">
        <v>0</v>
      </c>
      <c r="L462" s="15">
        <v>30</v>
      </c>
      <c r="M462" s="7">
        <v>46255</v>
      </c>
      <c r="N462" s="7">
        <v>46267</v>
      </c>
      <c r="O462" s="7">
        <v>46266</v>
      </c>
      <c r="P462" s="7">
        <v>46266</v>
      </c>
      <c r="S462" s="6" t="s">
        <v>140</v>
      </c>
      <c r="U462" s="6" t="s">
        <v>413</v>
      </c>
      <c r="V462" s="6" t="str">
        <f>TEXT(N462,"YY/MM")</f>
        <v>26/09</v>
      </c>
      <c r="W462">
        <v>1834</v>
      </c>
      <c r="AA462">
        <v>1187</v>
      </c>
      <c r="AC462">
        <v>1240</v>
      </c>
      <c r="AI462" s="23">
        <v>0</v>
      </c>
      <c r="AJ462" s="23">
        <v>0</v>
      </c>
      <c r="AK462" s="23">
        <v>0</v>
      </c>
      <c r="AL462" s="23">
        <v>0</v>
      </c>
      <c r="AM462" s="23">
        <v>0</v>
      </c>
      <c r="AN462" s="23">
        <v>0</v>
      </c>
      <c r="AO462" s="23">
        <v>0</v>
      </c>
      <c r="AP462" s="23">
        <v>0</v>
      </c>
      <c r="AQ462" s="23">
        <v>0</v>
      </c>
      <c r="AR462" s="23">
        <v>0</v>
      </c>
      <c r="AS462" s="23">
        <v>0</v>
      </c>
      <c r="AT462" s="23">
        <v>0</v>
      </c>
      <c r="AU462" s="23">
        <v>0</v>
      </c>
      <c r="AV462" s="23">
        <v>0</v>
      </c>
      <c r="AW462" s="23">
        <v>0</v>
      </c>
      <c r="AX462" s="23">
        <v>0</v>
      </c>
      <c r="AY462" s="23">
        <v>0</v>
      </c>
      <c r="AZ462" s="23">
        <v>0</v>
      </c>
      <c r="BA462" s="23">
        <v>0</v>
      </c>
      <c r="BB462" s="23">
        <v>0</v>
      </c>
      <c r="BC462" s="23">
        <v>0</v>
      </c>
      <c r="BD462" s="23">
        <v>0</v>
      </c>
      <c r="BE462" s="23">
        <v>0</v>
      </c>
      <c r="BF462" s="23">
        <v>0</v>
      </c>
      <c r="BG462" s="23">
        <v>1</v>
      </c>
      <c r="BH462" s="23">
        <v>1</v>
      </c>
      <c r="BI462" s="23">
        <v>1</v>
      </c>
      <c r="BJ462" s="23">
        <v>1</v>
      </c>
      <c r="BK462" s="23">
        <v>1</v>
      </c>
      <c r="BL462" s="23">
        <v>1</v>
      </c>
      <c r="BM462" s="23">
        <v>1</v>
      </c>
      <c r="BN462" s="23">
        <v>1</v>
      </c>
      <c r="BO462" s="23">
        <v>1</v>
      </c>
      <c r="BP462" s="23">
        <f>$L462*AI462</f>
        <v>0</v>
      </c>
      <c r="BQ462" s="23">
        <f>$L462*AJ462</f>
        <v>0</v>
      </c>
      <c r="BR462" s="23">
        <f>$L462*AK462</f>
        <v>0</v>
      </c>
      <c r="BS462" s="23">
        <f>$L462*AL462</f>
        <v>0</v>
      </c>
      <c r="BT462" s="23">
        <f>$L462*AM462</f>
        <v>0</v>
      </c>
      <c r="BU462" s="23">
        <f>$L462*AN462</f>
        <v>0</v>
      </c>
      <c r="BV462" s="23">
        <f>$L462*AO462</f>
        <v>0</v>
      </c>
      <c r="BW462" s="23">
        <f>$L462*AP462</f>
        <v>0</v>
      </c>
      <c r="BX462" s="23">
        <f>$L462*AQ462</f>
        <v>0</v>
      </c>
      <c r="BY462" s="23">
        <f>$L462*AR462</f>
        <v>0</v>
      </c>
      <c r="BZ462" s="23">
        <f>$L462*AS462</f>
        <v>0</v>
      </c>
      <c r="CA462" s="23">
        <f>$L462*AT462</f>
        <v>0</v>
      </c>
      <c r="CB462" s="23">
        <f>$L462*AU462</f>
        <v>0</v>
      </c>
      <c r="CC462" s="23">
        <f>$L462*AV462</f>
        <v>0</v>
      </c>
      <c r="CD462" s="23">
        <f>$L462*AW462</f>
        <v>0</v>
      </c>
      <c r="CE462" s="23">
        <f>$L462*AX462</f>
        <v>0</v>
      </c>
      <c r="CF462" s="23">
        <f>$L462*AY462</f>
        <v>0</v>
      </c>
      <c r="CG462" s="23">
        <f>$L462*AZ462</f>
        <v>0</v>
      </c>
      <c r="CH462" s="23">
        <f>$L462*BA462</f>
        <v>0</v>
      </c>
      <c r="CI462" s="23">
        <f>$L462*BB462</f>
        <v>0</v>
      </c>
      <c r="CJ462" s="23">
        <f>$L462*BC462</f>
        <v>0</v>
      </c>
      <c r="CK462" s="23">
        <f>$L462*BD462</f>
        <v>0</v>
      </c>
      <c r="CL462" s="23">
        <f>$L462*BE462</f>
        <v>0</v>
      </c>
      <c r="CM462" s="23">
        <f>$L462*BF462</f>
        <v>0</v>
      </c>
      <c r="CN462" s="23">
        <f>$L462*BG462</f>
        <v>30</v>
      </c>
      <c r="CO462" s="23">
        <f>$L462*BH462</f>
        <v>30</v>
      </c>
      <c r="CP462" s="23">
        <f>$L462*BI462</f>
        <v>30</v>
      </c>
      <c r="CQ462" s="23">
        <f>$L462*BJ462</f>
        <v>30</v>
      </c>
      <c r="CR462" s="23">
        <f>$L462*BK462</f>
        <v>30</v>
      </c>
      <c r="CS462" s="23">
        <f>$L462*BL462</f>
        <v>30</v>
      </c>
      <c r="CT462" s="23">
        <f>$L462*BM462</f>
        <v>30</v>
      </c>
      <c r="CU462" s="23">
        <f>$L462*BN462</f>
        <v>30</v>
      </c>
      <c r="CV462" s="23">
        <f>$L462*BO462</f>
        <v>30</v>
      </c>
    </row>
    <row r="463" spans="1:100" ht="13.5" x14ac:dyDescent="0.15">
      <c r="A463" s="15">
        <v>649</v>
      </c>
      <c r="B463" s="27" t="s">
        <v>434</v>
      </c>
      <c r="C463" t="s">
        <v>414</v>
      </c>
      <c r="E463" t="s">
        <v>140</v>
      </c>
      <c r="F463" t="s">
        <v>415</v>
      </c>
      <c r="G463" t="s">
        <v>140</v>
      </c>
      <c r="H463" t="s">
        <v>141</v>
      </c>
      <c r="I463" s="6" t="s">
        <v>136</v>
      </c>
      <c r="J463" s="6">
        <v>0</v>
      </c>
      <c r="L463" s="15">
        <v>36</v>
      </c>
      <c r="M463" s="7">
        <v>46259</v>
      </c>
      <c r="N463" s="7">
        <v>46273</v>
      </c>
      <c r="O463" s="7">
        <v>46272</v>
      </c>
      <c r="P463" s="7">
        <v>46273</v>
      </c>
      <c r="S463" s="6" t="s">
        <v>140</v>
      </c>
      <c r="U463" s="6" t="s">
        <v>413</v>
      </c>
      <c r="V463" s="6" t="str">
        <f>TEXT(N463,"YY/MM")</f>
        <v>26/09</v>
      </c>
      <c r="W463">
        <v>1835</v>
      </c>
      <c r="AA463">
        <v>1188</v>
      </c>
      <c r="AC463">
        <v>1241</v>
      </c>
      <c r="AI463" s="23">
        <v>0</v>
      </c>
      <c r="AJ463" s="23">
        <v>0</v>
      </c>
      <c r="AK463" s="23">
        <v>0</v>
      </c>
      <c r="AL463" s="23">
        <v>0</v>
      </c>
      <c r="AM463" s="23">
        <v>0</v>
      </c>
      <c r="AN463" s="23">
        <v>0</v>
      </c>
      <c r="AO463" s="23">
        <v>0</v>
      </c>
      <c r="AP463" s="23">
        <v>0</v>
      </c>
      <c r="AQ463" s="23">
        <v>0</v>
      </c>
      <c r="AR463" s="23">
        <v>0</v>
      </c>
      <c r="AS463" s="23">
        <v>0</v>
      </c>
      <c r="AT463" s="23">
        <v>0</v>
      </c>
      <c r="AU463" s="23">
        <v>0</v>
      </c>
      <c r="AV463" s="23">
        <v>0</v>
      </c>
      <c r="AW463" s="23">
        <v>0</v>
      </c>
      <c r="AX463" s="23">
        <v>0</v>
      </c>
      <c r="AY463" s="23">
        <v>0</v>
      </c>
      <c r="AZ463" s="23">
        <v>0</v>
      </c>
      <c r="BA463" s="23">
        <v>0</v>
      </c>
      <c r="BB463" s="23">
        <v>0</v>
      </c>
      <c r="BC463" s="23">
        <v>0</v>
      </c>
      <c r="BD463" s="23">
        <v>0</v>
      </c>
      <c r="BE463" s="23">
        <v>0</v>
      </c>
      <c r="BF463" s="23">
        <v>0</v>
      </c>
      <c r="BG463" s="23">
        <v>1</v>
      </c>
      <c r="BH463" s="23">
        <v>1</v>
      </c>
      <c r="BI463" s="23">
        <v>1</v>
      </c>
      <c r="BJ463" s="23">
        <v>1</v>
      </c>
      <c r="BK463" s="23">
        <v>1</v>
      </c>
      <c r="BL463" s="23">
        <v>1</v>
      </c>
      <c r="BM463" s="23">
        <v>1</v>
      </c>
      <c r="BN463" s="23">
        <v>1</v>
      </c>
      <c r="BO463" s="23">
        <v>1</v>
      </c>
      <c r="BP463" s="23">
        <f>$L463*AI463</f>
        <v>0</v>
      </c>
      <c r="BQ463" s="23">
        <f>$L463*AJ463</f>
        <v>0</v>
      </c>
      <c r="BR463" s="23">
        <f>$L463*AK463</f>
        <v>0</v>
      </c>
      <c r="BS463" s="23">
        <f>$L463*AL463</f>
        <v>0</v>
      </c>
      <c r="BT463" s="23">
        <f>$L463*AM463</f>
        <v>0</v>
      </c>
      <c r="BU463" s="23">
        <f>$L463*AN463</f>
        <v>0</v>
      </c>
      <c r="BV463" s="23">
        <f>$L463*AO463</f>
        <v>0</v>
      </c>
      <c r="BW463" s="23">
        <f>$L463*AP463</f>
        <v>0</v>
      </c>
      <c r="BX463" s="23">
        <f>$L463*AQ463</f>
        <v>0</v>
      </c>
      <c r="BY463" s="23">
        <f>$L463*AR463</f>
        <v>0</v>
      </c>
      <c r="BZ463" s="23">
        <f>$L463*AS463</f>
        <v>0</v>
      </c>
      <c r="CA463" s="23">
        <f>$L463*AT463</f>
        <v>0</v>
      </c>
      <c r="CB463" s="23">
        <f>$L463*AU463</f>
        <v>0</v>
      </c>
      <c r="CC463" s="23">
        <f>$L463*AV463</f>
        <v>0</v>
      </c>
      <c r="CD463" s="23">
        <f>$L463*AW463</f>
        <v>0</v>
      </c>
      <c r="CE463" s="23">
        <f>$L463*AX463</f>
        <v>0</v>
      </c>
      <c r="CF463" s="23">
        <f>$L463*AY463</f>
        <v>0</v>
      </c>
      <c r="CG463" s="23">
        <f>$L463*AZ463</f>
        <v>0</v>
      </c>
      <c r="CH463" s="23">
        <f>$L463*BA463</f>
        <v>0</v>
      </c>
      <c r="CI463" s="23">
        <f>$L463*BB463</f>
        <v>0</v>
      </c>
      <c r="CJ463" s="23">
        <f>$L463*BC463</f>
        <v>0</v>
      </c>
      <c r="CK463" s="23">
        <f>$L463*BD463</f>
        <v>0</v>
      </c>
      <c r="CL463" s="23">
        <f>$L463*BE463</f>
        <v>0</v>
      </c>
      <c r="CM463" s="23">
        <f>$L463*BF463</f>
        <v>0</v>
      </c>
      <c r="CN463" s="23">
        <f>$L463*BG463</f>
        <v>36</v>
      </c>
      <c r="CO463" s="23">
        <f>$L463*BH463</f>
        <v>36</v>
      </c>
      <c r="CP463" s="23">
        <f>$L463*BI463</f>
        <v>36</v>
      </c>
      <c r="CQ463" s="23">
        <f>$L463*BJ463</f>
        <v>36</v>
      </c>
      <c r="CR463" s="23">
        <f>$L463*BK463</f>
        <v>36</v>
      </c>
      <c r="CS463" s="23">
        <f>$L463*BL463</f>
        <v>36</v>
      </c>
      <c r="CT463" s="23">
        <f>$L463*BM463</f>
        <v>36</v>
      </c>
      <c r="CU463" s="23">
        <f>$L463*BN463</f>
        <v>36</v>
      </c>
      <c r="CV463" s="23">
        <f>$L463*BO463</f>
        <v>36</v>
      </c>
    </row>
    <row r="464" spans="1:100" ht="13.5" x14ac:dyDescent="0.15">
      <c r="A464" s="15">
        <v>650</v>
      </c>
      <c r="B464" s="27" t="s">
        <v>435</v>
      </c>
      <c r="C464" t="s">
        <v>414</v>
      </c>
      <c r="E464" t="s">
        <v>140</v>
      </c>
      <c r="F464" t="s">
        <v>415</v>
      </c>
      <c r="G464" t="s">
        <v>140</v>
      </c>
      <c r="H464" t="s">
        <v>141</v>
      </c>
      <c r="I464" s="6" t="s">
        <v>136</v>
      </c>
      <c r="J464" s="6">
        <v>0</v>
      </c>
      <c r="L464" s="15">
        <v>28</v>
      </c>
      <c r="M464" s="7">
        <v>46259</v>
      </c>
      <c r="N464" s="7">
        <v>46290</v>
      </c>
      <c r="O464" s="7">
        <v>46289</v>
      </c>
      <c r="P464" s="7">
        <v>46290</v>
      </c>
      <c r="S464" s="6" t="s">
        <v>140</v>
      </c>
      <c r="U464" s="6" t="s">
        <v>413</v>
      </c>
      <c r="V464" s="6" t="str">
        <f>TEXT(N464,"YY/MM")</f>
        <v>26/09</v>
      </c>
      <c r="W464">
        <v>1836</v>
      </c>
      <c r="AA464">
        <v>1189</v>
      </c>
      <c r="AC464">
        <v>1242</v>
      </c>
      <c r="AI464" s="23">
        <v>0</v>
      </c>
      <c r="AJ464" s="23">
        <v>0</v>
      </c>
      <c r="AK464" s="23">
        <v>0</v>
      </c>
      <c r="AL464" s="23">
        <v>0</v>
      </c>
      <c r="AM464" s="23">
        <v>0</v>
      </c>
      <c r="AN464" s="23">
        <v>0</v>
      </c>
      <c r="AO464" s="23">
        <v>0</v>
      </c>
      <c r="AP464" s="23">
        <v>0</v>
      </c>
      <c r="AQ464" s="23">
        <v>0</v>
      </c>
      <c r="AR464" s="23">
        <v>0</v>
      </c>
      <c r="AS464" s="23">
        <v>0</v>
      </c>
      <c r="AT464" s="23">
        <v>0</v>
      </c>
      <c r="AU464" s="23">
        <v>0</v>
      </c>
      <c r="AV464" s="23">
        <v>0</v>
      </c>
      <c r="AW464" s="23">
        <v>0</v>
      </c>
      <c r="AX464" s="23">
        <v>0</v>
      </c>
      <c r="AY464" s="23">
        <v>0</v>
      </c>
      <c r="AZ464" s="23">
        <v>0</v>
      </c>
      <c r="BA464" s="23">
        <v>0</v>
      </c>
      <c r="BB464" s="23">
        <v>0</v>
      </c>
      <c r="BC464" s="23">
        <v>0</v>
      </c>
      <c r="BD464" s="23">
        <v>0</v>
      </c>
      <c r="BE464" s="23">
        <v>0</v>
      </c>
      <c r="BF464" s="23">
        <v>0</v>
      </c>
      <c r="BG464" s="23">
        <v>1</v>
      </c>
      <c r="BH464" s="23">
        <v>1</v>
      </c>
      <c r="BI464" s="23">
        <v>1</v>
      </c>
      <c r="BJ464" s="23">
        <v>1</v>
      </c>
      <c r="BK464" s="23">
        <v>1</v>
      </c>
      <c r="BL464" s="23">
        <v>1</v>
      </c>
      <c r="BM464" s="23">
        <v>1</v>
      </c>
      <c r="BN464" s="23">
        <v>1</v>
      </c>
      <c r="BO464" s="23">
        <v>1</v>
      </c>
      <c r="BP464" s="23">
        <f>$L464*AI464</f>
        <v>0</v>
      </c>
      <c r="BQ464" s="23">
        <f>$L464*AJ464</f>
        <v>0</v>
      </c>
      <c r="BR464" s="23">
        <f>$L464*AK464</f>
        <v>0</v>
      </c>
      <c r="BS464" s="23">
        <f>$L464*AL464</f>
        <v>0</v>
      </c>
      <c r="BT464" s="23">
        <f>$L464*AM464</f>
        <v>0</v>
      </c>
      <c r="BU464" s="23">
        <f>$L464*AN464</f>
        <v>0</v>
      </c>
      <c r="BV464" s="23">
        <f>$L464*AO464</f>
        <v>0</v>
      </c>
      <c r="BW464" s="23">
        <f>$L464*AP464</f>
        <v>0</v>
      </c>
      <c r="BX464" s="23">
        <f>$L464*AQ464</f>
        <v>0</v>
      </c>
      <c r="BY464" s="23">
        <f>$L464*AR464</f>
        <v>0</v>
      </c>
      <c r="BZ464" s="23">
        <f>$L464*AS464</f>
        <v>0</v>
      </c>
      <c r="CA464" s="23">
        <f>$L464*AT464</f>
        <v>0</v>
      </c>
      <c r="CB464" s="23">
        <f>$L464*AU464</f>
        <v>0</v>
      </c>
      <c r="CC464" s="23">
        <f>$L464*AV464</f>
        <v>0</v>
      </c>
      <c r="CD464" s="23">
        <f>$L464*AW464</f>
        <v>0</v>
      </c>
      <c r="CE464" s="23">
        <f>$L464*AX464</f>
        <v>0</v>
      </c>
      <c r="CF464" s="23">
        <f>$L464*AY464</f>
        <v>0</v>
      </c>
      <c r="CG464" s="23">
        <f>$L464*AZ464</f>
        <v>0</v>
      </c>
      <c r="CH464" s="23">
        <f>$L464*BA464</f>
        <v>0</v>
      </c>
      <c r="CI464" s="23">
        <f>$L464*BB464</f>
        <v>0</v>
      </c>
      <c r="CJ464" s="23">
        <f>$L464*BC464</f>
        <v>0</v>
      </c>
      <c r="CK464" s="23">
        <f>$L464*BD464</f>
        <v>0</v>
      </c>
      <c r="CL464" s="23">
        <f>$L464*BE464</f>
        <v>0</v>
      </c>
      <c r="CM464" s="23">
        <f>$L464*BF464</f>
        <v>0</v>
      </c>
      <c r="CN464" s="23">
        <f>$L464*BG464</f>
        <v>28</v>
      </c>
      <c r="CO464" s="23">
        <f>$L464*BH464</f>
        <v>28</v>
      </c>
      <c r="CP464" s="23">
        <f>$L464*BI464</f>
        <v>28</v>
      </c>
      <c r="CQ464" s="23">
        <f>$L464*BJ464</f>
        <v>28</v>
      </c>
      <c r="CR464" s="23">
        <f>$L464*BK464</f>
        <v>28</v>
      </c>
      <c r="CS464" s="23">
        <f>$L464*BL464</f>
        <v>28</v>
      </c>
      <c r="CT464" s="23">
        <f>$L464*BM464</f>
        <v>28</v>
      </c>
      <c r="CU464" s="23">
        <f>$L464*BN464</f>
        <v>28</v>
      </c>
      <c r="CV464" s="23">
        <f>$L464*BO464</f>
        <v>28</v>
      </c>
    </row>
    <row r="465" spans="1:100" ht="13.5" x14ac:dyDescent="0.15">
      <c r="A465" s="15">
        <v>652</v>
      </c>
      <c r="B465" s="27" t="s">
        <v>436</v>
      </c>
      <c r="C465" t="s">
        <v>153</v>
      </c>
      <c r="D465" t="s">
        <v>427</v>
      </c>
      <c r="E465" t="s">
        <v>139</v>
      </c>
      <c r="F465" t="s">
        <v>134</v>
      </c>
      <c r="G465" t="s">
        <v>140</v>
      </c>
      <c r="H465" t="s">
        <v>141</v>
      </c>
      <c r="I465" s="6" t="s">
        <v>136</v>
      </c>
      <c r="J465" s="6">
        <v>0</v>
      </c>
      <c r="L465" s="15">
        <v>30</v>
      </c>
      <c r="N465" s="7">
        <v>46296</v>
      </c>
      <c r="O465" s="7">
        <v>46295</v>
      </c>
      <c r="P465" s="7">
        <v>46296</v>
      </c>
      <c r="S465" s="6" t="s">
        <v>140</v>
      </c>
      <c r="U465" s="6" t="s">
        <v>413</v>
      </c>
      <c r="V465" s="6" t="str">
        <f>TEXT(N465,"YY/MM")</f>
        <v>26/10</v>
      </c>
      <c r="W465">
        <v>1837</v>
      </c>
      <c r="AA465">
        <v>1190</v>
      </c>
      <c r="AC465">
        <v>1243</v>
      </c>
      <c r="AI465" s="23">
        <v>0</v>
      </c>
      <c r="AJ465" s="23">
        <v>0</v>
      </c>
      <c r="AK465" s="23">
        <v>0</v>
      </c>
      <c r="AL465" s="23">
        <v>0</v>
      </c>
      <c r="AM465" s="23">
        <v>0</v>
      </c>
      <c r="AN465" s="23">
        <v>0</v>
      </c>
      <c r="AO465" s="23">
        <v>0</v>
      </c>
      <c r="AP465" s="23">
        <v>0</v>
      </c>
      <c r="AQ465" s="23">
        <v>0</v>
      </c>
      <c r="AR465" s="23">
        <v>0</v>
      </c>
      <c r="AS465" s="23">
        <v>0</v>
      </c>
      <c r="AT465" s="23">
        <v>0</v>
      </c>
      <c r="AU465" s="23">
        <v>0</v>
      </c>
      <c r="AV465" s="23">
        <v>0</v>
      </c>
      <c r="AW465" s="23">
        <v>0</v>
      </c>
      <c r="AX465" s="23">
        <v>0</v>
      </c>
      <c r="AY465" s="23">
        <v>0</v>
      </c>
      <c r="AZ465" s="23">
        <v>0</v>
      </c>
      <c r="BA465" s="23">
        <v>0</v>
      </c>
      <c r="BB465" s="23">
        <v>0</v>
      </c>
      <c r="BC465" s="23">
        <v>0</v>
      </c>
      <c r="BD465" s="23">
        <v>0</v>
      </c>
      <c r="BE465" s="23">
        <v>0</v>
      </c>
      <c r="BF465" s="23">
        <v>0</v>
      </c>
      <c r="BG465" s="23">
        <v>1</v>
      </c>
      <c r="BH465" s="23">
        <v>1</v>
      </c>
      <c r="BI465" s="23">
        <v>1</v>
      </c>
      <c r="BJ465" s="23">
        <v>1</v>
      </c>
      <c r="BK465" s="23">
        <v>1</v>
      </c>
      <c r="BL465" s="23">
        <v>1</v>
      </c>
      <c r="BM465" s="23">
        <v>1</v>
      </c>
      <c r="BN465" s="23">
        <v>1</v>
      </c>
      <c r="BO465" s="23">
        <v>1</v>
      </c>
      <c r="BP465" s="23">
        <f>$L465*AI465</f>
        <v>0</v>
      </c>
      <c r="BQ465" s="23">
        <f>$L465*AJ465</f>
        <v>0</v>
      </c>
      <c r="BR465" s="23">
        <f>$L465*AK465</f>
        <v>0</v>
      </c>
      <c r="BS465" s="23">
        <f>$L465*AL465</f>
        <v>0</v>
      </c>
      <c r="BT465" s="23">
        <f>$L465*AM465</f>
        <v>0</v>
      </c>
      <c r="BU465" s="23">
        <f>$L465*AN465</f>
        <v>0</v>
      </c>
      <c r="BV465" s="23">
        <f>$L465*AO465</f>
        <v>0</v>
      </c>
      <c r="BW465" s="23">
        <f>$L465*AP465</f>
        <v>0</v>
      </c>
      <c r="BX465" s="23">
        <f>$L465*AQ465</f>
        <v>0</v>
      </c>
      <c r="BY465" s="23">
        <f>$L465*AR465</f>
        <v>0</v>
      </c>
      <c r="BZ465" s="23">
        <f>$L465*AS465</f>
        <v>0</v>
      </c>
      <c r="CA465" s="23">
        <f>$L465*AT465</f>
        <v>0</v>
      </c>
      <c r="CB465" s="23">
        <f>$L465*AU465</f>
        <v>0</v>
      </c>
      <c r="CC465" s="23">
        <f>$L465*AV465</f>
        <v>0</v>
      </c>
      <c r="CD465" s="23">
        <f>$L465*AW465</f>
        <v>0</v>
      </c>
      <c r="CE465" s="23">
        <f>$L465*AX465</f>
        <v>0</v>
      </c>
      <c r="CF465" s="23">
        <f>$L465*AY465</f>
        <v>0</v>
      </c>
      <c r="CG465" s="23">
        <f>$L465*AZ465</f>
        <v>0</v>
      </c>
      <c r="CH465" s="23">
        <f>$L465*BA465</f>
        <v>0</v>
      </c>
      <c r="CI465" s="23">
        <f>$L465*BB465</f>
        <v>0</v>
      </c>
      <c r="CJ465" s="23">
        <f>$L465*BC465</f>
        <v>0</v>
      </c>
      <c r="CK465" s="23">
        <f>$L465*BD465</f>
        <v>0</v>
      </c>
      <c r="CL465" s="23">
        <f>$L465*BE465</f>
        <v>0</v>
      </c>
      <c r="CM465" s="23">
        <f>$L465*BF465</f>
        <v>0</v>
      </c>
      <c r="CN465" s="23">
        <f>$L465*BG465</f>
        <v>30</v>
      </c>
      <c r="CO465" s="23">
        <f>$L465*BH465</f>
        <v>30</v>
      </c>
      <c r="CP465" s="23">
        <f>$L465*BI465</f>
        <v>30</v>
      </c>
      <c r="CQ465" s="23">
        <f>$L465*BJ465</f>
        <v>30</v>
      </c>
      <c r="CR465" s="23">
        <f>$L465*BK465</f>
        <v>30</v>
      </c>
      <c r="CS465" s="23">
        <f>$L465*BL465</f>
        <v>30</v>
      </c>
      <c r="CT465" s="23">
        <f>$L465*BM465</f>
        <v>30</v>
      </c>
      <c r="CU465" s="23">
        <f>$L465*BN465</f>
        <v>30</v>
      </c>
      <c r="CV465" s="23">
        <f>$L465*BO465</f>
        <v>30</v>
      </c>
    </row>
    <row r="466" spans="1:100" ht="13.5" x14ac:dyDescent="0.15">
      <c r="A466" s="15">
        <v>729</v>
      </c>
      <c r="B466" s="27" t="s">
        <v>437</v>
      </c>
      <c r="C466" t="s">
        <v>414</v>
      </c>
      <c r="E466" t="s">
        <v>140</v>
      </c>
      <c r="F466" t="s">
        <v>415</v>
      </c>
      <c r="G466" t="s">
        <v>140</v>
      </c>
      <c r="H466" t="s">
        <v>141</v>
      </c>
      <c r="I466" s="6" t="s">
        <v>136</v>
      </c>
      <c r="J466" s="6">
        <v>0</v>
      </c>
      <c r="L466" s="15">
        <v>28</v>
      </c>
      <c r="N466" s="7">
        <v>46300</v>
      </c>
      <c r="O466" s="7">
        <v>46297</v>
      </c>
      <c r="P466" s="7">
        <v>46300</v>
      </c>
      <c r="S466" s="6" t="s">
        <v>140</v>
      </c>
      <c r="U466" s="6" t="s">
        <v>413</v>
      </c>
      <c r="V466" s="6" t="str">
        <f>TEXT(N466,"YY/MM")</f>
        <v>26/10</v>
      </c>
      <c r="W466">
        <v>1838</v>
      </c>
      <c r="AA466">
        <v>1191</v>
      </c>
      <c r="AC466">
        <v>1244</v>
      </c>
      <c r="AI466" s="23">
        <v>0</v>
      </c>
      <c r="AJ466" s="23">
        <v>0</v>
      </c>
      <c r="AK466" s="23">
        <v>0</v>
      </c>
      <c r="AL466" s="23">
        <v>0</v>
      </c>
      <c r="AM466" s="23">
        <v>0</v>
      </c>
      <c r="AN466" s="23">
        <v>0</v>
      </c>
      <c r="AO466" s="23">
        <v>0</v>
      </c>
      <c r="AP466" s="23">
        <v>0</v>
      </c>
      <c r="AQ466" s="23">
        <v>0</v>
      </c>
      <c r="AR466" s="23">
        <v>0</v>
      </c>
      <c r="AS466" s="23">
        <v>0</v>
      </c>
      <c r="AT466" s="23">
        <v>0</v>
      </c>
      <c r="AU466" s="23">
        <v>0</v>
      </c>
      <c r="AV466" s="23">
        <v>0</v>
      </c>
      <c r="AW466" s="23">
        <v>0</v>
      </c>
      <c r="AX466" s="23">
        <v>0</v>
      </c>
      <c r="AY466" s="23">
        <v>0</v>
      </c>
      <c r="AZ466" s="23">
        <v>0</v>
      </c>
      <c r="BA466" s="23">
        <v>0</v>
      </c>
      <c r="BB466" s="23">
        <v>0</v>
      </c>
      <c r="BC466" s="23">
        <v>0</v>
      </c>
      <c r="BD466" s="23">
        <v>0</v>
      </c>
      <c r="BE466" s="23">
        <v>0</v>
      </c>
      <c r="BF466" s="23">
        <v>0</v>
      </c>
      <c r="BG466" s="23">
        <v>1</v>
      </c>
      <c r="BH466" s="23">
        <v>1</v>
      </c>
      <c r="BI466" s="23">
        <v>1</v>
      </c>
      <c r="BJ466" s="23">
        <v>1</v>
      </c>
      <c r="BK466" s="23">
        <v>1</v>
      </c>
      <c r="BL466" s="23">
        <v>1</v>
      </c>
      <c r="BM466" s="23">
        <v>1</v>
      </c>
      <c r="BN466" s="23">
        <v>1</v>
      </c>
      <c r="BO466" s="23">
        <v>1</v>
      </c>
      <c r="BP466" s="23">
        <f>$L466*AI466</f>
        <v>0</v>
      </c>
      <c r="BQ466" s="23">
        <f>$L466*AJ466</f>
        <v>0</v>
      </c>
      <c r="BR466" s="23">
        <f>$L466*AK466</f>
        <v>0</v>
      </c>
      <c r="BS466" s="23">
        <f>$L466*AL466</f>
        <v>0</v>
      </c>
      <c r="BT466" s="23">
        <f>$L466*AM466</f>
        <v>0</v>
      </c>
      <c r="BU466" s="23">
        <f>$L466*AN466</f>
        <v>0</v>
      </c>
      <c r="BV466" s="23">
        <f>$L466*AO466</f>
        <v>0</v>
      </c>
      <c r="BW466" s="23">
        <f>$L466*AP466</f>
        <v>0</v>
      </c>
      <c r="BX466" s="23">
        <f>$L466*AQ466</f>
        <v>0</v>
      </c>
      <c r="BY466" s="23">
        <f>$L466*AR466</f>
        <v>0</v>
      </c>
      <c r="BZ466" s="23">
        <f>$L466*AS466</f>
        <v>0</v>
      </c>
      <c r="CA466" s="23">
        <f>$L466*AT466</f>
        <v>0</v>
      </c>
      <c r="CB466" s="23">
        <f>$L466*AU466</f>
        <v>0</v>
      </c>
      <c r="CC466" s="23">
        <f>$L466*AV466</f>
        <v>0</v>
      </c>
      <c r="CD466" s="23">
        <f>$L466*AW466</f>
        <v>0</v>
      </c>
      <c r="CE466" s="23">
        <f>$L466*AX466</f>
        <v>0</v>
      </c>
      <c r="CF466" s="23">
        <f>$L466*AY466</f>
        <v>0</v>
      </c>
      <c r="CG466" s="23">
        <f>$L466*AZ466</f>
        <v>0</v>
      </c>
      <c r="CH466" s="23">
        <f>$L466*BA466</f>
        <v>0</v>
      </c>
      <c r="CI466" s="23">
        <f>$L466*BB466</f>
        <v>0</v>
      </c>
      <c r="CJ466" s="23">
        <f>$L466*BC466</f>
        <v>0</v>
      </c>
      <c r="CK466" s="23">
        <f>$L466*BD466</f>
        <v>0</v>
      </c>
      <c r="CL466" s="23">
        <f>$L466*BE466</f>
        <v>0</v>
      </c>
      <c r="CM466" s="23">
        <f>$L466*BF466</f>
        <v>0</v>
      </c>
      <c r="CN466" s="23">
        <f>$L466*BG466</f>
        <v>28</v>
      </c>
      <c r="CO466" s="23">
        <f>$L466*BH466</f>
        <v>28</v>
      </c>
      <c r="CP466" s="23">
        <f>$L466*BI466</f>
        <v>28</v>
      </c>
      <c r="CQ466" s="23">
        <f>$L466*BJ466</f>
        <v>28</v>
      </c>
      <c r="CR466" s="23">
        <f>$L466*BK466</f>
        <v>28</v>
      </c>
      <c r="CS466" s="23">
        <f>$L466*BL466</f>
        <v>28</v>
      </c>
      <c r="CT466" s="23">
        <f>$L466*BM466</f>
        <v>28</v>
      </c>
      <c r="CU466" s="23">
        <f>$L466*BN466</f>
        <v>28</v>
      </c>
      <c r="CV466" s="23">
        <f>$L466*BO466</f>
        <v>28</v>
      </c>
    </row>
    <row r="467" spans="1:100" ht="13.5" x14ac:dyDescent="0.15">
      <c r="A467" s="15">
        <v>730</v>
      </c>
      <c r="B467" s="27" t="s">
        <v>438</v>
      </c>
      <c r="C467" t="s">
        <v>414</v>
      </c>
      <c r="E467" t="s">
        <v>140</v>
      </c>
      <c r="F467" t="s">
        <v>415</v>
      </c>
      <c r="G467" t="s">
        <v>140</v>
      </c>
      <c r="H467" t="s">
        <v>141</v>
      </c>
      <c r="I467" s="6" t="s">
        <v>136</v>
      </c>
      <c r="J467" s="6">
        <v>0</v>
      </c>
      <c r="L467" s="15">
        <v>27</v>
      </c>
      <c r="N467" s="7">
        <v>46308</v>
      </c>
      <c r="O467" s="7">
        <v>46307</v>
      </c>
      <c r="P467" s="7">
        <v>46308</v>
      </c>
      <c r="S467" s="6" t="s">
        <v>140</v>
      </c>
      <c r="U467" s="6" t="s">
        <v>413</v>
      </c>
      <c r="V467" s="6" t="str">
        <f>TEXT(N467,"YY/MM")</f>
        <v>26/10</v>
      </c>
      <c r="W467">
        <v>1839</v>
      </c>
      <c r="AA467">
        <v>1192</v>
      </c>
      <c r="AC467">
        <v>1245</v>
      </c>
      <c r="AI467" s="23">
        <v>0</v>
      </c>
      <c r="AJ467" s="23">
        <v>0</v>
      </c>
      <c r="AK467" s="23">
        <v>0</v>
      </c>
      <c r="AL467" s="23">
        <v>0</v>
      </c>
      <c r="AM467" s="23">
        <v>0</v>
      </c>
      <c r="AN467" s="23">
        <v>0</v>
      </c>
      <c r="AO467" s="23">
        <v>0</v>
      </c>
      <c r="AP467" s="23">
        <v>0</v>
      </c>
      <c r="AQ467" s="23">
        <v>0</v>
      </c>
      <c r="AR467" s="23">
        <v>0</v>
      </c>
      <c r="AS467" s="23">
        <v>0</v>
      </c>
      <c r="AT467" s="23">
        <v>0</v>
      </c>
      <c r="AU467" s="23">
        <v>0</v>
      </c>
      <c r="AV467" s="23">
        <v>0</v>
      </c>
      <c r="AW467" s="23">
        <v>0</v>
      </c>
      <c r="AX467" s="23">
        <v>0</v>
      </c>
      <c r="AY467" s="23">
        <v>0</v>
      </c>
      <c r="AZ467" s="23">
        <v>0</v>
      </c>
      <c r="BA467" s="23">
        <v>0</v>
      </c>
      <c r="BB467" s="23">
        <v>0</v>
      </c>
      <c r="BC467" s="23">
        <v>0</v>
      </c>
      <c r="BD467" s="23">
        <v>0</v>
      </c>
      <c r="BE467" s="23">
        <v>0</v>
      </c>
      <c r="BF467" s="23">
        <v>0</v>
      </c>
      <c r="BG467" s="23">
        <v>1</v>
      </c>
      <c r="BH467" s="23">
        <v>1</v>
      </c>
      <c r="BI467" s="23">
        <v>1</v>
      </c>
      <c r="BJ467" s="23">
        <v>1</v>
      </c>
      <c r="BK467" s="23">
        <v>1</v>
      </c>
      <c r="BL467" s="23">
        <v>1</v>
      </c>
      <c r="BM467" s="23">
        <v>1</v>
      </c>
      <c r="BN467" s="23">
        <v>1</v>
      </c>
      <c r="BO467" s="23">
        <v>1</v>
      </c>
      <c r="BP467" s="23">
        <f>$L467*AI467</f>
        <v>0</v>
      </c>
      <c r="BQ467" s="23">
        <f>$L467*AJ467</f>
        <v>0</v>
      </c>
      <c r="BR467" s="23">
        <f>$L467*AK467</f>
        <v>0</v>
      </c>
      <c r="BS467" s="23">
        <f>$L467*AL467</f>
        <v>0</v>
      </c>
      <c r="BT467" s="23">
        <f>$L467*AM467</f>
        <v>0</v>
      </c>
      <c r="BU467" s="23">
        <f>$L467*AN467</f>
        <v>0</v>
      </c>
      <c r="BV467" s="23">
        <f>$L467*AO467</f>
        <v>0</v>
      </c>
      <c r="BW467" s="23">
        <f>$L467*AP467</f>
        <v>0</v>
      </c>
      <c r="BX467" s="23">
        <f>$L467*AQ467</f>
        <v>0</v>
      </c>
      <c r="BY467" s="23">
        <f>$L467*AR467</f>
        <v>0</v>
      </c>
      <c r="BZ467" s="23">
        <f>$L467*AS467</f>
        <v>0</v>
      </c>
      <c r="CA467" s="23">
        <f>$L467*AT467</f>
        <v>0</v>
      </c>
      <c r="CB467" s="23">
        <f>$L467*AU467</f>
        <v>0</v>
      </c>
      <c r="CC467" s="23">
        <f>$L467*AV467</f>
        <v>0</v>
      </c>
      <c r="CD467" s="23">
        <f>$L467*AW467</f>
        <v>0</v>
      </c>
      <c r="CE467" s="23">
        <f>$L467*AX467</f>
        <v>0</v>
      </c>
      <c r="CF467" s="23">
        <f>$L467*AY467</f>
        <v>0</v>
      </c>
      <c r="CG467" s="23">
        <f>$L467*AZ467</f>
        <v>0</v>
      </c>
      <c r="CH467" s="23">
        <f>$L467*BA467</f>
        <v>0</v>
      </c>
      <c r="CI467" s="23">
        <f>$L467*BB467</f>
        <v>0</v>
      </c>
      <c r="CJ467" s="23">
        <f>$L467*BC467</f>
        <v>0</v>
      </c>
      <c r="CK467" s="23">
        <f>$L467*BD467</f>
        <v>0</v>
      </c>
      <c r="CL467" s="23">
        <f>$L467*BE467</f>
        <v>0</v>
      </c>
      <c r="CM467" s="23">
        <f>$L467*BF467</f>
        <v>0</v>
      </c>
      <c r="CN467" s="23">
        <f>$L467*BG467</f>
        <v>27</v>
      </c>
      <c r="CO467" s="23">
        <f>$L467*BH467</f>
        <v>27</v>
      </c>
      <c r="CP467" s="23">
        <f>$L467*BI467</f>
        <v>27</v>
      </c>
      <c r="CQ467" s="23">
        <f>$L467*BJ467</f>
        <v>27</v>
      </c>
      <c r="CR467" s="23">
        <f>$L467*BK467</f>
        <v>27</v>
      </c>
      <c r="CS467" s="23">
        <f>$L467*BL467</f>
        <v>27</v>
      </c>
      <c r="CT467" s="23">
        <f>$L467*BM467</f>
        <v>27</v>
      </c>
      <c r="CU467" s="23">
        <f>$L467*BN467</f>
        <v>27</v>
      </c>
      <c r="CV467" s="23">
        <f>$L467*BO467</f>
        <v>27</v>
      </c>
    </row>
    <row r="468" spans="1:100" ht="13.5" x14ac:dyDescent="0.15">
      <c r="A468" s="15">
        <v>731</v>
      </c>
      <c r="B468" s="27" t="s">
        <v>439</v>
      </c>
      <c r="C468" t="s">
        <v>414</v>
      </c>
      <c r="E468" t="s">
        <v>140</v>
      </c>
      <c r="F468" t="s">
        <v>415</v>
      </c>
      <c r="G468" t="s">
        <v>140</v>
      </c>
      <c r="H468" t="s">
        <v>141</v>
      </c>
      <c r="I468" s="6" t="s">
        <v>136</v>
      </c>
      <c r="J468" s="6">
        <v>0</v>
      </c>
      <c r="L468" s="15">
        <v>27</v>
      </c>
      <c r="N468" s="7">
        <v>46314</v>
      </c>
      <c r="O468" s="7">
        <v>46311</v>
      </c>
      <c r="P468" s="7">
        <v>46314</v>
      </c>
      <c r="S468" s="6" t="s">
        <v>140</v>
      </c>
      <c r="U468" s="6" t="s">
        <v>413</v>
      </c>
      <c r="V468" s="6" t="str">
        <f>TEXT(N468,"YY/MM")</f>
        <v>26/10</v>
      </c>
      <c r="W468">
        <v>1840</v>
      </c>
      <c r="AA468">
        <v>1193</v>
      </c>
      <c r="AC468">
        <v>1246</v>
      </c>
      <c r="AI468" s="23">
        <v>0</v>
      </c>
      <c r="AJ468" s="23">
        <v>0</v>
      </c>
      <c r="AK468" s="23">
        <v>0</v>
      </c>
      <c r="AL468" s="23">
        <v>0</v>
      </c>
      <c r="AM468" s="23">
        <v>0</v>
      </c>
      <c r="AN468" s="23">
        <v>0</v>
      </c>
      <c r="AO468" s="23">
        <v>0</v>
      </c>
      <c r="AP468" s="23">
        <v>0</v>
      </c>
      <c r="AQ468" s="23">
        <v>0</v>
      </c>
      <c r="AR468" s="23">
        <v>0</v>
      </c>
      <c r="AS468" s="23">
        <v>0</v>
      </c>
      <c r="AT468" s="23">
        <v>0</v>
      </c>
      <c r="AU468" s="23">
        <v>0</v>
      </c>
      <c r="AV468" s="23">
        <v>0</v>
      </c>
      <c r="AW468" s="23">
        <v>0</v>
      </c>
      <c r="AX468" s="23">
        <v>0</v>
      </c>
      <c r="AY468" s="23">
        <v>0</v>
      </c>
      <c r="AZ468" s="23">
        <v>0</v>
      </c>
      <c r="BA468" s="23">
        <v>0</v>
      </c>
      <c r="BB468" s="23">
        <v>0</v>
      </c>
      <c r="BC468" s="23">
        <v>0</v>
      </c>
      <c r="BD468" s="23">
        <v>0</v>
      </c>
      <c r="BE468" s="23">
        <v>0</v>
      </c>
      <c r="BF468" s="23">
        <v>0</v>
      </c>
      <c r="BG468" s="23">
        <v>1</v>
      </c>
      <c r="BH468" s="23">
        <v>1</v>
      </c>
      <c r="BI468" s="23">
        <v>1</v>
      </c>
      <c r="BJ468" s="23">
        <v>1</v>
      </c>
      <c r="BK468" s="23">
        <v>1</v>
      </c>
      <c r="BL468" s="23">
        <v>1</v>
      </c>
      <c r="BM468" s="23">
        <v>1</v>
      </c>
      <c r="BN468" s="23">
        <v>1</v>
      </c>
      <c r="BO468" s="23">
        <v>1</v>
      </c>
      <c r="BP468" s="23">
        <f>$L468*AI468</f>
        <v>0</v>
      </c>
      <c r="BQ468" s="23">
        <f>$L468*AJ468</f>
        <v>0</v>
      </c>
      <c r="BR468" s="23">
        <f>$L468*AK468</f>
        <v>0</v>
      </c>
      <c r="BS468" s="23">
        <f>$L468*AL468</f>
        <v>0</v>
      </c>
      <c r="BT468" s="23">
        <f>$L468*AM468</f>
        <v>0</v>
      </c>
      <c r="BU468" s="23">
        <f>$L468*AN468</f>
        <v>0</v>
      </c>
      <c r="BV468" s="23">
        <f>$L468*AO468</f>
        <v>0</v>
      </c>
      <c r="BW468" s="23">
        <f>$L468*AP468</f>
        <v>0</v>
      </c>
      <c r="BX468" s="23">
        <f>$L468*AQ468</f>
        <v>0</v>
      </c>
      <c r="BY468" s="23">
        <f>$L468*AR468</f>
        <v>0</v>
      </c>
      <c r="BZ468" s="23">
        <f>$L468*AS468</f>
        <v>0</v>
      </c>
      <c r="CA468" s="23">
        <f>$L468*AT468</f>
        <v>0</v>
      </c>
      <c r="CB468" s="23">
        <f>$L468*AU468</f>
        <v>0</v>
      </c>
      <c r="CC468" s="23">
        <f>$L468*AV468</f>
        <v>0</v>
      </c>
      <c r="CD468" s="23">
        <f>$L468*AW468</f>
        <v>0</v>
      </c>
      <c r="CE468" s="23">
        <f>$L468*AX468</f>
        <v>0</v>
      </c>
      <c r="CF468" s="23">
        <f>$L468*AY468</f>
        <v>0</v>
      </c>
      <c r="CG468" s="23">
        <f>$L468*AZ468</f>
        <v>0</v>
      </c>
      <c r="CH468" s="23">
        <f>$L468*BA468</f>
        <v>0</v>
      </c>
      <c r="CI468" s="23">
        <f>$L468*BB468</f>
        <v>0</v>
      </c>
      <c r="CJ468" s="23">
        <f>$L468*BC468</f>
        <v>0</v>
      </c>
      <c r="CK468" s="23">
        <f>$L468*BD468</f>
        <v>0</v>
      </c>
      <c r="CL468" s="23">
        <f>$L468*BE468</f>
        <v>0</v>
      </c>
      <c r="CM468" s="23">
        <f>$L468*BF468</f>
        <v>0</v>
      </c>
      <c r="CN468" s="23">
        <f>$L468*BG468</f>
        <v>27</v>
      </c>
      <c r="CO468" s="23">
        <f>$L468*BH468</f>
        <v>27</v>
      </c>
      <c r="CP468" s="23">
        <f>$L468*BI468</f>
        <v>27</v>
      </c>
      <c r="CQ468" s="23">
        <f>$L468*BJ468</f>
        <v>27</v>
      </c>
      <c r="CR468" s="23">
        <f>$L468*BK468</f>
        <v>27</v>
      </c>
      <c r="CS468" s="23">
        <f>$L468*BL468</f>
        <v>27</v>
      </c>
      <c r="CT468" s="23">
        <f>$L468*BM468</f>
        <v>27</v>
      </c>
      <c r="CU468" s="23">
        <f>$L468*BN468</f>
        <v>27</v>
      </c>
      <c r="CV468" s="23">
        <f>$L468*BO468</f>
        <v>27</v>
      </c>
    </row>
    <row r="469" spans="1:100" ht="13.5" x14ac:dyDescent="0.15">
      <c r="A469" s="15">
        <v>732</v>
      </c>
      <c r="B469" s="27" t="s">
        <v>440</v>
      </c>
      <c r="C469" t="s">
        <v>414</v>
      </c>
      <c r="E469" t="s">
        <v>140</v>
      </c>
      <c r="F469" t="s">
        <v>415</v>
      </c>
      <c r="G469" t="s">
        <v>140</v>
      </c>
      <c r="H469" t="s">
        <v>141</v>
      </c>
      <c r="I469" s="6" t="s">
        <v>136</v>
      </c>
      <c r="J469" s="6">
        <v>0</v>
      </c>
      <c r="L469" s="15">
        <v>23</v>
      </c>
      <c r="N469" s="7">
        <v>46321</v>
      </c>
      <c r="O469" s="7">
        <v>46318</v>
      </c>
      <c r="P469" s="7">
        <v>46321</v>
      </c>
      <c r="S469" s="6" t="s">
        <v>140</v>
      </c>
      <c r="U469" s="6" t="s">
        <v>413</v>
      </c>
      <c r="V469" s="6" t="str">
        <f>TEXT(N469,"YY/MM")</f>
        <v>26/10</v>
      </c>
      <c r="W469">
        <v>1841</v>
      </c>
      <c r="AA469">
        <v>1194</v>
      </c>
      <c r="AC469">
        <v>1247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3">
        <v>0</v>
      </c>
      <c r="AU469" s="23">
        <v>0</v>
      </c>
      <c r="AV469" s="23">
        <v>0</v>
      </c>
      <c r="AW469" s="23">
        <v>0</v>
      </c>
      <c r="AX469" s="23">
        <v>0</v>
      </c>
      <c r="AY469" s="23">
        <v>0</v>
      </c>
      <c r="AZ469" s="23">
        <v>0</v>
      </c>
      <c r="BA469" s="23">
        <v>0</v>
      </c>
      <c r="BB469" s="23">
        <v>0</v>
      </c>
      <c r="BC469" s="23">
        <v>0</v>
      </c>
      <c r="BD469" s="23">
        <v>0</v>
      </c>
      <c r="BE469" s="23">
        <v>0</v>
      </c>
      <c r="BF469" s="23">
        <v>0</v>
      </c>
      <c r="BG469" s="23">
        <v>1</v>
      </c>
      <c r="BH469" s="23">
        <v>1</v>
      </c>
      <c r="BI469" s="23">
        <v>1</v>
      </c>
      <c r="BJ469" s="23">
        <v>1</v>
      </c>
      <c r="BK469" s="23">
        <v>1</v>
      </c>
      <c r="BL469" s="23">
        <v>1</v>
      </c>
      <c r="BM469" s="23">
        <v>1</v>
      </c>
      <c r="BN469" s="23">
        <v>1</v>
      </c>
      <c r="BO469" s="23">
        <v>1</v>
      </c>
      <c r="BP469" s="23">
        <f>$L469*AI469</f>
        <v>0</v>
      </c>
      <c r="BQ469" s="23">
        <f>$L469*AJ469</f>
        <v>0</v>
      </c>
      <c r="BR469" s="23">
        <f>$L469*AK469</f>
        <v>0</v>
      </c>
      <c r="BS469" s="23">
        <f>$L469*AL469</f>
        <v>0</v>
      </c>
      <c r="BT469" s="23">
        <f>$L469*AM469</f>
        <v>0</v>
      </c>
      <c r="BU469" s="23">
        <f>$L469*AN469</f>
        <v>0</v>
      </c>
      <c r="BV469" s="23">
        <f>$L469*AO469</f>
        <v>0</v>
      </c>
      <c r="BW469" s="23">
        <f>$L469*AP469</f>
        <v>0</v>
      </c>
      <c r="BX469" s="23">
        <f>$L469*AQ469</f>
        <v>0</v>
      </c>
      <c r="BY469" s="23">
        <f>$L469*AR469</f>
        <v>0</v>
      </c>
      <c r="BZ469" s="23">
        <f>$L469*AS469</f>
        <v>0</v>
      </c>
      <c r="CA469" s="23">
        <f>$L469*AT469</f>
        <v>0</v>
      </c>
      <c r="CB469" s="23">
        <f>$L469*AU469</f>
        <v>0</v>
      </c>
      <c r="CC469" s="23">
        <f>$L469*AV469</f>
        <v>0</v>
      </c>
      <c r="CD469" s="23">
        <f>$L469*AW469</f>
        <v>0</v>
      </c>
      <c r="CE469" s="23">
        <f>$L469*AX469</f>
        <v>0</v>
      </c>
      <c r="CF469" s="23">
        <f>$L469*AY469</f>
        <v>0</v>
      </c>
      <c r="CG469" s="23">
        <f>$L469*AZ469</f>
        <v>0</v>
      </c>
      <c r="CH469" s="23">
        <f>$L469*BA469</f>
        <v>0</v>
      </c>
      <c r="CI469" s="23">
        <f>$L469*BB469</f>
        <v>0</v>
      </c>
      <c r="CJ469" s="23">
        <f>$L469*BC469</f>
        <v>0</v>
      </c>
      <c r="CK469" s="23">
        <f>$L469*BD469</f>
        <v>0</v>
      </c>
      <c r="CL469" s="23">
        <f>$L469*BE469</f>
        <v>0</v>
      </c>
      <c r="CM469" s="23">
        <f>$L469*BF469</f>
        <v>0</v>
      </c>
      <c r="CN469" s="23">
        <f>$L469*BG469</f>
        <v>23</v>
      </c>
      <c r="CO469" s="23">
        <f>$L469*BH469</f>
        <v>23</v>
      </c>
      <c r="CP469" s="23">
        <f>$L469*BI469</f>
        <v>23</v>
      </c>
      <c r="CQ469" s="23">
        <f>$L469*BJ469</f>
        <v>23</v>
      </c>
      <c r="CR469" s="23">
        <f>$L469*BK469</f>
        <v>23</v>
      </c>
      <c r="CS469" s="23">
        <f>$L469*BL469</f>
        <v>23</v>
      </c>
      <c r="CT469" s="23">
        <f>$L469*BM469</f>
        <v>23</v>
      </c>
      <c r="CU469" s="23">
        <f>$L469*BN469</f>
        <v>23</v>
      </c>
      <c r="CV469" s="23">
        <f>$L469*BO469</f>
        <v>23</v>
      </c>
    </row>
    <row r="470" spans="1:100" ht="13.5" x14ac:dyDescent="0.15">
      <c r="A470" s="15">
        <v>733</v>
      </c>
      <c r="B470" s="27" t="s">
        <v>131</v>
      </c>
      <c r="C470" t="s">
        <v>132</v>
      </c>
      <c r="E470" t="s">
        <v>133</v>
      </c>
      <c r="F470" t="s">
        <v>134</v>
      </c>
      <c r="G470" t="s">
        <v>133</v>
      </c>
      <c r="H470" t="s">
        <v>135</v>
      </c>
      <c r="I470" s="6" t="s">
        <v>136</v>
      </c>
      <c r="J470" s="6">
        <v>1</v>
      </c>
      <c r="L470" s="15">
        <v>25</v>
      </c>
      <c r="N470" s="7">
        <v>46328</v>
      </c>
      <c r="O470" s="7">
        <v>46325</v>
      </c>
      <c r="P470" s="7">
        <v>46328</v>
      </c>
      <c r="S470" s="6" t="s">
        <v>133</v>
      </c>
      <c r="U470" s="6" t="s">
        <v>413</v>
      </c>
      <c r="V470" s="6" t="str">
        <f>TEXT(N470,"YY/MM")</f>
        <v>26/11</v>
      </c>
      <c r="W470">
        <v>1842</v>
      </c>
      <c r="AB470">
        <v>651</v>
      </c>
      <c r="AD470">
        <v>598</v>
      </c>
      <c r="AI470" s="23">
        <v>0</v>
      </c>
      <c r="AJ470" s="23">
        <v>0</v>
      </c>
      <c r="AK470" s="23">
        <v>0</v>
      </c>
      <c r="AL470" s="23">
        <v>0</v>
      </c>
      <c r="AM470" s="23">
        <v>0</v>
      </c>
      <c r="AN470" s="23">
        <v>0</v>
      </c>
      <c r="AO470" s="23">
        <v>0</v>
      </c>
      <c r="AP470" s="23">
        <v>0</v>
      </c>
      <c r="AQ470" s="23">
        <v>0</v>
      </c>
      <c r="AR470" s="23">
        <v>0</v>
      </c>
      <c r="AS470" s="23">
        <v>0</v>
      </c>
      <c r="AT470" s="23">
        <v>0</v>
      </c>
      <c r="AU470" s="23">
        <v>0</v>
      </c>
      <c r="AV470" s="23">
        <v>0</v>
      </c>
      <c r="AW470" s="23">
        <v>0</v>
      </c>
      <c r="AX470" s="23">
        <v>0</v>
      </c>
      <c r="AY470" s="23">
        <v>0</v>
      </c>
      <c r="AZ470" s="23">
        <v>0</v>
      </c>
      <c r="BA470" s="23">
        <v>0</v>
      </c>
      <c r="BB470" s="23">
        <v>0</v>
      </c>
      <c r="BC470" s="23">
        <v>0</v>
      </c>
      <c r="BD470" s="23">
        <v>0</v>
      </c>
      <c r="BE470" s="23">
        <v>0</v>
      </c>
      <c r="BF470" s="23">
        <v>0</v>
      </c>
      <c r="BG470" s="23">
        <v>1</v>
      </c>
      <c r="BH470" s="23">
        <v>1</v>
      </c>
      <c r="BI470" s="23">
        <v>1</v>
      </c>
      <c r="BJ470" s="23">
        <v>1</v>
      </c>
      <c r="BK470" s="23">
        <v>1</v>
      </c>
      <c r="BL470" s="23">
        <v>1</v>
      </c>
      <c r="BM470" s="23">
        <v>1</v>
      </c>
      <c r="BN470" s="23">
        <v>1</v>
      </c>
      <c r="BO470" s="23">
        <v>0</v>
      </c>
      <c r="BP470" s="23">
        <f>$L470*AI470</f>
        <v>0</v>
      </c>
      <c r="BQ470" s="23">
        <f>$L470*AJ470</f>
        <v>0</v>
      </c>
      <c r="BR470" s="23">
        <f>$L470*AK470</f>
        <v>0</v>
      </c>
      <c r="BS470" s="23">
        <f>$L470*AL470</f>
        <v>0</v>
      </c>
      <c r="BT470" s="23">
        <f>$L470*AM470</f>
        <v>0</v>
      </c>
      <c r="BU470" s="23">
        <f>$L470*AN470</f>
        <v>0</v>
      </c>
      <c r="BV470" s="23">
        <f>$L470*AO470</f>
        <v>0</v>
      </c>
      <c r="BW470" s="23">
        <f>$L470*AP470</f>
        <v>0</v>
      </c>
      <c r="BX470" s="23">
        <f>$L470*AQ470</f>
        <v>0</v>
      </c>
      <c r="BY470" s="23">
        <f>$L470*AR470</f>
        <v>0</v>
      </c>
      <c r="BZ470" s="23">
        <f>$L470*AS470</f>
        <v>0</v>
      </c>
      <c r="CA470" s="23">
        <f>$L470*AT470</f>
        <v>0</v>
      </c>
      <c r="CB470" s="23">
        <f>$L470*AU470</f>
        <v>0</v>
      </c>
      <c r="CC470" s="23">
        <f>$L470*AV470</f>
        <v>0</v>
      </c>
      <c r="CD470" s="23">
        <f>$L470*AW470</f>
        <v>0</v>
      </c>
      <c r="CE470" s="23">
        <f>$L470*AX470</f>
        <v>0</v>
      </c>
      <c r="CF470" s="23">
        <f>$L470*AY470</f>
        <v>0</v>
      </c>
      <c r="CG470" s="23">
        <f>$L470*AZ470</f>
        <v>0</v>
      </c>
      <c r="CH470" s="23">
        <f>$L470*BA470</f>
        <v>0</v>
      </c>
      <c r="CI470" s="23">
        <f>$L470*BB470</f>
        <v>0</v>
      </c>
      <c r="CJ470" s="23">
        <f>$L470*BC470</f>
        <v>0</v>
      </c>
      <c r="CK470" s="23">
        <f>$L470*BD470</f>
        <v>0</v>
      </c>
      <c r="CL470" s="23">
        <f>$L470*BE470</f>
        <v>0</v>
      </c>
      <c r="CM470" s="23">
        <f>$L470*BF470</f>
        <v>0</v>
      </c>
      <c r="CN470" s="23">
        <f>$L470*BG470</f>
        <v>25</v>
      </c>
      <c r="CO470" s="23">
        <f>$L470*BH470</f>
        <v>25</v>
      </c>
      <c r="CP470" s="23">
        <f>$L470*BI470</f>
        <v>25</v>
      </c>
      <c r="CQ470" s="23">
        <f>$L470*BJ470</f>
        <v>25</v>
      </c>
      <c r="CR470" s="23">
        <f>$L470*BK470</f>
        <v>25</v>
      </c>
      <c r="CS470" s="23">
        <f>$L470*BL470</f>
        <v>25</v>
      </c>
      <c r="CT470" s="23">
        <f>$L470*BM470</f>
        <v>25</v>
      </c>
      <c r="CU470" s="23">
        <f>$L470*BN470</f>
        <v>25</v>
      </c>
      <c r="CV470" s="23">
        <f>$L470*BO470</f>
        <v>0</v>
      </c>
    </row>
    <row r="471" spans="1:100" ht="13.5" x14ac:dyDescent="0.15">
      <c r="A471" s="15">
        <v>734</v>
      </c>
      <c r="B471" s="27" t="s">
        <v>441</v>
      </c>
      <c r="C471" t="s">
        <v>153</v>
      </c>
      <c r="D471" t="s">
        <v>427</v>
      </c>
      <c r="E471" t="s">
        <v>139</v>
      </c>
      <c r="F471" t="s">
        <v>134</v>
      </c>
      <c r="G471" t="s">
        <v>140</v>
      </c>
      <c r="H471" t="s">
        <v>141</v>
      </c>
      <c r="I471" s="6" t="s">
        <v>136</v>
      </c>
      <c r="J471" s="6">
        <v>0</v>
      </c>
      <c r="L471" s="15">
        <v>7</v>
      </c>
      <c r="N471" s="7">
        <v>46328</v>
      </c>
      <c r="O471" s="7">
        <v>46325</v>
      </c>
      <c r="P471" s="7">
        <v>46328</v>
      </c>
      <c r="S471" s="6" t="s">
        <v>140</v>
      </c>
      <c r="U471" s="6" t="s">
        <v>413</v>
      </c>
      <c r="V471" s="6" t="str">
        <f>TEXT(N471,"YY/MM")</f>
        <v>26/11</v>
      </c>
      <c r="W471">
        <v>1843</v>
      </c>
      <c r="AA471">
        <v>1195</v>
      </c>
      <c r="AC471">
        <v>1248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  <c r="AO471" s="23">
        <v>0</v>
      </c>
      <c r="AP471" s="23">
        <v>0</v>
      </c>
      <c r="AQ471" s="23">
        <v>0</v>
      </c>
      <c r="AR471" s="23">
        <v>0</v>
      </c>
      <c r="AS471" s="23">
        <v>0</v>
      </c>
      <c r="AT471" s="23">
        <v>0</v>
      </c>
      <c r="AU471" s="23">
        <v>0</v>
      </c>
      <c r="AV471" s="23">
        <v>0</v>
      </c>
      <c r="AW471" s="23">
        <v>0</v>
      </c>
      <c r="AX471" s="23">
        <v>0</v>
      </c>
      <c r="AY471" s="23">
        <v>0</v>
      </c>
      <c r="AZ471" s="23">
        <v>0</v>
      </c>
      <c r="BA471" s="23">
        <v>0</v>
      </c>
      <c r="BB471" s="23">
        <v>0</v>
      </c>
      <c r="BC471" s="23">
        <v>0</v>
      </c>
      <c r="BD471" s="23">
        <v>0</v>
      </c>
      <c r="BE471" s="23">
        <v>0</v>
      </c>
      <c r="BF471" s="23">
        <v>0</v>
      </c>
      <c r="BG471" s="23">
        <v>1</v>
      </c>
      <c r="BH471" s="23">
        <v>1</v>
      </c>
      <c r="BI471" s="23">
        <v>1</v>
      </c>
      <c r="BJ471" s="23">
        <v>1</v>
      </c>
      <c r="BK471" s="23">
        <v>1</v>
      </c>
      <c r="BL471" s="23">
        <v>1</v>
      </c>
      <c r="BM471" s="23">
        <v>1</v>
      </c>
      <c r="BN471" s="23">
        <v>1</v>
      </c>
      <c r="BO471" s="23">
        <v>1</v>
      </c>
      <c r="BP471" s="23">
        <f>$L471*AI471</f>
        <v>0</v>
      </c>
      <c r="BQ471" s="23">
        <f>$L471*AJ471</f>
        <v>0</v>
      </c>
      <c r="BR471" s="23">
        <f>$L471*AK471</f>
        <v>0</v>
      </c>
      <c r="BS471" s="23">
        <f>$L471*AL471</f>
        <v>0</v>
      </c>
      <c r="BT471" s="23">
        <f>$L471*AM471</f>
        <v>0</v>
      </c>
      <c r="BU471" s="23">
        <f>$L471*AN471</f>
        <v>0</v>
      </c>
      <c r="BV471" s="23">
        <f>$L471*AO471</f>
        <v>0</v>
      </c>
      <c r="BW471" s="23">
        <f>$L471*AP471</f>
        <v>0</v>
      </c>
      <c r="BX471" s="23">
        <f>$L471*AQ471</f>
        <v>0</v>
      </c>
      <c r="BY471" s="23">
        <f>$L471*AR471</f>
        <v>0</v>
      </c>
      <c r="BZ471" s="23">
        <f>$L471*AS471</f>
        <v>0</v>
      </c>
      <c r="CA471" s="23">
        <f>$L471*AT471</f>
        <v>0</v>
      </c>
      <c r="CB471" s="23">
        <f>$L471*AU471</f>
        <v>0</v>
      </c>
      <c r="CC471" s="23">
        <f>$L471*AV471</f>
        <v>0</v>
      </c>
      <c r="CD471" s="23">
        <f>$L471*AW471</f>
        <v>0</v>
      </c>
      <c r="CE471" s="23">
        <f>$L471*AX471</f>
        <v>0</v>
      </c>
      <c r="CF471" s="23">
        <f>$L471*AY471</f>
        <v>0</v>
      </c>
      <c r="CG471" s="23">
        <f>$L471*AZ471</f>
        <v>0</v>
      </c>
      <c r="CH471" s="23">
        <f>$L471*BA471</f>
        <v>0</v>
      </c>
      <c r="CI471" s="23">
        <f>$L471*BB471</f>
        <v>0</v>
      </c>
      <c r="CJ471" s="23">
        <f>$L471*BC471</f>
        <v>0</v>
      </c>
      <c r="CK471" s="23">
        <f>$L471*BD471</f>
        <v>0</v>
      </c>
      <c r="CL471" s="23">
        <f>$L471*BE471</f>
        <v>0</v>
      </c>
      <c r="CM471" s="23">
        <f>$L471*BF471</f>
        <v>0</v>
      </c>
      <c r="CN471" s="23">
        <f>$L471*BG471</f>
        <v>7</v>
      </c>
      <c r="CO471" s="23">
        <f>$L471*BH471</f>
        <v>7</v>
      </c>
      <c r="CP471" s="23">
        <f>$L471*BI471</f>
        <v>7</v>
      </c>
      <c r="CQ471" s="23">
        <f>$L471*BJ471</f>
        <v>7</v>
      </c>
      <c r="CR471" s="23">
        <f>$L471*BK471</f>
        <v>7</v>
      </c>
      <c r="CS471" s="23">
        <f>$L471*BL471</f>
        <v>7</v>
      </c>
      <c r="CT471" s="23">
        <f>$L471*BM471</f>
        <v>7</v>
      </c>
      <c r="CU471" s="23">
        <f>$L471*BN471</f>
        <v>7</v>
      </c>
      <c r="CV471" s="23">
        <f>$L471*BO471</f>
        <v>7</v>
      </c>
    </row>
    <row r="472" spans="1:100" ht="13.5" x14ac:dyDescent="0.15">
      <c r="A472" s="15">
        <v>737</v>
      </c>
      <c r="B472" s="27" t="s">
        <v>443</v>
      </c>
      <c r="C472" t="s">
        <v>444</v>
      </c>
      <c r="E472" t="s">
        <v>139</v>
      </c>
      <c r="F472" t="s">
        <v>134</v>
      </c>
      <c r="G472" t="s">
        <v>140</v>
      </c>
      <c r="H472" t="s">
        <v>141</v>
      </c>
      <c r="I472" s="6" t="s">
        <v>136</v>
      </c>
      <c r="J472" s="6">
        <v>0</v>
      </c>
      <c r="K472" t="s">
        <v>142</v>
      </c>
      <c r="L472" s="15">
        <v>1</v>
      </c>
      <c r="N472" s="7">
        <v>46328</v>
      </c>
      <c r="O472" s="7">
        <v>46325</v>
      </c>
      <c r="P472" s="7">
        <v>46328</v>
      </c>
      <c r="S472" s="6" t="s">
        <v>140</v>
      </c>
      <c r="U472" s="6" t="s">
        <v>413</v>
      </c>
      <c r="V472" s="6" t="str">
        <f>TEXT(N472,"YY/MM")</f>
        <v>26/11</v>
      </c>
      <c r="W472">
        <v>1844</v>
      </c>
      <c r="AA472">
        <v>1196</v>
      </c>
      <c r="AC472">
        <v>1249</v>
      </c>
      <c r="AI472" s="23">
        <v>0</v>
      </c>
      <c r="AJ472" s="23">
        <v>0</v>
      </c>
      <c r="AK472" s="23">
        <v>0</v>
      </c>
      <c r="AL472" s="23">
        <v>0</v>
      </c>
      <c r="AM472" s="23">
        <v>0</v>
      </c>
      <c r="AN472" s="23">
        <v>0</v>
      </c>
      <c r="AO472" s="23">
        <v>0</v>
      </c>
      <c r="AP472" s="23">
        <v>0</v>
      </c>
      <c r="AQ472" s="23">
        <v>0</v>
      </c>
      <c r="AR472" s="23">
        <v>0</v>
      </c>
      <c r="AS472" s="23">
        <v>0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0</v>
      </c>
      <c r="BA472" s="23">
        <v>0</v>
      </c>
      <c r="BB472" s="23">
        <v>0</v>
      </c>
      <c r="BC472" s="23">
        <v>0</v>
      </c>
      <c r="BD472" s="23">
        <v>0</v>
      </c>
      <c r="BE472" s="23">
        <v>0</v>
      </c>
      <c r="BF472" s="23">
        <v>0</v>
      </c>
      <c r="BG472" s="23">
        <v>1</v>
      </c>
      <c r="BH472" s="23">
        <v>1</v>
      </c>
      <c r="BI472" s="23">
        <v>1</v>
      </c>
      <c r="BJ472" s="23">
        <v>1</v>
      </c>
      <c r="BK472" s="23">
        <v>1</v>
      </c>
      <c r="BL472" s="23">
        <v>1</v>
      </c>
      <c r="BM472" s="23">
        <v>1</v>
      </c>
      <c r="BN472" s="23">
        <v>1</v>
      </c>
      <c r="BO472" s="23">
        <v>1</v>
      </c>
      <c r="BP472" s="23">
        <f>$L472*AI472</f>
        <v>0</v>
      </c>
      <c r="BQ472" s="23">
        <f>$L472*AJ472</f>
        <v>0</v>
      </c>
      <c r="BR472" s="23">
        <f>$L472*AK472</f>
        <v>0</v>
      </c>
      <c r="BS472" s="23">
        <f>$L472*AL472</f>
        <v>0</v>
      </c>
      <c r="BT472" s="23">
        <f>$L472*AM472</f>
        <v>0</v>
      </c>
      <c r="BU472" s="23">
        <f>$L472*AN472</f>
        <v>0</v>
      </c>
      <c r="BV472" s="23">
        <f>$L472*AO472</f>
        <v>0</v>
      </c>
      <c r="BW472" s="23">
        <f>$L472*AP472</f>
        <v>0</v>
      </c>
      <c r="BX472" s="23">
        <f>$L472*AQ472</f>
        <v>0</v>
      </c>
      <c r="BY472" s="23">
        <f>$L472*AR472</f>
        <v>0</v>
      </c>
      <c r="BZ472" s="23">
        <f>$L472*AS472</f>
        <v>0</v>
      </c>
      <c r="CA472" s="23">
        <f>$L472*AT472</f>
        <v>0</v>
      </c>
      <c r="CB472" s="23">
        <f>$L472*AU472</f>
        <v>0</v>
      </c>
      <c r="CC472" s="23">
        <f>$L472*AV472</f>
        <v>0</v>
      </c>
      <c r="CD472" s="23">
        <f>$L472*AW472</f>
        <v>0</v>
      </c>
      <c r="CE472" s="23">
        <f>$L472*AX472</f>
        <v>0</v>
      </c>
      <c r="CF472" s="23">
        <f>$L472*AY472</f>
        <v>0</v>
      </c>
      <c r="CG472" s="23">
        <f>$L472*AZ472</f>
        <v>0</v>
      </c>
      <c r="CH472" s="23">
        <f>$L472*BA472</f>
        <v>0</v>
      </c>
      <c r="CI472" s="23">
        <f>$L472*BB472</f>
        <v>0</v>
      </c>
      <c r="CJ472" s="23">
        <f>$L472*BC472</f>
        <v>0</v>
      </c>
      <c r="CK472" s="23">
        <f>$L472*BD472</f>
        <v>0</v>
      </c>
      <c r="CL472" s="23">
        <f>$L472*BE472</f>
        <v>0</v>
      </c>
      <c r="CM472" s="23">
        <f>$L472*BF472</f>
        <v>0</v>
      </c>
      <c r="CN472" s="23">
        <f>$L472*BG472</f>
        <v>1</v>
      </c>
      <c r="CO472" s="23">
        <f>$L472*BH472</f>
        <v>1</v>
      </c>
      <c r="CP472" s="23">
        <f>$L472*BI472</f>
        <v>1</v>
      </c>
      <c r="CQ472" s="23">
        <f>$L472*BJ472</f>
        <v>1</v>
      </c>
      <c r="CR472" s="23">
        <f>$L472*BK472</f>
        <v>1</v>
      </c>
      <c r="CS472" s="23">
        <f>$L472*BL472</f>
        <v>1</v>
      </c>
      <c r="CT472" s="23">
        <f>$L472*BM472</f>
        <v>1</v>
      </c>
      <c r="CU472" s="23">
        <f>$L472*BN472</f>
        <v>1</v>
      </c>
      <c r="CV472" s="23">
        <f>$L472*BO472</f>
        <v>1</v>
      </c>
    </row>
    <row r="473" spans="1:100" ht="13.5" x14ac:dyDescent="0.15">
      <c r="A473" s="15">
        <v>772</v>
      </c>
      <c r="B473" s="27" t="s">
        <v>442</v>
      </c>
      <c r="C473" t="s">
        <v>414</v>
      </c>
      <c r="E473" t="s">
        <v>140</v>
      </c>
      <c r="F473" t="s">
        <v>415</v>
      </c>
      <c r="G473" t="s">
        <v>140</v>
      </c>
      <c r="H473" t="s">
        <v>141</v>
      </c>
      <c r="I473" s="6" t="s">
        <v>136</v>
      </c>
      <c r="J473" s="6">
        <v>0</v>
      </c>
      <c r="L473" s="15">
        <v>23</v>
      </c>
      <c r="N473" s="7">
        <v>46328</v>
      </c>
      <c r="O473" s="7">
        <v>46325</v>
      </c>
      <c r="P473" s="7">
        <v>46328</v>
      </c>
      <c r="S473" s="6" t="s">
        <v>140</v>
      </c>
      <c r="U473" s="6" t="s">
        <v>413</v>
      </c>
      <c r="V473" s="6" t="str">
        <f>TEXT(N473,"YY/MM")</f>
        <v>26/11</v>
      </c>
      <c r="W473">
        <v>1845</v>
      </c>
      <c r="AA473">
        <v>1197</v>
      </c>
      <c r="AC473">
        <v>1250</v>
      </c>
      <c r="AI473" s="23">
        <v>0</v>
      </c>
      <c r="AJ473" s="23">
        <v>0</v>
      </c>
      <c r="AK473" s="23">
        <v>0</v>
      </c>
      <c r="AL473" s="23">
        <v>0</v>
      </c>
      <c r="AM473" s="23">
        <v>0</v>
      </c>
      <c r="AN473" s="23">
        <v>0</v>
      </c>
      <c r="AO473" s="23">
        <v>0</v>
      </c>
      <c r="AP473" s="23">
        <v>0</v>
      </c>
      <c r="AQ473" s="23">
        <v>0</v>
      </c>
      <c r="AR473" s="23">
        <v>0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0</v>
      </c>
      <c r="AZ473" s="23">
        <v>0</v>
      </c>
      <c r="BA473" s="23">
        <v>0</v>
      </c>
      <c r="BB473" s="23">
        <v>0</v>
      </c>
      <c r="BC473" s="23">
        <v>0</v>
      </c>
      <c r="BD473" s="23">
        <v>0</v>
      </c>
      <c r="BE473" s="23">
        <v>0</v>
      </c>
      <c r="BF473" s="23">
        <v>0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1</v>
      </c>
      <c r="BP473" s="23">
        <f>$L473*AI473</f>
        <v>0</v>
      </c>
      <c r="BQ473" s="23">
        <f>$L473*AJ473</f>
        <v>0</v>
      </c>
      <c r="BR473" s="23">
        <f>$L473*AK473</f>
        <v>0</v>
      </c>
      <c r="BS473" s="23">
        <f>$L473*AL473</f>
        <v>0</v>
      </c>
      <c r="BT473" s="23">
        <f>$L473*AM473</f>
        <v>0</v>
      </c>
      <c r="BU473" s="23">
        <f>$L473*AN473</f>
        <v>0</v>
      </c>
      <c r="BV473" s="23">
        <f>$L473*AO473</f>
        <v>0</v>
      </c>
      <c r="BW473" s="23">
        <f>$L473*AP473</f>
        <v>0</v>
      </c>
      <c r="BX473" s="23">
        <f>$L473*AQ473</f>
        <v>0</v>
      </c>
      <c r="BY473" s="23">
        <f>$L473*AR473</f>
        <v>0</v>
      </c>
      <c r="BZ473" s="23">
        <f>$L473*AS473</f>
        <v>0</v>
      </c>
      <c r="CA473" s="23">
        <f>$L473*AT473</f>
        <v>0</v>
      </c>
      <c r="CB473" s="23">
        <f>$L473*AU473</f>
        <v>0</v>
      </c>
      <c r="CC473" s="23">
        <f>$L473*AV473</f>
        <v>0</v>
      </c>
      <c r="CD473" s="23">
        <f>$L473*AW473</f>
        <v>0</v>
      </c>
      <c r="CE473" s="23">
        <f>$L473*AX473</f>
        <v>0</v>
      </c>
      <c r="CF473" s="23">
        <f>$L473*AY473</f>
        <v>0</v>
      </c>
      <c r="CG473" s="23">
        <f>$L473*AZ473</f>
        <v>0</v>
      </c>
      <c r="CH473" s="23">
        <f>$L473*BA473</f>
        <v>0</v>
      </c>
      <c r="CI473" s="23">
        <f>$L473*BB473</f>
        <v>0</v>
      </c>
      <c r="CJ473" s="23">
        <f>$L473*BC473</f>
        <v>0</v>
      </c>
      <c r="CK473" s="23">
        <f>$L473*BD473</f>
        <v>0</v>
      </c>
      <c r="CL473" s="23">
        <f>$L473*BE473</f>
        <v>0</v>
      </c>
      <c r="CM473" s="23">
        <f>$L473*BF473</f>
        <v>0</v>
      </c>
      <c r="CN473" s="23">
        <f>$L473*BG473</f>
        <v>23</v>
      </c>
      <c r="CO473" s="23">
        <f>$L473*BH473</f>
        <v>23</v>
      </c>
      <c r="CP473" s="23">
        <f>$L473*BI473</f>
        <v>23</v>
      </c>
      <c r="CQ473" s="23">
        <f>$L473*BJ473</f>
        <v>23</v>
      </c>
      <c r="CR473" s="23">
        <f>$L473*BK473</f>
        <v>23</v>
      </c>
      <c r="CS473" s="23">
        <f>$L473*BL473</f>
        <v>23</v>
      </c>
      <c r="CT473" s="23">
        <f>$L473*BM473</f>
        <v>23</v>
      </c>
      <c r="CU473" s="23">
        <f>$L473*BN473</f>
        <v>23</v>
      </c>
      <c r="CV473" s="23">
        <f>$L473*BO473</f>
        <v>23</v>
      </c>
    </row>
    <row r="474" spans="1:100" ht="13.5" x14ac:dyDescent="0.15">
      <c r="A474" s="15">
        <v>777</v>
      </c>
      <c r="B474" s="27" t="s">
        <v>445</v>
      </c>
      <c r="C474" t="s">
        <v>414</v>
      </c>
      <c r="E474" t="s">
        <v>140</v>
      </c>
      <c r="F474" t="s">
        <v>415</v>
      </c>
      <c r="G474" t="s">
        <v>140</v>
      </c>
      <c r="H474" t="s">
        <v>141</v>
      </c>
      <c r="I474" s="6" t="s">
        <v>136</v>
      </c>
      <c r="J474" s="6">
        <v>0</v>
      </c>
      <c r="L474" s="15">
        <v>22</v>
      </c>
      <c r="N474" s="7">
        <v>46336</v>
      </c>
      <c r="O474" s="7">
        <v>46335</v>
      </c>
      <c r="P474" s="7">
        <v>46336</v>
      </c>
      <c r="S474" s="6" t="s">
        <v>140</v>
      </c>
      <c r="U474" s="6" t="s">
        <v>413</v>
      </c>
      <c r="V474" s="6" t="str">
        <f>TEXT(N474,"YY/MM")</f>
        <v>26/11</v>
      </c>
      <c r="W474">
        <v>1846</v>
      </c>
      <c r="AA474">
        <v>1198</v>
      </c>
      <c r="AC474">
        <v>1251</v>
      </c>
      <c r="AI474" s="23">
        <v>0</v>
      </c>
      <c r="AJ474" s="23">
        <v>0</v>
      </c>
      <c r="AK474" s="23">
        <v>0</v>
      </c>
      <c r="AL474" s="23">
        <v>0</v>
      </c>
      <c r="AM474" s="23">
        <v>0</v>
      </c>
      <c r="AN474" s="23">
        <v>0</v>
      </c>
      <c r="AO474" s="23">
        <v>0</v>
      </c>
      <c r="AP474" s="23">
        <v>0</v>
      </c>
      <c r="AQ474" s="23">
        <v>0</v>
      </c>
      <c r="AR474" s="23">
        <v>0</v>
      </c>
      <c r="AS474" s="23">
        <v>0</v>
      </c>
      <c r="AT474" s="23">
        <v>0</v>
      </c>
      <c r="AU474" s="23">
        <v>0</v>
      </c>
      <c r="AV474" s="23">
        <v>0</v>
      </c>
      <c r="AW474" s="23">
        <v>0</v>
      </c>
      <c r="AX474" s="23">
        <v>0</v>
      </c>
      <c r="AY474" s="23">
        <v>0</v>
      </c>
      <c r="AZ474" s="23">
        <v>0</v>
      </c>
      <c r="BA474" s="23">
        <v>0</v>
      </c>
      <c r="BB474" s="23">
        <v>0</v>
      </c>
      <c r="BC474" s="23">
        <v>0</v>
      </c>
      <c r="BD474" s="23">
        <v>0</v>
      </c>
      <c r="BE474" s="23">
        <v>0</v>
      </c>
      <c r="BF474" s="23">
        <v>0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  <c r="BP474" s="23">
        <f>$L474*AI474</f>
        <v>0</v>
      </c>
      <c r="BQ474" s="23">
        <f>$L474*AJ474</f>
        <v>0</v>
      </c>
      <c r="BR474" s="23">
        <f>$L474*AK474</f>
        <v>0</v>
      </c>
      <c r="BS474" s="23">
        <f>$L474*AL474</f>
        <v>0</v>
      </c>
      <c r="BT474" s="23">
        <f>$L474*AM474</f>
        <v>0</v>
      </c>
      <c r="BU474" s="23">
        <f>$L474*AN474</f>
        <v>0</v>
      </c>
      <c r="BV474" s="23">
        <f>$L474*AO474</f>
        <v>0</v>
      </c>
      <c r="BW474" s="23">
        <f>$L474*AP474</f>
        <v>0</v>
      </c>
      <c r="BX474" s="23">
        <f>$L474*AQ474</f>
        <v>0</v>
      </c>
      <c r="BY474" s="23">
        <f>$L474*AR474</f>
        <v>0</v>
      </c>
      <c r="BZ474" s="23">
        <f>$L474*AS474</f>
        <v>0</v>
      </c>
      <c r="CA474" s="23">
        <f>$L474*AT474</f>
        <v>0</v>
      </c>
      <c r="CB474" s="23">
        <f>$L474*AU474</f>
        <v>0</v>
      </c>
      <c r="CC474" s="23">
        <f>$L474*AV474</f>
        <v>0</v>
      </c>
      <c r="CD474" s="23">
        <f>$L474*AW474</f>
        <v>0</v>
      </c>
      <c r="CE474" s="23">
        <f>$L474*AX474</f>
        <v>0</v>
      </c>
      <c r="CF474" s="23">
        <f>$L474*AY474</f>
        <v>0</v>
      </c>
      <c r="CG474" s="23">
        <f>$L474*AZ474</f>
        <v>0</v>
      </c>
      <c r="CH474" s="23">
        <f>$L474*BA474</f>
        <v>0</v>
      </c>
      <c r="CI474" s="23">
        <f>$L474*BB474</f>
        <v>0</v>
      </c>
      <c r="CJ474" s="23">
        <f>$L474*BC474</f>
        <v>0</v>
      </c>
      <c r="CK474" s="23">
        <f>$L474*BD474</f>
        <v>0</v>
      </c>
      <c r="CL474" s="23">
        <f>$L474*BE474</f>
        <v>0</v>
      </c>
      <c r="CM474" s="23">
        <f>$L474*BF474</f>
        <v>0</v>
      </c>
      <c r="CN474" s="23">
        <f>$L474*BG474</f>
        <v>22</v>
      </c>
      <c r="CO474" s="23">
        <f>$L474*BH474</f>
        <v>22</v>
      </c>
      <c r="CP474" s="23">
        <f>$L474*BI474</f>
        <v>22</v>
      </c>
      <c r="CQ474" s="23">
        <f>$L474*BJ474</f>
        <v>22</v>
      </c>
      <c r="CR474" s="23">
        <f>$L474*BK474</f>
        <v>22</v>
      </c>
      <c r="CS474" s="23">
        <f>$L474*BL474</f>
        <v>22</v>
      </c>
      <c r="CT474" s="23">
        <f>$L474*BM474</f>
        <v>22</v>
      </c>
      <c r="CU474" s="23">
        <f>$L474*BN474</f>
        <v>22</v>
      </c>
      <c r="CV474" s="23">
        <f>$L474*BO474</f>
        <v>22</v>
      </c>
    </row>
    <row r="475" spans="1:100" ht="13.5" x14ac:dyDescent="0.15">
      <c r="A475" s="15">
        <v>778</v>
      </c>
      <c r="B475" s="27" t="s">
        <v>446</v>
      </c>
      <c r="C475" t="s">
        <v>414</v>
      </c>
      <c r="E475" t="s">
        <v>140</v>
      </c>
      <c r="F475" t="s">
        <v>415</v>
      </c>
      <c r="G475" t="s">
        <v>140</v>
      </c>
      <c r="H475" t="s">
        <v>141</v>
      </c>
      <c r="I475" s="6" t="s">
        <v>136</v>
      </c>
      <c r="J475" s="6">
        <v>0</v>
      </c>
      <c r="L475" s="15">
        <v>22</v>
      </c>
      <c r="N475" s="7">
        <v>46342</v>
      </c>
      <c r="O475" s="7">
        <v>46339</v>
      </c>
      <c r="P475" s="7">
        <v>46342</v>
      </c>
      <c r="S475" s="6" t="s">
        <v>140</v>
      </c>
      <c r="U475" s="6" t="s">
        <v>413</v>
      </c>
      <c r="V475" s="6" t="str">
        <f>TEXT(N475,"YY/MM")</f>
        <v>26/11</v>
      </c>
      <c r="W475">
        <v>1847</v>
      </c>
      <c r="AA475">
        <v>1199</v>
      </c>
      <c r="AC475">
        <v>1252</v>
      </c>
      <c r="AI475" s="23">
        <v>0</v>
      </c>
      <c r="AJ475" s="23">
        <v>0</v>
      </c>
      <c r="AK475" s="23">
        <v>0</v>
      </c>
      <c r="AL475" s="23">
        <v>0</v>
      </c>
      <c r="AM475" s="23">
        <v>0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0</v>
      </c>
      <c r="AZ475" s="23">
        <v>0</v>
      </c>
      <c r="BA475" s="23">
        <v>0</v>
      </c>
      <c r="BB475" s="23">
        <v>0</v>
      </c>
      <c r="BC475" s="23">
        <v>0</v>
      </c>
      <c r="BD475" s="23">
        <v>0</v>
      </c>
      <c r="BE475" s="23">
        <v>0</v>
      </c>
      <c r="BF475" s="23">
        <v>0</v>
      </c>
      <c r="BG475" s="23">
        <v>1</v>
      </c>
      <c r="BH475" s="23">
        <v>1</v>
      </c>
      <c r="BI475" s="23">
        <v>1</v>
      </c>
      <c r="BJ475" s="23">
        <v>1</v>
      </c>
      <c r="BK475" s="23">
        <v>1</v>
      </c>
      <c r="BL475" s="23">
        <v>1</v>
      </c>
      <c r="BM475" s="23">
        <v>1</v>
      </c>
      <c r="BN475" s="23">
        <v>1</v>
      </c>
      <c r="BO475" s="23">
        <v>1</v>
      </c>
      <c r="BP475" s="23">
        <f>$L475*AI475</f>
        <v>0</v>
      </c>
      <c r="BQ475" s="23">
        <f>$L475*AJ475</f>
        <v>0</v>
      </c>
      <c r="BR475" s="23">
        <f>$L475*AK475</f>
        <v>0</v>
      </c>
      <c r="BS475" s="23">
        <f>$L475*AL475</f>
        <v>0</v>
      </c>
      <c r="BT475" s="23">
        <f>$L475*AM475</f>
        <v>0</v>
      </c>
      <c r="BU475" s="23">
        <f>$L475*AN475</f>
        <v>0</v>
      </c>
      <c r="BV475" s="23">
        <f>$L475*AO475</f>
        <v>0</v>
      </c>
      <c r="BW475" s="23">
        <f>$L475*AP475</f>
        <v>0</v>
      </c>
      <c r="BX475" s="23">
        <f>$L475*AQ475</f>
        <v>0</v>
      </c>
      <c r="BY475" s="23">
        <f>$L475*AR475</f>
        <v>0</v>
      </c>
      <c r="BZ475" s="23">
        <f>$L475*AS475</f>
        <v>0</v>
      </c>
      <c r="CA475" s="23">
        <f>$L475*AT475</f>
        <v>0</v>
      </c>
      <c r="CB475" s="23">
        <f>$L475*AU475</f>
        <v>0</v>
      </c>
      <c r="CC475" s="23">
        <f>$L475*AV475</f>
        <v>0</v>
      </c>
      <c r="CD475" s="23">
        <f>$L475*AW475</f>
        <v>0</v>
      </c>
      <c r="CE475" s="23">
        <f>$L475*AX475</f>
        <v>0</v>
      </c>
      <c r="CF475" s="23">
        <f>$L475*AY475</f>
        <v>0</v>
      </c>
      <c r="CG475" s="23">
        <f>$L475*AZ475</f>
        <v>0</v>
      </c>
      <c r="CH475" s="23">
        <f>$L475*BA475</f>
        <v>0</v>
      </c>
      <c r="CI475" s="23">
        <f>$L475*BB475</f>
        <v>0</v>
      </c>
      <c r="CJ475" s="23">
        <f>$L475*BC475</f>
        <v>0</v>
      </c>
      <c r="CK475" s="23">
        <f>$L475*BD475</f>
        <v>0</v>
      </c>
      <c r="CL475" s="23">
        <f>$L475*BE475</f>
        <v>0</v>
      </c>
      <c r="CM475" s="23">
        <f>$L475*BF475</f>
        <v>0</v>
      </c>
      <c r="CN475" s="23">
        <f>$L475*BG475</f>
        <v>22</v>
      </c>
      <c r="CO475" s="23">
        <f>$L475*BH475</f>
        <v>22</v>
      </c>
      <c r="CP475" s="23">
        <f>$L475*BI475</f>
        <v>22</v>
      </c>
      <c r="CQ475" s="23">
        <f>$L475*BJ475</f>
        <v>22</v>
      </c>
      <c r="CR475" s="23">
        <f>$L475*BK475</f>
        <v>22</v>
      </c>
      <c r="CS475" s="23">
        <f>$L475*BL475</f>
        <v>22</v>
      </c>
      <c r="CT475" s="23">
        <f>$L475*BM475</f>
        <v>22</v>
      </c>
      <c r="CU475" s="23">
        <f>$L475*BN475</f>
        <v>22</v>
      </c>
      <c r="CV475" s="23">
        <f>$L475*BO475</f>
        <v>22</v>
      </c>
    </row>
    <row r="476" spans="1:100" ht="13.5" x14ac:dyDescent="0.15">
      <c r="A476" s="15">
        <v>779</v>
      </c>
      <c r="B476" s="27" t="s">
        <v>447</v>
      </c>
      <c r="C476" t="s">
        <v>414</v>
      </c>
      <c r="E476" t="s">
        <v>140</v>
      </c>
      <c r="F476" t="s">
        <v>415</v>
      </c>
      <c r="G476" t="s">
        <v>140</v>
      </c>
      <c r="H476" t="s">
        <v>141</v>
      </c>
      <c r="I476" s="6" t="s">
        <v>136</v>
      </c>
      <c r="J476" s="6">
        <v>0</v>
      </c>
      <c r="L476" s="15">
        <v>23</v>
      </c>
      <c r="N476" s="7">
        <v>46350</v>
      </c>
      <c r="O476" s="7">
        <v>46349</v>
      </c>
      <c r="P476" s="7">
        <v>46350</v>
      </c>
      <c r="S476" s="6" t="s">
        <v>140</v>
      </c>
      <c r="U476" s="6" t="s">
        <v>413</v>
      </c>
      <c r="V476" s="6" t="str">
        <f>TEXT(N476,"YY/MM")</f>
        <v>26/11</v>
      </c>
      <c r="W476">
        <v>1848</v>
      </c>
      <c r="AA476">
        <v>1200</v>
      </c>
      <c r="AC476">
        <v>1253</v>
      </c>
      <c r="AI476" s="23">
        <v>0</v>
      </c>
      <c r="AJ476" s="23">
        <v>0</v>
      </c>
      <c r="AK476" s="23">
        <v>0</v>
      </c>
      <c r="AL476" s="23">
        <v>0</v>
      </c>
      <c r="AM476" s="23">
        <v>0</v>
      </c>
      <c r="AN476" s="23">
        <v>0</v>
      </c>
      <c r="AO476" s="23">
        <v>0</v>
      </c>
      <c r="AP476" s="23">
        <v>0</v>
      </c>
      <c r="AQ476" s="23">
        <v>0</v>
      </c>
      <c r="AR476" s="23">
        <v>0</v>
      </c>
      <c r="AS476" s="23">
        <v>0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0</v>
      </c>
      <c r="BA476" s="23">
        <v>0</v>
      </c>
      <c r="BB476" s="23">
        <v>0</v>
      </c>
      <c r="BC476" s="23">
        <v>0</v>
      </c>
      <c r="BD476" s="23">
        <v>0</v>
      </c>
      <c r="BE476" s="23">
        <v>0</v>
      </c>
      <c r="BF476" s="23">
        <v>0</v>
      </c>
      <c r="BG476" s="23">
        <v>1</v>
      </c>
      <c r="BH476" s="23">
        <v>1</v>
      </c>
      <c r="BI476" s="23">
        <v>1</v>
      </c>
      <c r="BJ476" s="23">
        <v>1</v>
      </c>
      <c r="BK476" s="23">
        <v>1</v>
      </c>
      <c r="BL476" s="23">
        <v>1</v>
      </c>
      <c r="BM476" s="23">
        <v>1</v>
      </c>
      <c r="BN476" s="23">
        <v>1</v>
      </c>
      <c r="BO476" s="23">
        <v>1</v>
      </c>
      <c r="BP476" s="23">
        <f>$L476*AI476</f>
        <v>0</v>
      </c>
      <c r="BQ476" s="23">
        <f>$L476*AJ476</f>
        <v>0</v>
      </c>
      <c r="BR476" s="23">
        <f>$L476*AK476</f>
        <v>0</v>
      </c>
      <c r="BS476" s="23">
        <f>$L476*AL476</f>
        <v>0</v>
      </c>
      <c r="BT476" s="23">
        <f>$L476*AM476</f>
        <v>0</v>
      </c>
      <c r="BU476" s="23">
        <f>$L476*AN476</f>
        <v>0</v>
      </c>
      <c r="BV476" s="23">
        <f>$L476*AO476</f>
        <v>0</v>
      </c>
      <c r="BW476" s="23">
        <f>$L476*AP476</f>
        <v>0</v>
      </c>
      <c r="BX476" s="23">
        <f>$L476*AQ476</f>
        <v>0</v>
      </c>
      <c r="BY476" s="23">
        <f>$L476*AR476</f>
        <v>0</v>
      </c>
      <c r="BZ476" s="23">
        <f>$L476*AS476</f>
        <v>0</v>
      </c>
      <c r="CA476" s="23">
        <f>$L476*AT476</f>
        <v>0</v>
      </c>
      <c r="CB476" s="23">
        <f>$L476*AU476</f>
        <v>0</v>
      </c>
      <c r="CC476" s="23">
        <f>$L476*AV476</f>
        <v>0</v>
      </c>
      <c r="CD476" s="23">
        <f>$L476*AW476</f>
        <v>0</v>
      </c>
      <c r="CE476" s="23">
        <f>$L476*AX476</f>
        <v>0</v>
      </c>
      <c r="CF476" s="23">
        <f>$L476*AY476</f>
        <v>0</v>
      </c>
      <c r="CG476" s="23">
        <f>$L476*AZ476</f>
        <v>0</v>
      </c>
      <c r="CH476" s="23">
        <f>$L476*BA476</f>
        <v>0</v>
      </c>
      <c r="CI476" s="23">
        <f>$L476*BB476</f>
        <v>0</v>
      </c>
      <c r="CJ476" s="23">
        <f>$L476*BC476</f>
        <v>0</v>
      </c>
      <c r="CK476" s="23">
        <f>$L476*BD476</f>
        <v>0</v>
      </c>
      <c r="CL476" s="23">
        <f>$L476*BE476</f>
        <v>0</v>
      </c>
      <c r="CM476" s="23">
        <f>$L476*BF476</f>
        <v>0</v>
      </c>
      <c r="CN476" s="23">
        <f>$L476*BG476</f>
        <v>23</v>
      </c>
      <c r="CO476" s="23">
        <f>$L476*BH476</f>
        <v>23</v>
      </c>
      <c r="CP476" s="23">
        <f>$L476*BI476</f>
        <v>23</v>
      </c>
      <c r="CQ476" s="23">
        <f>$L476*BJ476</f>
        <v>23</v>
      </c>
      <c r="CR476" s="23">
        <f>$L476*BK476</f>
        <v>23</v>
      </c>
      <c r="CS476" s="23">
        <f>$L476*BL476</f>
        <v>23</v>
      </c>
      <c r="CT476" s="23">
        <f>$L476*BM476</f>
        <v>23</v>
      </c>
      <c r="CU476" s="23">
        <f>$L476*BN476</f>
        <v>23</v>
      </c>
      <c r="CV476" s="23">
        <f>$L476*BO476</f>
        <v>23</v>
      </c>
    </row>
    <row r="477" spans="1:100" ht="13.5" x14ac:dyDescent="0.15">
      <c r="A477" s="15">
        <v>784</v>
      </c>
      <c r="B477" s="27" t="s">
        <v>137</v>
      </c>
      <c r="C477" t="s">
        <v>138</v>
      </c>
      <c r="E477" t="s">
        <v>139</v>
      </c>
      <c r="F477" t="s">
        <v>134</v>
      </c>
      <c r="G477" t="s">
        <v>140</v>
      </c>
      <c r="H477" t="s">
        <v>141</v>
      </c>
      <c r="I477" s="6" t="s">
        <v>136</v>
      </c>
      <c r="J477" s="6">
        <v>0</v>
      </c>
      <c r="K477" t="s">
        <v>142</v>
      </c>
      <c r="L477" s="15">
        <v>8</v>
      </c>
      <c r="N477" s="7">
        <v>46357</v>
      </c>
      <c r="O477" s="7">
        <v>46356</v>
      </c>
      <c r="P477" s="7">
        <v>46357</v>
      </c>
      <c r="S477" s="6" t="s">
        <v>140</v>
      </c>
      <c r="U477" s="6" t="s">
        <v>413</v>
      </c>
      <c r="V477" s="6" t="str">
        <f>TEXT(N477,"YY/MM")</f>
        <v>26/12</v>
      </c>
      <c r="W477">
        <v>1849</v>
      </c>
      <c r="AA477">
        <v>1201</v>
      </c>
      <c r="AC477">
        <v>1254</v>
      </c>
      <c r="AI477" s="23">
        <v>0</v>
      </c>
      <c r="AJ477" s="23">
        <v>0</v>
      </c>
      <c r="AK477" s="23">
        <v>0</v>
      </c>
      <c r="AL477" s="23">
        <v>0</v>
      </c>
      <c r="AM477" s="23">
        <v>0</v>
      </c>
      <c r="AN477" s="23">
        <v>0</v>
      </c>
      <c r="AO477" s="23">
        <v>0</v>
      </c>
      <c r="AP477" s="23">
        <v>0</v>
      </c>
      <c r="AQ477" s="23">
        <v>0</v>
      </c>
      <c r="AR477" s="23">
        <v>0</v>
      </c>
      <c r="AS477" s="23">
        <v>0</v>
      </c>
      <c r="AT477" s="23">
        <v>0</v>
      </c>
      <c r="AU477" s="23">
        <v>0</v>
      </c>
      <c r="AV477" s="23">
        <v>0</v>
      </c>
      <c r="AW477" s="23">
        <v>0</v>
      </c>
      <c r="AX477" s="23">
        <v>0</v>
      </c>
      <c r="AY477" s="23">
        <v>0</v>
      </c>
      <c r="AZ477" s="23">
        <v>0</v>
      </c>
      <c r="BA477" s="23">
        <v>0</v>
      </c>
      <c r="BB477" s="23">
        <v>0</v>
      </c>
      <c r="BC477" s="23">
        <v>0</v>
      </c>
      <c r="BD477" s="23">
        <v>0</v>
      </c>
      <c r="BE477" s="23">
        <v>0</v>
      </c>
      <c r="BF477" s="23">
        <v>0</v>
      </c>
      <c r="BG477" s="23">
        <v>1</v>
      </c>
      <c r="BH477" s="23">
        <v>1</v>
      </c>
      <c r="BI477" s="23">
        <v>1</v>
      </c>
      <c r="BJ477" s="23">
        <v>1</v>
      </c>
      <c r="BK477" s="23">
        <v>1</v>
      </c>
      <c r="BL477" s="23">
        <v>1</v>
      </c>
      <c r="BM477" s="23">
        <v>1</v>
      </c>
      <c r="BN477" s="23">
        <v>1</v>
      </c>
      <c r="BO477" s="23">
        <v>1</v>
      </c>
      <c r="BP477" s="23">
        <f>$L477*AI477</f>
        <v>0</v>
      </c>
      <c r="BQ477" s="23">
        <f>$L477*AJ477</f>
        <v>0</v>
      </c>
      <c r="BR477" s="23">
        <f>$L477*AK477</f>
        <v>0</v>
      </c>
      <c r="BS477" s="23">
        <f>$L477*AL477</f>
        <v>0</v>
      </c>
      <c r="BT477" s="23">
        <f>$L477*AM477</f>
        <v>0</v>
      </c>
      <c r="BU477" s="23">
        <f>$L477*AN477</f>
        <v>0</v>
      </c>
      <c r="BV477" s="23">
        <f>$L477*AO477</f>
        <v>0</v>
      </c>
      <c r="BW477" s="23">
        <f>$L477*AP477</f>
        <v>0</v>
      </c>
      <c r="BX477" s="23">
        <f>$L477*AQ477</f>
        <v>0</v>
      </c>
      <c r="BY477" s="23">
        <f>$L477*AR477</f>
        <v>0</v>
      </c>
      <c r="BZ477" s="23">
        <f>$L477*AS477</f>
        <v>0</v>
      </c>
      <c r="CA477" s="23">
        <f>$L477*AT477</f>
        <v>0</v>
      </c>
      <c r="CB477" s="23">
        <f>$L477*AU477</f>
        <v>0</v>
      </c>
      <c r="CC477" s="23">
        <f>$L477*AV477</f>
        <v>0</v>
      </c>
      <c r="CD477" s="23">
        <f>$L477*AW477</f>
        <v>0</v>
      </c>
      <c r="CE477" s="23">
        <f>$L477*AX477</f>
        <v>0</v>
      </c>
      <c r="CF477" s="23">
        <f>$L477*AY477</f>
        <v>0</v>
      </c>
      <c r="CG477" s="23">
        <f>$L477*AZ477</f>
        <v>0</v>
      </c>
      <c r="CH477" s="23">
        <f>$L477*BA477</f>
        <v>0</v>
      </c>
      <c r="CI477" s="23">
        <f>$L477*BB477</f>
        <v>0</v>
      </c>
      <c r="CJ477" s="23">
        <f>$L477*BC477</f>
        <v>0</v>
      </c>
      <c r="CK477" s="23">
        <f>$L477*BD477</f>
        <v>0</v>
      </c>
      <c r="CL477" s="23">
        <f>$L477*BE477</f>
        <v>0</v>
      </c>
      <c r="CM477" s="23">
        <f>$L477*BF477</f>
        <v>0</v>
      </c>
      <c r="CN477" s="23">
        <f>$L477*BG477</f>
        <v>8</v>
      </c>
      <c r="CO477" s="23">
        <f>$L477*BH477</f>
        <v>8</v>
      </c>
      <c r="CP477" s="23">
        <f>$L477*BI477</f>
        <v>8</v>
      </c>
      <c r="CQ477" s="23">
        <f>$L477*BJ477</f>
        <v>8</v>
      </c>
      <c r="CR477" s="23">
        <f>$L477*BK477</f>
        <v>8</v>
      </c>
      <c r="CS477" s="23">
        <f>$L477*BL477</f>
        <v>8</v>
      </c>
      <c r="CT477" s="23">
        <f>$L477*BM477</f>
        <v>8</v>
      </c>
      <c r="CU477" s="23">
        <f>$L477*BN477</f>
        <v>8</v>
      </c>
      <c r="CV477" s="23">
        <f>$L477*BO477</f>
        <v>8</v>
      </c>
    </row>
    <row r="478" spans="1:100" ht="13.5" x14ac:dyDescent="0.15">
      <c r="A478" s="15">
        <v>805</v>
      </c>
      <c r="B478" s="27" t="s">
        <v>448</v>
      </c>
      <c r="C478" t="s">
        <v>414</v>
      </c>
      <c r="E478" t="s">
        <v>140</v>
      </c>
      <c r="F478" t="s">
        <v>415</v>
      </c>
      <c r="G478" t="s">
        <v>140</v>
      </c>
      <c r="H478" t="s">
        <v>141</v>
      </c>
      <c r="I478" s="6" t="s">
        <v>136</v>
      </c>
      <c r="J478" s="6">
        <v>0</v>
      </c>
      <c r="L478" s="15">
        <v>23</v>
      </c>
      <c r="N478" s="7">
        <v>46357</v>
      </c>
      <c r="O478" s="7">
        <v>46356</v>
      </c>
      <c r="P478" s="7">
        <v>46357</v>
      </c>
      <c r="S478" s="6" t="s">
        <v>140</v>
      </c>
      <c r="U478" s="6" t="s">
        <v>413</v>
      </c>
      <c r="V478" s="6" t="str">
        <f>TEXT(N478,"YY/MM")</f>
        <v>26/12</v>
      </c>
      <c r="W478">
        <v>1850</v>
      </c>
      <c r="AA478">
        <v>1202</v>
      </c>
      <c r="AC478">
        <v>1255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3">
        <v>0</v>
      </c>
      <c r="AU478" s="23">
        <v>0</v>
      </c>
      <c r="AV478" s="23">
        <v>0</v>
      </c>
      <c r="AW478" s="23">
        <v>0</v>
      </c>
      <c r="AX478" s="23">
        <v>0</v>
      </c>
      <c r="AY478" s="23">
        <v>0</v>
      </c>
      <c r="AZ478" s="23">
        <v>0</v>
      </c>
      <c r="BA478" s="23">
        <v>0</v>
      </c>
      <c r="BB478" s="23">
        <v>0</v>
      </c>
      <c r="BC478" s="23">
        <v>0</v>
      </c>
      <c r="BD478" s="23">
        <v>0</v>
      </c>
      <c r="BE478" s="23">
        <v>0</v>
      </c>
      <c r="BF478" s="23">
        <v>0</v>
      </c>
      <c r="BG478" s="23">
        <v>1</v>
      </c>
      <c r="BH478" s="23">
        <v>1</v>
      </c>
      <c r="BI478" s="23">
        <v>1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  <c r="BP478" s="23">
        <f>$L478*AI478</f>
        <v>0</v>
      </c>
      <c r="BQ478" s="23">
        <f>$L478*AJ478</f>
        <v>0</v>
      </c>
      <c r="BR478" s="23">
        <f>$L478*AK478</f>
        <v>0</v>
      </c>
      <c r="BS478" s="23">
        <f>$L478*AL478</f>
        <v>0</v>
      </c>
      <c r="BT478" s="23">
        <f>$L478*AM478</f>
        <v>0</v>
      </c>
      <c r="BU478" s="23">
        <f>$L478*AN478</f>
        <v>0</v>
      </c>
      <c r="BV478" s="23">
        <f>$L478*AO478</f>
        <v>0</v>
      </c>
      <c r="BW478" s="23">
        <f>$L478*AP478</f>
        <v>0</v>
      </c>
      <c r="BX478" s="23">
        <f>$L478*AQ478</f>
        <v>0</v>
      </c>
      <c r="BY478" s="23">
        <f>$L478*AR478</f>
        <v>0</v>
      </c>
      <c r="BZ478" s="23">
        <f>$L478*AS478</f>
        <v>0</v>
      </c>
      <c r="CA478" s="23">
        <f>$L478*AT478</f>
        <v>0</v>
      </c>
      <c r="CB478" s="23">
        <f>$L478*AU478</f>
        <v>0</v>
      </c>
      <c r="CC478" s="23">
        <f>$L478*AV478</f>
        <v>0</v>
      </c>
      <c r="CD478" s="23">
        <f>$L478*AW478</f>
        <v>0</v>
      </c>
      <c r="CE478" s="23">
        <f>$L478*AX478</f>
        <v>0</v>
      </c>
      <c r="CF478" s="23">
        <f>$L478*AY478</f>
        <v>0</v>
      </c>
      <c r="CG478" s="23">
        <f>$L478*AZ478</f>
        <v>0</v>
      </c>
      <c r="CH478" s="23">
        <f>$L478*BA478</f>
        <v>0</v>
      </c>
      <c r="CI478" s="23">
        <f>$L478*BB478</f>
        <v>0</v>
      </c>
      <c r="CJ478" s="23">
        <f>$L478*BC478</f>
        <v>0</v>
      </c>
      <c r="CK478" s="23">
        <f>$L478*BD478</f>
        <v>0</v>
      </c>
      <c r="CL478" s="23">
        <f>$L478*BE478</f>
        <v>0</v>
      </c>
      <c r="CM478" s="23">
        <f>$L478*BF478</f>
        <v>0</v>
      </c>
      <c r="CN478" s="23">
        <f>$L478*BG478</f>
        <v>23</v>
      </c>
      <c r="CO478" s="23">
        <f>$L478*BH478</f>
        <v>23</v>
      </c>
      <c r="CP478" s="23">
        <f>$L478*BI478</f>
        <v>23</v>
      </c>
      <c r="CQ478" s="23">
        <f>$L478*BJ478</f>
        <v>23</v>
      </c>
      <c r="CR478" s="23">
        <f>$L478*BK478</f>
        <v>23</v>
      </c>
      <c r="CS478" s="23">
        <f>$L478*BL478</f>
        <v>23</v>
      </c>
      <c r="CT478" s="23">
        <f>$L478*BM478</f>
        <v>23</v>
      </c>
      <c r="CU478" s="23">
        <f>$L478*BN478</f>
        <v>23</v>
      </c>
      <c r="CV478" s="23">
        <f>$L478*BO478</f>
        <v>23</v>
      </c>
    </row>
    <row r="479" spans="1:100" ht="13.5" x14ac:dyDescent="0.15">
      <c r="A479" s="15">
        <v>806</v>
      </c>
      <c r="B479" s="27" t="s">
        <v>449</v>
      </c>
      <c r="C479" t="s">
        <v>414</v>
      </c>
      <c r="E479" t="s">
        <v>140</v>
      </c>
      <c r="F479" t="s">
        <v>415</v>
      </c>
      <c r="G479" t="s">
        <v>140</v>
      </c>
      <c r="H479" t="s">
        <v>141</v>
      </c>
      <c r="I479" s="6" t="s">
        <v>136</v>
      </c>
      <c r="J479" s="6">
        <v>0</v>
      </c>
      <c r="L479" s="15">
        <v>22</v>
      </c>
      <c r="N479" s="7">
        <v>46364</v>
      </c>
      <c r="O479" s="7">
        <v>46363</v>
      </c>
      <c r="P479" s="7">
        <v>46364</v>
      </c>
      <c r="S479" s="6" t="s">
        <v>140</v>
      </c>
      <c r="U479" s="6" t="s">
        <v>413</v>
      </c>
      <c r="V479" s="6" t="str">
        <f>TEXT(N479,"YY/MM")</f>
        <v>26/12</v>
      </c>
      <c r="W479">
        <v>1851</v>
      </c>
      <c r="AA479">
        <v>1203</v>
      </c>
      <c r="AC479">
        <v>1256</v>
      </c>
      <c r="AI479" s="23">
        <v>0</v>
      </c>
      <c r="AJ479" s="23">
        <v>0</v>
      </c>
      <c r="AK479" s="23">
        <v>0</v>
      </c>
      <c r="AL479" s="23">
        <v>0</v>
      </c>
      <c r="AM479" s="23">
        <v>0</v>
      </c>
      <c r="AN479" s="23">
        <v>0</v>
      </c>
      <c r="AO479" s="23">
        <v>0</v>
      </c>
      <c r="AP479" s="23">
        <v>0</v>
      </c>
      <c r="AQ479" s="23">
        <v>0</v>
      </c>
      <c r="AR479" s="23">
        <v>0</v>
      </c>
      <c r="AS479" s="23">
        <v>0</v>
      </c>
      <c r="AT479" s="23">
        <v>0</v>
      </c>
      <c r="AU479" s="23">
        <v>0</v>
      </c>
      <c r="AV479" s="23">
        <v>0</v>
      </c>
      <c r="AW479" s="23">
        <v>0</v>
      </c>
      <c r="AX479" s="23">
        <v>0</v>
      </c>
      <c r="AY479" s="23">
        <v>0</v>
      </c>
      <c r="AZ479" s="23">
        <v>0</v>
      </c>
      <c r="BA479" s="23">
        <v>0</v>
      </c>
      <c r="BB479" s="23">
        <v>0</v>
      </c>
      <c r="BC479" s="23">
        <v>0</v>
      </c>
      <c r="BD479" s="23">
        <v>0</v>
      </c>
      <c r="BE479" s="23">
        <v>0</v>
      </c>
      <c r="BF479" s="23">
        <v>0</v>
      </c>
      <c r="BG479" s="23">
        <v>1</v>
      </c>
      <c r="BH479" s="23">
        <v>1</v>
      </c>
      <c r="BI479" s="23">
        <v>1</v>
      </c>
      <c r="BJ479" s="23">
        <v>1</v>
      </c>
      <c r="BK479" s="23">
        <v>1</v>
      </c>
      <c r="BL479" s="23">
        <v>1</v>
      </c>
      <c r="BM479" s="23">
        <v>1</v>
      </c>
      <c r="BN479" s="23">
        <v>1</v>
      </c>
      <c r="BO479" s="23">
        <v>1</v>
      </c>
      <c r="BP479" s="23">
        <f>$L479*AI479</f>
        <v>0</v>
      </c>
      <c r="BQ479" s="23">
        <f>$L479*AJ479</f>
        <v>0</v>
      </c>
      <c r="BR479" s="23">
        <f>$L479*AK479</f>
        <v>0</v>
      </c>
      <c r="BS479" s="23">
        <f>$L479*AL479</f>
        <v>0</v>
      </c>
      <c r="BT479" s="23">
        <f>$L479*AM479</f>
        <v>0</v>
      </c>
      <c r="BU479" s="23">
        <f>$L479*AN479</f>
        <v>0</v>
      </c>
      <c r="BV479" s="23">
        <f>$L479*AO479</f>
        <v>0</v>
      </c>
      <c r="BW479" s="23">
        <f>$L479*AP479</f>
        <v>0</v>
      </c>
      <c r="BX479" s="23">
        <f>$L479*AQ479</f>
        <v>0</v>
      </c>
      <c r="BY479" s="23">
        <f>$L479*AR479</f>
        <v>0</v>
      </c>
      <c r="BZ479" s="23">
        <f>$L479*AS479</f>
        <v>0</v>
      </c>
      <c r="CA479" s="23">
        <f>$L479*AT479</f>
        <v>0</v>
      </c>
      <c r="CB479" s="23">
        <f>$L479*AU479</f>
        <v>0</v>
      </c>
      <c r="CC479" s="23">
        <f>$L479*AV479</f>
        <v>0</v>
      </c>
      <c r="CD479" s="23">
        <f>$L479*AW479</f>
        <v>0</v>
      </c>
      <c r="CE479" s="23">
        <f>$L479*AX479</f>
        <v>0</v>
      </c>
      <c r="CF479" s="23">
        <f>$L479*AY479</f>
        <v>0</v>
      </c>
      <c r="CG479" s="23">
        <f>$L479*AZ479</f>
        <v>0</v>
      </c>
      <c r="CH479" s="23">
        <f>$L479*BA479</f>
        <v>0</v>
      </c>
      <c r="CI479" s="23">
        <f>$L479*BB479</f>
        <v>0</v>
      </c>
      <c r="CJ479" s="23">
        <f>$L479*BC479</f>
        <v>0</v>
      </c>
      <c r="CK479" s="23">
        <f>$L479*BD479</f>
        <v>0</v>
      </c>
      <c r="CL479" s="23">
        <f>$L479*BE479</f>
        <v>0</v>
      </c>
      <c r="CM479" s="23">
        <f>$L479*BF479</f>
        <v>0</v>
      </c>
      <c r="CN479" s="23">
        <f>$L479*BG479</f>
        <v>22</v>
      </c>
      <c r="CO479" s="23">
        <f>$L479*BH479</f>
        <v>22</v>
      </c>
      <c r="CP479" s="23">
        <f>$L479*BI479</f>
        <v>22</v>
      </c>
      <c r="CQ479" s="23">
        <f>$L479*BJ479</f>
        <v>22</v>
      </c>
      <c r="CR479" s="23">
        <f>$L479*BK479</f>
        <v>22</v>
      </c>
      <c r="CS479" s="23">
        <f>$L479*BL479</f>
        <v>22</v>
      </c>
      <c r="CT479" s="23">
        <f>$L479*BM479</f>
        <v>22</v>
      </c>
      <c r="CU479" s="23">
        <f>$L479*BN479</f>
        <v>22</v>
      </c>
      <c r="CV479" s="23">
        <f>$L479*BO479</f>
        <v>22</v>
      </c>
    </row>
    <row r="480" spans="1:100" ht="13.5" x14ac:dyDescent="0.15">
      <c r="A480" s="15">
        <v>807</v>
      </c>
      <c r="B480" s="27" t="s">
        <v>450</v>
      </c>
      <c r="C480" t="s">
        <v>414</v>
      </c>
      <c r="E480" t="s">
        <v>140</v>
      </c>
      <c r="F480" t="s">
        <v>415</v>
      </c>
      <c r="G480" t="s">
        <v>140</v>
      </c>
      <c r="H480" t="s">
        <v>141</v>
      </c>
      <c r="I480" s="6" t="s">
        <v>136</v>
      </c>
      <c r="J480" s="6">
        <v>0</v>
      </c>
      <c r="L480" s="15">
        <v>22</v>
      </c>
      <c r="N480" s="7">
        <v>46371</v>
      </c>
      <c r="O480" s="7">
        <v>46370</v>
      </c>
      <c r="P480" s="7">
        <v>46371</v>
      </c>
      <c r="S480" s="6" t="s">
        <v>140</v>
      </c>
      <c r="U480" s="6" t="s">
        <v>413</v>
      </c>
      <c r="V480" s="6" t="str">
        <f>TEXT(N480,"YY/MM")</f>
        <v>26/12</v>
      </c>
      <c r="W480">
        <v>1852</v>
      </c>
      <c r="AA480">
        <v>1204</v>
      </c>
      <c r="AC480">
        <v>1257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</v>
      </c>
      <c r="AR480" s="23">
        <v>0</v>
      </c>
      <c r="AS480" s="23">
        <v>0</v>
      </c>
      <c r="AT480" s="23">
        <v>0</v>
      </c>
      <c r="AU480" s="23">
        <v>0</v>
      </c>
      <c r="AV480" s="23">
        <v>0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</v>
      </c>
      <c r="BF480" s="23">
        <v>0</v>
      </c>
      <c r="BG480" s="23">
        <v>1</v>
      </c>
      <c r="BH480" s="23">
        <v>1</v>
      </c>
      <c r="BI480" s="23">
        <v>1</v>
      </c>
      <c r="BJ480" s="23">
        <v>1</v>
      </c>
      <c r="BK480" s="23">
        <v>1</v>
      </c>
      <c r="BL480" s="23">
        <v>1</v>
      </c>
      <c r="BM480" s="23">
        <v>1</v>
      </c>
      <c r="BN480" s="23">
        <v>1</v>
      </c>
      <c r="BO480" s="23">
        <v>1</v>
      </c>
      <c r="BP480" s="23">
        <f>$L480*AI480</f>
        <v>0</v>
      </c>
      <c r="BQ480" s="23">
        <f>$L480*AJ480</f>
        <v>0</v>
      </c>
      <c r="BR480" s="23">
        <f>$L480*AK480</f>
        <v>0</v>
      </c>
      <c r="BS480" s="23">
        <f>$L480*AL480</f>
        <v>0</v>
      </c>
      <c r="BT480" s="23">
        <f>$L480*AM480</f>
        <v>0</v>
      </c>
      <c r="BU480" s="23">
        <f>$L480*AN480</f>
        <v>0</v>
      </c>
      <c r="BV480" s="23">
        <f>$L480*AO480</f>
        <v>0</v>
      </c>
      <c r="BW480" s="23">
        <f>$L480*AP480</f>
        <v>0</v>
      </c>
      <c r="BX480" s="23">
        <f>$L480*AQ480</f>
        <v>0</v>
      </c>
      <c r="BY480" s="23">
        <f>$L480*AR480</f>
        <v>0</v>
      </c>
      <c r="BZ480" s="23">
        <f>$L480*AS480</f>
        <v>0</v>
      </c>
      <c r="CA480" s="23">
        <f>$L480*AT480</f>
        <v>0</v>
      </c>
      <c r="CB480" s="23">
        <f>$L480*AU480</f>
        <v>0</v>
      </c>
      <c r="CC480" s="23">
        <f>$L480*AV480</f>
        <v>0</v>
      </c>
      <c r="CD480" s="23">
        <f>$L480*AW480</f>
        <v>0</v>
      </c>
      <c r="CE480" s="23">
        <f>$L480*AX480</f>
        <v>0</v>
      </c>
      <c r="CF480" s="23">
        <f>$L480*AY480</f>
        <v>0</v>
      </c>
      <c r="CG480" s="23">
        <f>$L480*AZ480</f>
        <v>0</v>
      </c>
      <c r="CH480" s="23">
        <f>$L480*BA480</f>
        <v>0</v>
      </c>
      <c r="CI480" s="23">
        <f>$L480*BB480</f>
        <v>0</v>
      </c>
      <c r="CJ480" s="23">
        <f>$L480*BC480</f>
        <v>0</v>
      </c>
      <c r="CK480" s="23">
        <f>$L480*BD480</f>
        <v>0</v>
      </c>
      <c r="CL480" s="23">
        <f>$L480*BE480</f>
        <v>0</v>
      </c>
      <c r="CM480" s="23">
        <f>$L480*BF480</f>
        <v>0</v>
      </c>
      <c r="CN480" s="23">
        <f>$L480*BG480</f>
        <v>22</v>
      </c>
      <c r="CO480" s="23">
        <f>$L480*BH480</f>
        <v>22</v>
      </c>
      <c r="CP480" s="23">
        <f>$L480*BI480</f>
        <v>22</v>
      </c>
      <c r="CQ480" s="23">
        <f>$L480*BJ480</f>
        <v>22</v>
      </c>
      <c r="CR480" s="23">
        <f>$L480*BK480</f>
        <v>22</v>
      </c>
      <c r="CS480" s="23">
        <f>$L480*BL480</f>
        <v>22</v>
      </c>
      <c r="CT480" s="23">
        <f>$L480*BM480</f>
        <v>22</v>
      </c>
      <c r="CU480" s="23">
        <f>$L480*BN480</f>
        <v>22</v>
      </c>
      <c r="CV480" s="23">
        <f>$L480*BO480</f>
        <v>22</v>
      </c>
    </row>
    <row r="481" spans="1:100" ht="13.5" x14ac:dyDescent="0.15">
      <c r="A481" s="15">
        <v>808</v>
      </c>
      <c r="B481" s="27" t="s">
        <v>451</v>
      </c>
      <c r="C481" t="s">
        <v>414</v>
      </c>
      <c r="E481" t="s">
        <v>140</v>
      </c>
      <c r="F481" t="s">
        <v>415</v>
      </c>
      <c r="G481" t="s">
        <v>140</v>
      </c>
      <c r="H481" t="s">
        <v>141</v>
      </c>
      <c r="I481" s="6" t="s">
        <v>136</v>
      </c>
      <c r="J481" s="6">
        <v>0</v>
      </c>
      <c r="L481" s="15">
        <v>20</v>
      </c>
      <c r="N481" s="7">
        <v>46380</v>
      </c>
      <c r="O481" s="7">
        <v>46379</v>
      </c>
      <c r="P481" s="7">
        <v>46380</v>
      </c>
      <c r="S481" s="6" t="s">
        <v>140</v>
      </c>
      <c r="U481" s="6" t="s">
        <v>413</v>
      </c>
      <c r="V481" s="6" t="str">
        <f>TEXT(N481,"YY/MM")</f>
        <v>26/12</v>
      </c>
      <c r="W481">
        <v>1853</v>
      </c>
      <c r="AA481">
        <v>1205</v>
      </c>
      <c r="AC481">
        <v>1258</v>
      </c>
      <c r="AI481" s="23">
        <v>0</v>
      </c>
      <c r="AJ481" s="23">
        <v>0</v>
      </c>
      <c r="AK481" s="23">
        <v>0</v>
      </c>
      <c r="AL481" s="23">
        <v>0</v>
      </c>
      <c r="AM481" s="23">
        <v>0</v>
      </c>
      <c r="AN481" s="23">
        <v>0</v>
      </c>
      <c r="AO481" s="23">
        <v>0</v>
      </c>
      <c r="AP481" s="23">
        <v>0</v>
      </c>
      <c r="AQ481" s="23">
        <v>0</v>
      </c>
      <c r="AR481" s="23">
        <v>0</v>
      </c>
      <c r="AS481" s="23">
        <v>0</v>
      </c>
      <c r="AT481" s="23">
        <v>0</v>
      </c>
      <c r="AU481" s="23">
        <v>0</v>
      </c>
      <c r="AV481" s="23">
        <v>0</v>
      </c>
      <c r="AW481" s="23">
        <v>0</v>
      </c>
      <c r="AX481" s="23">
        <v>0</v>
      </c>
      <c r="AY481" s="23">
        <v>0</v>
      </c>
      <c r="AZ481" s="23">
        <v>0</v>
      </c>
      <c r="BA481" s="23">
        <v>0</v>
      </c>
      <c r="BB481" s="23">
        <v>0</v>
      </c>
      <c r="BC481" s="23">
        <v>0</v>
      </c>
      <c r="BD481" s="23">
        <v>0</v>
      </c>
      <c r="BE481" s="23">
        <v>0</v>
      </c>
      <c r="BF481" s="23">
        <v>0</v>
      </c>
      <c r="BG481" s="23">
        <v>1</v>
      </c>
      <c r="BH481" s="23">
        <v>1</v>
      </c>
      <c r="BI481" s="23">
        <v>1</v>
      </c>
      <c r="BJ481" s="23">
        <v>1</v>
      </c>
      <c r="BK481" s="23">
        <v>1</v>
      </c>
      <c r="BL481" s="23">
        <v>1</v>
      </c>
      <c r="BM481" s="23">
        <v>1</v>
      </c>
      <c r="BN481" s="23">
        <v>1</v>
      </c>
      <c r="BO481" s="23">
        <v>1</v>
      </c>
      <c r="BP481" s="23">
        <f>$L481*AI481</f>
        <v>0</v>
      </c>
      <c r="BQ481" s="23">
        <f>$L481*AJ481</f>
        <v>0</v>
      </c>
      <c r="BR481" s="23">
        <f>$L481*AK481</f>
        <v>0</v>
      </c>
      <c r="BS481" s="23">
        <f>$L481*AL481</f>
        <v>0</v>
      </c>
      <c r="BT481" s="23">
        <f>$L481*AM481</f>
        <v>0</v>
      </c>
      <c r="BU481" s="23">
        <f>$L481*AN481</f>
        <v>0</v>
      </c>
      <c r="BV481" s="23">
        <f>$L481*AO481</f>
        <v>0</v>
      </c>
      <c r="BW481" s="23">
        <f>$L481*AP481</f>
        <v>0</v>
      </c>
      <c r="BX481" s="23">
        <f>$L481*AQ481</f>
        <v>0</v>
      </c>
      <c r="BY481" s="23">
        <f>$L481*AR481</f>
        <v>0</v>
      </c>
      <c r="BZ481" s="23">
        <f>$L481*AS481</f>
        <v>0</v>
      </c>
      <c r="CA481" s="23">
        <f>$L481*AT481</f>
        <v>0</v>
      </c>
      <c r="CB481" s="23">
        <f>$L481*AU481</f>
        <v>0</v>
      </c>
      <c r="CC481" s="23">
        <f>$L481*AV481</f>
        <v>0</v>
      </c>
      <c r="CD481" s="23">
        <f>$L481*AW481</f>
        <v>0</v>
      </c>
      <c r="CE481" s="23">
        <f>$L481*AX481</f>
        <v>0</v>
      </c>
      <c r="CF481" s="23">
        <f>$L481*AY481</f>
        <v>0</v>
      </c>
      <c r="CG481" s="23">
        <f>$L481*AZ481</f>
        <v>0</v>
      </c>
      <c r="CH481" s="23">
        <f>$L481*BA481</f>
        <v>0</v>
      </c>
      <c r="CI481" s="23">
        <f>$L481*BB481</f>
        <v>0</v>
      </c>
      <c r="CJ481" s="23">
        <f>$L481*BC481</f>
        <v>0</v>
      </c>
      <c r="CK481" s="23">
        <f>$L481*BD481</f>
        <v>0</v>
      </c>
      <c r="CL481" s="23">
        <f>$L481*BE481</f>
        <v>0</v>
      </c>
      <c r="CM481" s="23">
        <f>$L481*BF481</f>
        <v>0</v>
      </c>
      <c r="CN481" s="23">
        <f>$L481*BG481</f>
        <v>20</v>
      </c>
      <c r="CO481" s="23">
        <f>$L481*BH481</f>
        <v>20</v>
      </c>
      <c r="CP481" s="23">
        <f>$L481*BI481</f>
        <v>20</v>
      </c>
      <c r="CQ481" s="23">
        <f>$L481*BJ481</f>
        <v>20</v>
      </c>
      <c r="CR481" s="23">
        <f>$L481*BK481</f>
        <v>20</v>
      </c>
      <c r="CS481" s="23">
        <f>$L481*BL481</f>
        <v>20</v>
      </c>
      <c r="CT481" s="23">
        <f>$L481*BM481</f>
        <v>20</v>
      </c>
      <c r="CU481" s="23">
        <f>$L481*BN481</f>
        <v>20</v>
      </c>
      <c r="CV481" s="23">
        <f>$L481*BO481</f>
        <v>20</v>
      </c>
    </row>
    <row r="482" spans="1:100" ht="13.5" x14ac:dyDescent="0.15">
      <c r="A482" s="44">
        <v>835</v>
      </c>
      <c r="B482" s="45" t="s">
        <v>452</v>
      </c>
      <c r="C482" s="46" t="s">
        <v>414</v>
      </c>
      <c r="D482" s="46"/>
      <c r="E482" s="46" t="s">
        <v>140</v>
      </c>
      <c r="F482" s="46" t="s">
        <v>415</v>
      </c>
      <c r="G482" s="46" t="s">
        <v>140</v>
      </c>
      <c r="H482" s="46" t="s">
        <v>141</v>
      </c>
      <c r="I482" s="47" t="s">
        <v>136</v>
      </c>
      <c r="J482" s="47">
        <v>0</v>
      </c>
      <c r="K482" s="46"/>
      <c r="L482" s="44">
        <v>20</v>
      </c>
      <c r="M482" s="48"/>
      <c r="N482" s="48">
        <v>46391</v>
      </c>
      <c r="O482" s="48">
        <v>46388</v>
      </c>
      <c r="P482" s="48">
        <v>46391</v>
      </c>
      <c r="Q482" s="48"/>
      <c r="R482" s="47"/>
      <c r="S482" s="47" t="s">
        <v>140</v>
      </c>
      <c r="T482" s="47"/>
      <c r="U482" s="47" t="s">
        <v>413</v>
      </c>
      <c r="V482" s="47" t="str">
        <f>TEXT(N482,"YY/MM")</f>
        <v>27/01</v>
      </c>
      <c r="W482">
        <v>1854</v>
      </c>
      <c r="AA482">
        <v>1206</v>
      </c>
      <c r="AC482">
        <v>1259</v>
      </c>
      <c r="AI482" s="23">
        <v>0</v>
      </c>
      <c r="AJ482" s="23">
        <v>0</v>
      </c>
      <c r="AK482" s="23">
        <v>0</v>
      </c>
      <c r="AL482" s="23">
        <v>0</v>
      </c>
      <c r="AM482" s="23">
        <v>0</v>
      </c>
      <c r="AN482" s="23">
        <v>0</v>
      </c>
      <c r="AO482" s="23">
        <v>0</v>
      </c>
      <c r="AP482" s="23">
        <v>0</v>
      </c>
      <c r="AQ482" s="23">
        <v>0</v>
      </c>
      <c r="AR482" s="23">
        <v>0</v>
      </c>
      <c r="AS482" s="23">
        <v>0</v>
      </c>
      <c r="AT482" s="23">
        <v>0</v>
      </c>
      <c r="AU482" s="23">
        <v>0</v>
      </c>
      <c r="AV482" s="23">
        <v>0</v>
      </c>
      <c r="AW482" s="23">
        <v>0</v>
      </c>
      <c r="AX482" s="23">
        <v>0</v>
      </c>
      <c r="AY482" s="23">
        <v>0</v>
      </c>
      <c r="AZ482" s="23">
        <v>0</v>
      </c>
      <c r="BA482" s="23">
        <v>0</v>
      </c>
      <c r="BB482" s="23">
        <v>0</v>
      </c>
      <c r="BC482" s="23">
        <v>0</v>
      </c>
      <c r="BD482" s="23">
        <v>0</v>
      </c>
      <c r="BE482" s="23">
        <v>0</v>
      </c>
      <c r="BF482" s="23">
        <v>0</v>
      </c>
      <c r="BG482" s="23">
        <v>1</v>
      </c>
      <c r="BH482" s="23">
        <v>1</v>
      </c>
      <c r="BI482" s="23">
        <v>1</v>
      </c>
      <c r="BJ482" s="23">
        <v>1</v>
      </c>
      <c r="BK482" s="23">
        <v>1</v>
      </c>
      <c r="BL482" s="23">
        <v>1</v>
      </c>
      <c r="BM482" s="23">
        <v>1</v>
      </c>
      <c r="BN482" s="23">
        <v>1</v>
      </c>
      <c r="BO482" s="23">
        <v>1</v>
      </c>
      <c r="BP482" s="23">
        <f>$L482*AI482</f>
        <v>0</v>
      </c>
      <c r="BQ482" s="23">
        <f>$L482*AJ482</f>
        <v>0</v>
      </c>
      <c r="BR482" s="23">
        <f>$L482*AK482</f>
        <v>0</v>
      </c>
      <c r="BS482" s="23">
        <f>$L482*AL482</f>
        <v>0</v>
      </c>
      <c r="BT482" s="23">
        <f>$L482*AM482</f>
        <v>0</v>
      </c>
      <c r="BU482" s="23">
        <f>$L482*AN482</f>
        <v>0</v>
      </c>
      <c r="BV482" s="23">
        <f>$L482*AO482</f>
        <v>0</v>
      </c>
      <c r="BW482" s="23">
        <f>$L482*AP482</f>
        <v>0</v>
      </c>
      <c r="BX482" s="23">
        <f>$L482*AQ482</f>
        <v>0</v>
      </c>
      <c r="BY482" s="23">
        <f>$L482*AR482</f>
        <v>0</v>
      </c>
      <c r="BZ482" s="23">
        <f>$L482*AS482</f>
        <v>0</v>
      </c>
      <c r="CA482" s="23">
        <f>$L482*AT482</f>
        <v>0</v>
      </c>
      <c r="CB482" s="23">
        <f>$L482*AU482</f>
        <v>0</v>
      </c>
      <c r="CC482" s="23">
        <f>$L482*AV482</f>
        <v>0</v>
      </c>
      <c r="CD482" s="23">
        <f>$L482*AW482</f>
        <v>0</v>
      </c>
      <c r="CE482" s="23">
        <f>$L482*AX482</f>
        <v>0</v>
      </c>
      <c r="CF482" s="23">
        <f>$L482*AY482</f>
        <v>0</v>
      </c>
      <c r="CG482" s="23">
        <f>$L482*AZ482</f>
        <v>0</v>
      </c>
      <c r="CH482" s="23">
        <f>$L482*BA482</f>
        <v>0</v>
      </c>
      <c r="CI482" s="23">
        <f>$L482*BB482</f>
        <v>0</v>
      </c>
      <c r="CJ482" s="23">
        <f>$L482*BC482</f>
        <v>0</v>
      </c>
      <c r="CK482" s="23">
        <f>$L482*BD482</f>
        <v>0</v>
      </c>
      <c r="CL482" s="23">
        <f>$L482*BE482</f>
        <v>0</v>
      </c>
      <c r="CM482" s="23">
        <f>$L482*BF482</f>
        <v>0</v>
      </c>
      <c r="CN482" s="23">
        <f>$L482*BG482</f>
        <v>20</v>
      </c>
      <c r="CO482" s="23">
        <f>$L482*BH482</f>
        <v>20</v>
      </c>
      <c r="CP482" s="23">
        <f>$L482*BI482</f>
        <v>20</v>
      </c>
      <c r="CQ482" s="23">
        <f>$L482*BJ482</f>
        <v>20</v>
      </c>
      <c r="CR482" s="23">
        <f>$L482*BK482</f>
        <v>20</v>
      </c>
      <c r="CS482" s="23">
        <f>$L482*BL482</f>
        <v>20</v>
      </c>
      <c r="CT482" s="23">
        <f>$L482*BM482</f>
        <v>20</v>
      </c>
      <c r="CU482" s="23">
        <f>$L482*BN482</f>
        <v>20</v>
      </c>
      <c r="CV482" s="23">
        <f>$L482*BO482</f>
        <v>20</v>
      </c>
    </row>
    <row r="483" spans="1:100" ht="13.5" x14ac:dyDescent="0.15">
      <c r="A483" s="15">
        <v>838</v>
      </c>
      <c r="B483" s="27" t="s">
        <v>143</v>
      </c>
      <c r="C483" t="s">
        <v>138</v>
      </c>
      <c r="E483" t="s">
        <v>139</v>
      </c>
      <c r="F483" t="s">
        <v>134</v>
      </c>
      <c r="G483" t="s">
        <v>140</v>
      </c>
      <c r="H483" t="s">
        <v>141</v>
      </c>
      <c r="I483" s="6" t="s">
        <v>136</v>
      </c>
      <c r="J483" s="6">
        <v>0</v>
      </c>
      <c r="K483" t="s">
        <v>142</v>
      </c>
      <c r="L483" s="15">
        <v>2</v>
      </c>
      <c r="N483" s="7">
        <v>46399</v>
      </c>
      <c r="O483" s="7">
        <v>46398</v>
      </c>
      <c r="P483" s="7">
        <v>46399</v>
      </c>
      <c r="S483" s="6" t="s">
        <v>140</v>
      </c>
      <c r="U483" s="6" t="s">
        <v>413</v>
      </c>
      <c r="V483" s="6" t="str">
        <f>TEXT(N483,"YY/MM")</f>
        <v>27/01</v>
      </c>
      <c r="W483">
        <v>1855</v>
      </c>
      <c r="AA483">
        <v>1207</v>
      </c>
      <c r="AC483">
        <v>1260</v>
      </c>
      <c r="AI483" s="23">
        <v>0</v>
      </c>
      <c r="AJ483" s="23">
        <v>0</v>
      </c>
      <c r="AK483" s="23">
        <v>0</v>
      </c>
      <c r="AL483" s="23">
        <v>0</v>
      </c>
      <c r="AM483" s="23">
        <v>0</v>
      </c>
      <c r="AN483" s="23">
        <v>0</v>
      </c>
      <c r="AO483" s="23">
        <v>0</v>
      </c>
      <c r="AP483" s="23">
        <v>0</v>
      </c>
      <c r="AQ483" s="23">
        <v>0</v>
      </c>
      <c r="AR483" s="23">
        <v>0</v>
      </c>
      <c r="AS483" s="23">
        <v>0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0</v>
      </c>
      <c r="AZ483" s="23">
        <v>0</v>
      </c>
      <c r="BA483" s="23">
        <v>0</v>
      </c>
      <c r="BB483" s="23">
        <v>0</v>
      </c>
      <c r="BC483" s="23">
        <v>0</v>
      </c>
      <c r="BD483" s="23">
        <v>0</v>
      </c>
      <c r="BE483" s="23">
        <v>0</v>
      </c>
      <c r="BF483" s="23">
        <v>0</v>
      </c>
      <c r="BG483" s="23">
        <v>1</v>
      </c>
      <c r="BH483" s="23">
        <v>1</v>
      </c>
      <c r="BI483" s="23">
        <v>1</v>
      </c>
      <c r="BJ483" s="23">
        <v>1</v>
      </c>
      <c r="BK483" s="23">
        <v>1</v>
      </c>
      <c r="BL483" s="23">
        <v>1</v>
      </c>
      <c r="BM483" s="23">
        <v>1</v>
      </c>
      <c r="BN483" s="23">
        <v>1</v>
      </c>
      <c r="BO483" s="23">
        <v>1</v>
      </c>
      <c r="BP483" s="23">
        <f>$L483*AI483</f>
        <v>0</v>
      </c>
      <c r="BQ483" s="23">
        <f>$L483*AJ483</f>
        <v>0</v>
      </c>
      <c r="BR483" s="23">
        <f>$L483*AK483</f>
        <v>0</v>
      </c>
      <c r="BS483" s="23">
        <f>$L483*AL483</f>
        <v>0</v>
      </c>
      <c r="BT483" s="23">
        <f>$L483*AM483</f>
        <v>0</v>
      </c>
      <c r="BU483" s="23">
        <f>$L483*AN483</f>
        <v>0</v>
      </c>
      <c r="BV483" s="23">
        <f>$L483*AO483</f>
        <v>0</v>
      </c>
      <c r="BW483" s="23">
        <f>$L483*AP483</f>
        <v>0</v>
      </c>
      <c r="BX483" s="23">
        <f>$L483*AQ483</f>
        <v>0</v>
      </c>
      <c r="BY483" s="23">
        <f>$L483*AR483</f>
        <v>0</v>
      </c>
      <c r="BZ483" s="23">
        <f>$L483*AS483</f>
        <v>0</v>
      </c>
      <c r="CA483" s="23">
        <f>$L483*AT483</f>
        <v>0</v>
      </c>
      <c r="CB483" s="23">
        <f>$L483*AU483</f>
        <v>0</v>
      </c>
      <c r="CC483" s="23">
        <f>$L483*AV483</f>
        <v>0</v>
      </c>
      <c r="CD483" s="23">
        <f>$L483*AW483</f>
        <v>0</v>
      </c>
      <c r="CE483" s="23">
        <f>$L483*AX483</f>
        <v>0</v>
      </c>
      <c r="CF483" s="23">
        <f>$L483*AY483</f>
        <v>0</v>
      </c>
      <c r="CG483" s="23">
        <f>$L483*AZ483</f>
        <v>0</v>
      </c>
      <c r="CH483" s="23">
        <f>$L483*BA483</f>
        <v>0</v>
      </c>
      <c r="CI483" s="23">
        <f>$L483*BB483</f>
        <v>0</v>
      </c>
      <c r="CJ483" s="23">
        <f>$L483*BC483</f>
        <v>0</v>
      </c>
      <c r="CK483" s="23">
        <f>$L483*BD483</f>
        <v>0</v>
      </c>
      <c r="CL483" s="23">
        <f>$L483*BE483</f>
        <v>0</v>
      </c>
      <c r="CM483" s="23">
        <f>$L483*BF483</f>
        <v>0</v>
      </c>
      <c r="CN483" s="23">
        <f>$L483*BG483</f>
        <v>2</v>
      </c>
      <c r="CO483" s="23">
        <f>$L483*BH483</f>
        <v>2</v>
      </c>
      <c r="CP483" s="23">
        <f>$L483*BI483</f>
        <v>2</v>
      </c>
      <c r="CQ483" s="23">
        <f>$L483*BJ483</f>
        <v>2</v>
      </c>
      <c r="CR483" s="23">
        <f>$L483*BK483</f>
        <v>2</v>
      </c>
      <c r="CS483" s="23">
        <f>$L483*BL483</f>
        <v>2</v>
      </c>
      <c r="CT483" s="23">
        <f>$L483*BM483</f>
        <v>2</v>
      </c>
      <c r="CU483" s="23">
        <f>$L483*BN483</f>
        <v>2</v>
      </c>
      <c r="CV483" s="23">
        <f>$L483*BO483</f>
        <v>2</v>
      </c>
    </row>
    <row r="484" spans="1:100" ht="13.5" x14ac:dyDescent="0.15">
      <c r="A484" s="44">
        <v>839</v>
      </c>
      <c r="B484" s="45" t="s">
        <v>453</v>
      </c>
      <c r="C484" s="46" t="s">
        <v>414</v>
      </c>
      <c r="D484" s="46"/>
      <c r="E484" s="46" t="s">
        <v>140</v>
      </c>
      <c r="F484" s="46" t="s">
        <v>415</v>
      </c>
      <c r="G484" s="46" t="s">
        <v>140</v>
      </c>
      <c r="H484" s="46" t="s">
        <v>141</v>
      </c>
      <c r="I484" s="47" t="s">
        <v>136</v>
      </c>
      <c r="J484" s="47">
        <v>0</v>
      </c>
      <c r="K484" s="46"/>
      <c r="L484" s="44">
        <v>20</v>
      </c>
      <c r="M484" s="48"/>
      <c r="N484" s="48">
        <v>46399</v>
      </c>
      <c r="O484" s="48">
        <v>46398</v>
      </c>
      <c r="P484" s="48">
        <v>46399</v>
      </c>
      <c r="Q484" s="48"/>
      <c r="R484" s="47"/>
      <c r="S484" s="47" t="s">
        <v>140</v>
      </c>
      <c r="T484" s="47"/>
      <c r="U484" s="47" t="s">
        <v>413</v>
      </c>
      <c r="V484" s="47" t="str">
        <f>TEXT(N484,"YY/MM")</f>
        <v>27/01</v>
      </c>
      <c r="W484">
        <v>1856</v>
      </c>
      <c r="AA484">
        <v>1208</v>
      </c>
      <c r="AC484">
        <v>1261</v>
      </c>
      <c r="AI484" s="23">
        <v>0</v>
      </c>
      <c r="AJ484" s="23">
        <v>0</v>
      </c>
      <c r="AK484" s="23">
        <v>0</v>
      </c>
      <c r="AL484" s="23">
        <v>0</v>
      </c>
      <c r="AM484" s="23">
        <v>0</v>
      </c>
      <c r="AN484" s="23">
        <v>0</v>
      </c>
      <c r="AO484" s="23">
        <v>0</v>
      </c>
      <c r="AP484" s="23">
        <v>0</v>
      </c>
      <c r="AQ484" s="23">
        <v>0</v>
      </c>
      <c r="AR484" s="23">
        <v>0</v>
      </c>
      <c r="AS484" s="23">
        <v>0</v>
      </c>
      <c r="AT484" s="23">
        <v>0</v>
      </c>
      <c r="AU484" s="23">
        <v>0</v>
      </c>
      <c r="AV484" s="23">
        <v>0</v>
      </c>
      <c r="AW484" s="23">
        <v>0</v>
      </c>
      <c r="AX484" s="23">
        <v>0</v>
      </c>
      <c r="AY484" s="23">
        <v>0</v>
      </c>
      <c r="AZ484" s="23">
        <v>0</v>
      </c>
      <c r="BA484" s="23">
        <v>0</v>
      </c>
      <c r="BB484" s="23">
        <v>0</v>
      </c>
      <c r="BC484" s="23">
        <v>0</v>
      </c>
      <c r="BD484" s="23">
        <v>0</v>
      </c>
      <c r="BE484" s="23">
        <v>0</v>
      </c>
      <c r="BF484" s="23">
        <v>0</v>
      </c>
      <c r="BG484" s="23">
        <v>1</v>
      </c>
      <c r="BH484" s="23">
        <v>1</v>
      </c>
      <c r="BI484" s="23">
        <v>1</v>
      </c>
      <c r="BJ484" s="23">
        <v>1</v>
      </c>
      <c r="BK484" s="23">
        <v>1</v>
      </c>
      <c r="BL484" s="23">
        <v>1</v>
      </c>
      <c r="BM484" s="23">
        <v>1</v>
      </c>
      <c r="BN484" s="23">
        <v>1</v>
      </c>
      <c r="BO484" s="23">
        <v>1</v>
      </c>
      <c r="BP484" s="23">
        <f>$L484*AI484</f>
        <v>0</v>
      </c>
      <c r="BQ484" s="23">
        <f>$L484*AJ484</f>
        <v>0</v>
      </c>
      <c r="BR484" s="23">
        <f>$L484*AK484</f>
        <v>0</v>
      </c>
      <c r="BS484" s="23">
        <f>$L484*AL484</f>
        <v>0</v>
      </c>
      <c r="BT484" s="23">
        <f>$L484*AM484</f>
        <v>0</v>
      </c>
      <c r="BU484" s="23">
        <f>$L484*AN484</f>
        <v>0</v>
      </c>
      <c r="BV484" s="23">
        <f>$L484*AO484</f>
        <v>0</v>
      </c>
      <c r="BW484" s="23">
        <f>$L484*AP484</f>
        <v>0</v>
      </c>
      <c r="BX484" s="23">
        <f>$L484*AQ484</f>
        <v>0</v>
      </c>
      <c r="BY484" s="23">
        <f>$L484*AR484</f>
        <v>0</v>
      </c>
      <c r="BZ484" s="23">
        <f>$L484*AS484</f>
        <v>0</v>
      </c>
      <c r="CA484" s="23">
        <f>$L484*AT484</f>
        <v>0</v>
      </c>
      <c r="CB484" s="23">
        <f>$L484*AU484</f>
        <v>0</v>
      </c>
      <c r="CC484" s="23">
        <f>$L484*AV484</f>
        <v>0</v>
      </c>
      <c r="CD484" s="23">
        <f>$L484*AW484</f>
        <v>0</v>
      </c>
      <c r="CE484" s="23">
        <f>$L484*AX484</f>
        <v>0</v>
      </c>
      <c r="CF484" s="23">
        <f>$L484*AY484</f>
        <v>0</v>
      </c>
      <c r="CG484" s="23">
        <f>$L484*AZ484</f>
        <v>0</v>
      </c>
      <c r="CH484" s="23">
        <f>$L484*BA484</f>
        <v>0</v>
      </c>
      <c r="CI484" s="23">
        <f>$L484*BB484</f>
        <v>0</v>
      </c>
      <c r="CJ484" s="23">
        <f>$L484*BC484</f>
        <v>0</v>
      </c>
      <c r="CK484" s="23">
        <f>$L484*BD484</f>
        <v>0</v>
      </c>
      <c r="CL484" s="23">
        <f>$L484*BE484</f>
        <v>0</v>
      </c>
      <c r="CM484" s="23">
        <f>$L484*BF484</f>
        <v>0</v>
      </c>
      <c r="CN484" s="23">
        <f>$L484*BG484</f>
        <v>20</v>
      </c>
      <c r="CO484" s="23">
        <f>$L484*BH484</f>
        <v>20</v>
      </c>
      <c r="CP484" s="23">
        <f>$L484*BI484</f>
        <v>20</v>
      </c>
      <c r="CQ484" s="23">
        <f>$L484*BJ484</f>
        <v>20</v>
      </c>
      <c r="CR484" s="23">
        <f>$L484*BK484</f>
        <v>20</v>
      </c>
      <c r="CS484" s="23">
        <f>$L484*BL484</f>
        <v>20</v>
      </c>
      <c r="CT484" s="23">
        <f>$L484*BM484</f>
        <v>20</v>
      </c>
      <c r="CU484" s="23">
        <f>$L484*BN484</f>
        <v>20</v>
      </c>
      <c r="CV484" s="23">
        <f>$L484*BO484</f>
        <v>20</v>
      </c>
    </row>
    <row r="485" spans="1:100" ht="13.5" x14ac:dyDescent="0.15">
      <c r="A485" s="44">
        <v>840</v>
      </c>
      <c r="B485" s="45" t="s">
        <v>454</v>
      </c>
      <c r="C485" s="46" t="s">
        <v>414</v>
      </c>
      <c r="D485" s="46"/>
      <c r="E485" s="46" t="s">
        <v>140</v>
      </c>
      <c r="F485" s="46" t="s">
        <v>415</v>
      </c>
      <c r="G485" s="46" t="s">
        <v>140</v>
      </c>
      <c r="H485" s="46" t="s">
        <v>141</v>
      </c>
      <c r="I485" s="47" t="s">
        <v>136</v>
      </c>
      <c r="J485" s="47">
        <v>0</v>
      </c>
      <c r="K485" s="46"/>
      <c r="L485" s="44">
        <v>20</v>
      </c>
      <c r="M485" s="48"/>
      <c r="N485" s="48">
        <v>46405</v>
      </c>
      <c r="O485" s="48">
        <v>46402</v>
      </c>
      <c r="P485" s="48">
        <v>46405</v>
      </c>
      <c r="Q485" s="48"/>
      <c r="R485" s="47"/>
      <c r="S485" s="47" t="s">
        <v>140</v>
      </c>
      <c r="T485" s="47"/>
      <c r="U485" s="47" t="s">
        <v>413</v>
      </c>
      <c r="V485" s="47" t="str">
        <f>TEXT(N485,"YY/MM")</f>
        <v>27/01</v>
      </c>
      <c r="W485">
        <v>1857</v>
      </c>
      <c r="AA485">
        <v>1209</v>
      </c>
      <c r="AC485">
        <v>1262</v>
      </c>
      <c r="AI485" s="23">
        <v>0</v>
      </c>
      <c r="AJ485" s="23">
        <v>0</v>
      </c>
      <c r="AK485" s="23">
        <v>0</v>
      </c>
      <c r="AL485" s="23">
        <v>0</v>
      </c>
      <c r="AM485" s="23">
        <v>0</v>
      </c>
      <c r="AN485" s="23">
        <v>0</v>
      </c>
      <c r="AO485" s="23">
        <v>0</v>
      </c>
      <c r="AP485" s="23">
        <v>0</v>
      </c>
      <c r="AQ485" s="23">
        <v>0</v>
      </c>
      <c r="AR485" s="23">
        <v>0</v>
      </c>
      <c r="AS485" s="23">
        <v>0</v>
      </c>
      <c r="AT485" s="23">
        <v>0</v>
      </c>
      <c r="AU485" s="23">
        <v>0</v>
      </c>
      <c r="AV485" s="23">
        <v>0</v>
      </c>
      <c r="AW485" s="23">
        <v>0</v>
      </c>
      <c r="AX485" s="23">
        <v>0</v>
      </c>
      <c r="AY485" s="23">
        <v>0</v>
      </c>
      <c r="AZ485" s="23">
        <v>0</v>
      </c>
      <c r="BA485" s="23">
        <v>0</v>
      </c>
      <c r="BB485" s="23">
        <v>0</v>
      </c>
      <c r="BC485" s="23">
        <v>0</v>
      </c>
      <c r="BD485" s="23">
        <v>0</v>
      </c>
      <c r="BE485" s="23">
        <v>0</v>
      </c>
      <c r="BF485" s="23">
        <v>0</v>
      </c>
      <c r="BG485" s="23">
        <v>1</v>
      </c>
      <c r="BH485" s="23">
        <v>1</v>
      </c>
      <c r="BI485" s="23">
        <v>1</v>
      </c>
      <c r="BJ485" s="23">
        <v>1</v>
      </c>
      <c r="BK485" s="23">
        <v>1</v>
      </c>
      <c r="BL485" s="23">
        <v>1</v>
      </c>
      <c r="BM485" s="23">
        <v>1</v>
      </c>
      <c r="BN485" s="23">
        <v>1</v>
      </c>
      <c r="BO485" s="23">
        <v>1</v>
      </c>
      <c r="BP485" s="23">
        <f>$L485*AI485</f>
        <v>0</v>
      </c>
      <c r="BQ485" s="23">
        <f>$L485*AJ485</f>
        <v>0</v>
      </c>
      <c r="BR485" s="23">
        <f>$L485*AK485</f>
        <v>0</v>
      </c>
      <c r="BS485" s="23">
        <f>$L485*AL485</f>
        <v>0</v>
      </c>
      <c r="BT485" s="23">
        <f>$L485*AM485</f>
        <v>0</v>
      </c>
      <c r="BU485" s="23">
        <f>$L485*AN485</f>
        <v>0</v>
      </c>
      <c r="BV485" s="23">
        <f>$L485*AO485</f>
        <v>0</v>
      </c>
      <c r="BW485" s="23">
        <f>$L485*AP485</f>
        <v>0</v>
      </c>
      <c r="BX485" s="23">
        <f>$L485*AQ485</f>
        <v>0</v>
      </c>
      <c r="BY485" s="23">
        <f>$L485*AR485</f>
        <v>0</v>
      </c>
      <c r="BZ485" s="23">
        <f>$L485*AS485</f>
        <v>0</v>
      </c>
      <c r="CA485" s="23">
        <f>$L485*AT485</f>
        <v>0</v>
      </c>
      <c r="CB485" s="23">
        <f>$L485*AU485</f>
        <v>0</v>
      </c>
      <c r="CC485" s="23">
        <f>$L485*AV485</f>
        <v>0</v>
      </c>
      <c r="CD485" s="23">
        <f>$L485*AW485</f>
        <v>0</v>
      </c>
      <c r="CE485" s="23">
        <f>$L485*AX485</f>
        <v>0</v>
      </c>
      <c r="CF485" s="23">
        <f>$L485*AY485</f>
        <v>0</v>
      </c>
      <c r="CG485" s="23">
        <f>$L485*AZ485</f>
        <v>0</v>
      </c>
      <c r="CH485" s="23">
        <f>$L485*BA485</f>
        <v>0</v>
      </c>
      <c r="CI485" s="23">
        <f>$L485*BB485</f>
        <v>0</v>
      </c>
      <c r="CJ485" s="23">
        <f>$L485*BC485</f>
        <v>0</v>
      </c>
      <c r="CK485" s="23">
        <f>$L485*BD485</f>
        <v>0</v>
      </c>
      <c r="CL485" s="23">
        <f>$L485*BE485</f>
        <v>0</v>
      </c>
      <c r="CM485" s="23">
        <f>$L485*BF485</f>
        <v>0</v>
      </c>
      <c r="CN485" s="23">
        <f>$L485*BG485</f>
        <v>20</v>
      </c>
      <c r="CO485" s="23">
        <f>$L485*BH485</f>
        <v>20</v>
      </c>
      <c r="CP485" s="23">
        <f>$L485*BI485</f>
        <v>20</v>
      </c>
      <c r="CQ485" s="23">
        <f>$L485*BJ485</f>
        <v>20</v>
      </c>
      <c r="CR485" s="23">
        <f>$L485*BK485</f>
        <v>20</v>
      </c>
      <c r="CS485" s="23">
        <f>$L485*BL485</f>
        <v>20</v>
      </c>
      <c r="CT485" s="23">
        <f>$L485*BM485</f>
        <v>20</v>
      </c>
      <c r="CU485" s="23">
        <f>$L485*BN485</f>
        <v>20</v>
      </c>
      <c r="CV485" s="23">
        <f>$L485*BO485</f>
        <v>20</v>
      </c>
    </row>
    <row r="486" spans="1:100" ht="13.5" x14ac:dyDescent="0.15">
      <c r="A486" s="15">
        <v>841</v>
      </c>
      <c r="B486" s="27" t="s">
        <v>455</v>
      </c>
      <c r="C486" t="s">
        <v>414</v>
      </c>
      <c r="E486" t="s">
        <v>140</v>
      </c>
      <c r="F486" t="s">
        <v>415</v>
      </c>
      <c r="G486" t="s">
        <v>140</v>
      </c>
      <c r="H486" t="s">
        <v>141</v>
      </c>
      <c r="I486" s="6" t="s">
        <v>136</v>
      </c>
      <c r="J486" s="6">
        <v>0</v>
      </c>
      <c r="L486" s="15">
        <v>12</v>
      </c>
      <c r="N486" s="7">
        <v>46413</v>
      </c>
      <c r="O486" s="7">
        <v>46412</v>
      </c>
      <c r="P486" s="7">
        <v>46413</v>
      </c>
      <c r="S486" s="6" t="s">
        <v>140</v>
      </c>
      <c r="U486" s="6" t="s">
        <v>413</v>
      </c>
      <c r="V486" s="6" t="str">
        <f>TEXT(N486,"YY/MM")</f>
        <v>27/01</v>
      </c>
      <c r="W486">
        <v>1858</v>
      </c>
      <c r="AA486">
        <v>1210</v>
      </c>
      <c r="AC486">
        <v>1263</v>
      </c>
      <c r="AI486" s="23">
        <v>0</v>
      </c>
      <c r="AJ486" s="23">
        <v>0</v>
      </c>
      <c r="AK486" s="23">
        <v>0</v>
      </c>
      <c r="AL486" s="23">
        <v>0</v>
      </c>
      <c r="AM486" s="23">
        <v>0</v>
      </c>
      <c r="AN486" s="23">
        <v>0</v>
      </c>
      <c r="AO486" s="23">
        <v>0</v>
      </c>
      <c r="AP486" s="23">
        <v>0</v>
      </c>
      <c r="AQ486" s="23">
        <v>0</v>
      </c>
      <c r="AR486" s="23">
        <v>0</v>
      </c>
      <c r="AS486" s="23">
        <v>0</v>
      </c>
      <c r="AT486" s="23">
        <v>0</v>
      </c>
      <c r="AU486" s="23">
        <v>0</v>
      </c>
      <c r="AV486" s="23">
        <v>0</v>
      </c>
      <c r="AW486" s="23">
        <v>0</v>
      </c>
      <c r="AX486" s="23">
        <v>0</v>
      </c>
      <c r="AY486" s="23">
        <v>0</v>
      </c>
      <c r="AZ486" s="23">
        <v>0</v>
      </c>
      <c r="BA486" s="23">
        <v>0</v>
      </c>
      <c r="BB486" s="23">
        <v>0</v>
      </c>
      <c r="BC486" s="23">
        <v>0</v>
      </c>
      <c r="BD486" s="23">
        <v>0</v>
      </c>
      <c r="BE486" s="23">
        <v>0</v>
      </c>
      <c r="BF486" s="23">
        <v>0</v>
      </c>
      <c r="BG486" s="23">
        <v>1</v>
      </c>
      <c r="BH486" s="23">
        <v>1</v>
      </c>
      <c r="BI486" s="23">
        <v>1</v>
      </c>
      <c r="BJ486" s="23">
        <v>1</v>
      </c>
      <c r="BK486" s="23">
        <v>1</v>
      </c>
      <c r="BL486" s="23">
        <v>1</v>
      </c>
      <c r="BM486" s="23">
        <v>1</v>
      </c>
      <c r="BN486" s="23">
        <v>1</v>
      </c>
      <c r="BO486" s="23">
        <v>1</v>
      </c>
      <c r="BP486" s="23">
        <f>$L486*AI486</f>
        <v>0</v>
      </c>
      <c r="BQ486" s="23">
        <f>$L486*AJ486</f>
        <v>0</v>
      </c>
      <c r="BR486" s="23">
        <f>$L486*AK486</f>
        <v>0</v>
      </c>
      <c r="BS486" s="23">
        <f>$L486*AL486</f>
        <v>0</v>
      </c>
      <c r="BT486" s="23">
        <f>$L486*AM486</f>
        <v>0</v>
      </c>
      <c r="BU486" s="23">
        <f>$L486*AN486</f>
        <v>0</v>
      </c>
      <c r="BV486" s="23">
        <f>$L486*AO486</f>
        <v>0</v>
      </c>
      <c r="BW486" s="23">
        <f>$L486*AP486</f>
        <v>0</v>
      </c>
      <c r="BX486" s="23">
        <f>$L486*AQ486</f>
        <v>0</v>
      </c>
      <c r="BY486" s="23">
        <f>$L486*AR486</f>
        <v>0</v>
      </c>
      <c r="BZ486" s="23">
        <f>$L486*AS486</f>
        <v>0</v>
      </c>
      <c r="CA486" s="23">
        <f>$L486*AT486</f>
        <v>0</v>
      </c>
      <c r="CB486" s="23">
        <f>$L486*AU486</f>
        <v>0</v>
      </c>
      <c r="CC486" s="23">
        <f>$L486*AV486</f>
        <v>0</v>
      </c>
      <c r="CD486" s="23">
        <f>$L486*AW486</f>
        <v>0</v>
      </c>
      <c r="CE486" s="23">
        <f>$L486*AX486</f>
        <v>0</v>
      </c>
      <c r="CF486" s="23">
        <f>$L486*AY486</f>
        <v>0</v>
      </c>
      <c r="CG486" s="23">
        <f>$L486*AZ486</f>
        <v>0</v>
      </c>
      <c r="CH486" s="23">
        <f>$L486*BA486</f>
        <v>0</v>
      </c>
      <c r="CI486" s="23">
        <f>$L486*BB486</f>
        <v>0</v>
      </c>
      <c r="CJ486" s="23">
        <f>$L486*BC486</f>
        <v>0</v>
      </c>
      <c r="CK486" s="23">
        <f>$L486*BD486</f>
        <v>0</v>
      </c>
      <c r="CL486" s="23">
        <f>$L486*BE486</f>
        <v>0</v>
      </c>
      <c r="CM486" s="23">
        <f>$L486*BF486</f>
        <v>0</v>
      </c>
      <c r="CN486" s="23">
        <f>$L486*BG486</f>
        <v>12</v>
      </c>
      <c r="CO486" s="23">
        <f>$L486*BH486</f>
        <v>12</v>
      </c>
      <c r="CP486" s="23">
        <f>$L486*BI486</f>
        <v>12</v>
      </c>
      <c r="CQ486" s="23">
        <f>$L486*BJ486</f>
        <v>12</v>
      </c>
      <c r="CR486" s="23">
        <f>$L486*BK486</f>
        <v>12</v>
      </c>
      <c r="CS486" s="23">
        <f>$L486*BL486</f>
        <v>12</v>
      </c>
      <c r="CT486" s="23">
        <f>$L486*BM486</f>
        <v>12</v>
      </c>
      <c r="CU486" s="23">
        <f>$L486*BN486</f>
        <v>12</v>
      </c>
      <c r="CV486" s="23">
        <f>$L486*BO486</f>
        <v>12</v>
      </c>
    </row>
    <row r="487" spans="1:100" ht="13.5" x14ac:dyDescent="0.15">
      <c r="A487" s="44">
        <v>842</v>
      </c>
      <c r="B487" s="45" t="s">
        <v>144</v>
      </c>
      <c r="C487" s="46" t="s">
        <v>132</v>
      </c>
      <c r="D487" s="46"/>
      <c r="E487" s="46" t="s">
        <v>133</v>
      </c>
      <c r="F487" s="46" t="s">
        <v>134</v>
      </c>
      <c r="G487" s="46" t="s">
        <v>133</v>
      </c>
      <c r="H487" s="46" t="s">
        <v>135</v>
      </c>
      <c r="I487" s="47" t="s">
        <v>136</v>
      </c>
      <c r="J487" s="47">
        <v>1</v>
      </c>
      <c r="K487" s="46"/>
      <c r="L487" s="44">
        <v>25</v>
      </c>
      <c r="M487" s="48"/>
      <c r="N487" s="48">
        <v>46419</v>
      </c>
      <c r="O487" s="48">
        <v>46416</v>
      </c>
      <c r="P487" s="48">
        <v>46419</v>
      </c>
      <c r="Q487" s="48"/>
      <c r="R487" s="47"/>
      <c r="S487" s="47" t="s">
        <v>133</v>
      </c>
      <c r="T487" s="47"/>
      <c r="U487" s="47" t="s">
        <v>413</v>
      </c>
      <c r="V487" s="47" t="str">
        <f>TEXT(N487,"YY/MM")</f>
        <v>27/02</v>
      </c>
      <c r="W487">
        <v>1859</v>
      </c>
      <c r="AB487">
        <v>652</v>
      </c>
      <c r="AD487">
        <v>599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0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1</v>
      </c>
      <c r="BO487" s="23">
        <v>0</v>
      </c>
      <c r="BP487" s="23">
        <f>$L487*AI487</f>
        <v>0</v>
      </c>
      <c r="BQ487" s="23">
        <f>$L487*AJ487</f>
        <v>0</v>
      </c>
      <c r="BR487" s="23">
        <f>$L487*AK487</f>
        <v>0</v>
      </c>
      <c r="BS487" s="23">
        <f>$L487*AL487</f>
        <v>0</v>
      </c>
      <c r="BT487" s="23">
        <f>$L487*AM487</f>
        <v>0</v>
      </c>
      <c r="BU487" s="23">
        <f>$L487*AN487</f>
        <v>0</v>
      </c>
      <c r="BV487" s="23">
        <f>$L487*AO487</f>
        <v>0</v>
      </c>
      <c r="BW487" s="23">
        <f>$L487*AP487</f>
        <v>0</v>
      </c>
      <c r="BX487" s="23">
        <f>$L487*AQ487</f>
        <v>0</v>
      </c>
      <c r="BY487" s="23">
        <f>$L487*AR487</f>
        <v>0</v>
      </c>
      <c r="BZ487" s="23">
        <f>$L487*AS487</f>
        <v>0</v>
      </c>
      <c r="CA487" s="23">
        <f>$L487*AT487</f>
        <v>0</v>
      </c>
      <c r="CB487" s="23">
        <f>$L487*AU487</f>
        <v>0</v>
      </c>
      <c r="CC487" s="23">
        <f>$L487*AV487</f>
        <v>0</v>
      </c>
      <c r="CD487" s="23">
        <f>$L487*AW487</f>
        <v>0</v>
      </c>
      <c r="CE487" s="23">
        <f>$L487*AX487</f>
        <v>0</v>
      </c>
      <c r="CF487" s="23">
        <f>$L487*AY487</f>
        <v>0</v>
      </c>
      <c r="CG487" s="23">
        <f>$L487*AZ487</f>
        <v>0</v>
      </c>
      <c r="CH487" s="23">
        <f>$L487*BA487</f>
        <v>0</v>
      </c>
      <c r="CI487" s="23">
        <f>$L487*BB487</f>
        <v>0</v>
      </c>
      <c r="CJ487" s="23">
        <f>$L487*BC487</f>
        <v>0</v>
      </c>
      <c r="CK487" s="23">
        <f>$L487*BD487</f>
        <v>0</v>
      </c>
      <c r="CL487" s="23">
        <f>$L487*BE487</f>
        <v>0</v>
      </c>
      <c r="CM487" s="23">
        <f>$L487*BF487</f>
        <v>0</v>
      </c>
      <c r="CN487" s="23">
        <f>$L487*BG487</f>
        <v>25</v>
      </c>
      <c r="CO487" s="23">
        <f>$L487*BH487</f>
        <v>25</v>
      </c>
      <c r="CP487" s="23">
        <f>$L487*BI487</f>
        <v>25</v>
      </c>
      <c r="CQ487" s="23">
        <f>$L487*BJ487</f>
        <v>25</v>
      </c>
      <c r="CR487" s="23">
        <f>$L487*BK487</f>
        <v>25</v>
      </c>
      <c r="CS487" s="23">
        <f>$L487*BL487</f>
        <v>25</v>
      </c>
      <c r="CT487" s="23">
        <f>$L487*BM487</f>
        <v>25</v>
      </c>
      <c r="CU487" s="23">
        <f>$L487*BN487</f>
        <v>25</v>
      </c>
      <c r="CV487" s="23">
        <f>$L487*BO487</f>
        <v>0</v>
      </c>
    </row>
    <row r="488" spans="1:100" ht="13.5" x14ac:dyDescent="0.15">
      <c r="A488" s="44">
        <v>843</v>
      </c>
      <c r="B488" s="45" t="s">
        <v>145</v>
      </c>
      <c r="C488" s="46" t="s">
        <v>138</v>
      </c>
      <c r="D488" s="46"/>
      <c r="E488" s="46" t="s">
        <v>139</v>
      </c>
      <c r="F488" s="46" t="s">
        <v>134</v>
      </c>
      <c r="G488" s="46" t="s">
        <v>140</v>
      </c>
      <c r="H488" s="46" t="s">
        <v>141</v>
      </c>
      <c r="I488" s="47" t="s">
        <v>136</v>
      </c>
      <c r="J488" s="47">
        <v>0</v>
      </c>
      <c r="K488" s="46" t="s">
        <v>142</v>
      </c>
      <c r="L488" s="44">
        <v>34</v>
      </c>
      <c r="M488" s="48"/>
      <c r="N488" s="48">
        <v>46419</v>
      </c>
      <c r="O488" s="48">
        <v>46416</v>
      </c>
      <c r="P488" s="48">
        <v>46419</v>
      </c>
      <c r="Q488" s="48"/>
      <c r="R488" s="47"/>
      <c r="S488" s="47" t="s">
        <v>140</v>
      </c>
      <c r="T488" s="47"/>
      <c r="U488" s="47" t="s">
        <v>413</v>
      </c>
      <c r="V488" s="47" t="str">
        <f>TEXT(N488,"YY/MM")</f>
        <v>27/02</v>
      </c>
      <c r="W488">
        <v>1860</v>
      </c>
      <c r="AA488">
        <v>1211</v>
      </c>
      <c r="AC488">
        <v>1264</v>
      </c>
      <c r="AI488" s="23">
        <v>0</v>
      </c>
      <c r="AJ488" s="23">
        <v>0</v>
      </c>
      <c r="AK488" s="23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1</v>
      </c>
      <c r="BH488" s="23">
        <v>1</v>
      </c>
      <c r="BI488" s="23">
        <v>1</v>
      </c>
      <c r="BJ488" s="23">
        <v>1</v>
      </c>
      <c r="BK488" s="23">
        <v>1</v>
      </c>
      <c r="BL488" s="23">
        <v>1</v>
      </c>
      <c r="BM488" s="23">
        <v>1</v>
      </c>
      <c r="BN488" s="23">
        <v>1</v>
      </c>
      <c r="BO488" s="23">
        <v>1</v>
      </c>
      <c r="BP488" s="23">
        <f>$L488*AI488</f>
        <v>0</v>
      </c>
      <c r="BQ488" s="23">
        <f>$L488*AJ488</f>
        <v>0</v>
      </c>
      <c r="BR488" s="23">
        <f>$L488*AK488</f>
        <v>0</v>
      </c>
      <c r="BS488" s="23">
        <f>$L488*AL488</f>
        <v>0</v>
      </c>
      <c r="BT488" s="23">
        <f>$L488*AM488</f>
        <v>0</v>
      </c>
      <c r="BU488" s="23">
        <f>$L488*AN488</f>
        <v>0</v>
      </c>
      <c r="BV488" s="23">
        <f>$L488*AO488</f>
        <v>0</v>
      </c>
      <c r="BW488" s="23">
        <f>$L488*AP488</f>
        <v>0</v>
      </c>
      <c r="BX488" s="23">
        <f>$L488*AQ488</f>
        <v>0</v>
      </c>
      <c r="BY488" s="23">
        <f>$L488*AR488</f>
        <v>0</v>
      </c>
      <c r="BZ488" s="23">
        <f>$L488*AS488</f>
        <v>0</v>
      </c>
      <c r="CA488" s="23">
        <f>$L488*AT488</f>
        <v>0</v>
      </c>
      <c r="CB488" s="23">
        <f>$L488*AU488</f>
        <v>0</v>
      </c>
      <c r="CC488" s="23">
        <f>$L488*AV488</f>
        <v>0</v>
      </c>
      <c r="CD488" s="23">
        <f>$L488*AW488</f>
        <v>0</v>
      </c>
      <c r="CE488" s="23">
        <f>$L488*AX488</f>
        <v>0</v>
      </c>
      <c r="CF488" s="23">
        <f>$L488*AY488</f>
        <v>0</v>
      </c>
      <c r="CG488" s="23">
        <f>$L488*AZ488</f>
        <v>0</v>
      </c>
      <c r="CH488" s="23">
        <f>$L488*BA488</f>
        <v>0</v>
      </c>
      <c r="CI488" s="23">
        <f>$L488*BB488</f>
        <v>0</v>
      </c>
      <c r="CJ488" s="23">
        <f>$L488*BC488</f>
        <v>0</v>
      </c>
      <c r="CK488" s="23">
        <f>$L488*BD488</f>
        <v>0</v>
      </c>
      <c r="CL488" s="23">
        <f>$L488*BE488</f>
        <v>0</v>
      </c>
      <c r="CM488" s="23">
        <f>$L488*BF488</f>
        <v>0</v>
      </c>
      <c r="CN488" s="23">
        <f>$L488*BG488</f>
        <v>34</v>
      </c>
      <c r="CO488" s="23">
        <f>$L488*BH488</f>
        <v>34</v>
      </c>
      <c r="CP488" s="23">
        <f>$L488*BI488</f>
        <v>34</v>
      </c>
      <c r="CQ488" s="23">
        <f>$L488*BJ488</f>
        <v>34</v>
      </c>
      <c r="CR488" s="23">
        <f>$L488*BK488</f>
        <v>34</v>
      </c>
      <c r="CS488" s="23">
        <f>$L488*BL488</f>
        <v>34</v>
      </c>
      <c r="CT488" s="23">
        <f>$L488*BM488</f>
        <v>34</v>
      </c>
      <c r="CU488" s="23">
        <f>$L488*BN488</f>
        <v>34</v>
      </c>
      <c r="CV488" s="23">
        <f>$L488*BO488</f>
        <v>34</v>
      </c>
    </row>
    <row r="489" spans="1:100" ht="13.5" x14ac:dyDescent="0.15">
      <c r="A489" s="15">
        <v>848</v>
      </c>
      <c r="B489" s="27" t="s">
        <v>456</v>
      </c>
      <c r="C489" t="s">
        <v>414</v>
      </c>
      <c r="E489" t="s">
        <v>140</v>
      </c>
      <c r="F489" t="s">
        <v>415</v>
      </c>
      <c r="G489" t="s">
        <v>140</v>
      </c>
      <c r="H489" t="s">
        <v>141</v>
      </c>
      <c r="I489" s="6" t="s">
        <v>136</v>
      </c>
      <c r="J489" s="6">
        <v>0</v>
      </c>
      <c r="L489" s="15">
        <v>10</v>
      </c>
      <c r="N489" s="7">
        <v>46419</v>
      </c>
      <c r="O489" s="7">
        <v>46416</v>
      </c>
      <c r="P489" s="7">
        <v>46419</v>
      </c>
      <c r="S489" s="6" t="s">
        <v>140</v>
      </c>
      <c r="U489" s="6" t="s">
        <v>413</v>
      </c>
      <c r="V489" s="6" t="str">
        <f>TEXT(N489,"YY/MM")</f>
        <v>27/02</v>
      </c>
      <c r="W489">
        <v>1861</v>
      </c>
      <c r="AA489">
        <v>1212</v>
      </c>
      <c r="AC489">
        <v>1265</v>
      </c>
      <c r="AI489" s="23">
        <v>0</v>
      </c>
      <c r="AJ489" s="23">
        <v>0</v>
      </c>
      <c r="AK489" s="23">
        <v>0</v>
      </c>
      <c r="AL489" s="23">
        <v>0</v>
      </c>
      <c r="AM489" s="23">
        <v>0</v>
      </c>
      <c r="AN489" s="23">
        <v>0</v>
      </c>
      <c r="AO489" s="23">
        <v>0</v>
      </c>
      <c r="AP489" s="23">
        <v>0</v>
      </c>
      <c r="AQ489" s="23">
        <v>0</v>
      </c>
      <c r="AR489" s="23">
        <v>0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0</v>
      </c>
      <c r="AZ489" s="23">
        <v>0</v>
      </c>
      <c r="BA489" s="23">
        <v>0</v>
      </c>
      <c r="BB489" s="23">
        <v>0</v>
      </c>
      <c r="BC489" s="23">
        <v>0</v>
      </c>
      <c r="BD489" s="23">
        <v>0</v>
      </c>
      <c r="BE489" s="23">
        <v>0</v>
      </c>
      <c r="BF489" s="23">
        <v>0</v>
      </c>
      <c r="BG489" s="23">
        <v>1</v>
      </c>
      <c r="BH489" s="23">
        <v>1</v>
      </c>
      <c r="BI489" s="23">
        <v>1</v>
      </c>
      <c r="BJ489" s="23">
        <v>1</v>
      </c>
      <c r="BK489" s="23">
        <v>1</v>
      </c>
      <c r="BL489" s="23">
        <v>1</v>
      </c>
      <c r="BM489" s="23">
        <v>1</v>
      </c>
      <c r="BN489" s="23">
        <v>1</v>
      </c>
      <c r="BO489" s="23">
        <v>1</v>
      </c>
      <c r="BP489" s="23">
        <f>$L489*AI489</f>
        <v>0</v>
      </c>
      <c r="BQ489" s="23">
        <f>$L489*AJ489</f>
        <v>0</v>
      </c>
      <c r="BR489" s="23">
        <f>$L489*AK489</f>
        <v>0</v>
      </c>
      <c r="BS489" s="23">
        <f>$L489*AL489</f>
        <v>0</v>
      </c>
      <c r="BT489" s="23">
        <f>$L489*AM489</f>
        <v>0</v>
      </c>
      <c r="BU489" s="23">
        <f>$L489*AN489</f>
        <v>0</v>
      </c>
      <c r="BV489" s="23">
        <f>$L489*AO489</f>
        <v>0</v>
      </c>
      <c r="BW489" s="23">
        <f>$L489*AP489</f>
        <v>0</v>
      </c>
      <c r="BX489" s="23">
        <f>$L489*AQ489</f>
        <v>0</v>
      </c>
      <c r="BY489" s="23">
        <f>$L489*AR489</f>
        <v>0</v>
      </c>
      <c r="BZ489" s="23">
        <f>$L489*AS489</f>
        <v>0</v>
      </c>
      <c r="CA489" s="23">
        <f>$L489*AT489</f>
        <v>0</v>
      </c>
      <c r="CB489" s="23">
        <f>$L489*AU489</f>
        <v>0</v>
      </c>
      <c r="CC489" s="23">
        <f>$L489*AV489</f>
        <v>0</v>
      </c>
      <c r="CD489" s="23">
        <f>$L489*AW489</f>
        <v>0</v>
      </c>
      <c r="CE489" s="23">
        <f>$L489*AX489</f>
        <v>0</v>
      </c>
      <c r="CF489" s="23">
        <f>$L489*AY489</f>
        <v>0</v>
      </c>
      <c r="CG489" s="23">
        <f>$L489*AZ489</f>
        <v>0</v>
      </c>
      <c r="CH489" s="23">
        <f>$L489*BA489</f>
        <v>0</v>
      </c>
      <c r="CI489" s="23">
        <f>$L489*BB489</f>
        <v>0</v>
      </c>
      <c r="CJ489" s="23">
        <f>$L489*BC489</f>
        <v>0</v>
      </c>
      <c r="CK489" s="23">
        <f>$L489*BD489</f>
        <v>0</v>
      </c>
      <c r="CL489" s="23">
        <f>$L489*BE489</f>
        <v>0</v>
      </c>
      <c r="CM489" s="23">
        <f>$L489*BF489</f>
        <v>0</v>
      </c>
      <c r="CN489" s="23">
        <f>$L489*BG489</f>
        <v>10</v>
      </c>
      <c r="CO489" s="23">
        <f>$L489*BH489</f>
        <v>10</v>
      </c>
      <c r="CP489" s="23">
        <f>$L489*BI489</f>
        <v>10</v>
      </c>
      <c r="CQ489" s="23">
        <f>$L489*BJ489</f>
        <v>10</v>
      </c>
      <c r="CR489" s="23">
        <f>$L489*BK489</f>
        <v>10</v>
      </c>
      <c r="CS489" s="23">
        <f>$L489*BL489</f>
        <v>10</v>
      </c>
      <c r="CT489" s="23">
        <f>$L489*BM489</f>
        <v>10</v>
      </c>
      <c r="CU489" s="23">
        <f>$L489*BN489</f>
        <v>10</v>
      </c>
      <c r="CV489" s="23">
        <f>$L489*BO489</f>
        <v>10</v>
      </c>
    </row>
    <row r="490" spans="1:100" ht="13.5" x14ac:dyDescent="0.15">
      <c r="A490" s="15">
        <v>849</v>
      </c>
      <c r="B490" s="27" t="s">
        <v>457</v>
      </c>
      <c r="C490" t="s">
        <v>414</v>
      </c>
      <c r="E490" t="s">
        <v>140</v>
      </c>
      <c r="F490" t="s">
        <v>415</v>
      </c>
      <c r="G490" t="s">
        <v>140</v>
      </c>
      <c r="H490" t="s">
        <v>141</v>
      </c>
      <c r="I490" s="6" t="s">
        <v>136</v>
      </c>
      <c r="J490" s="6">
        <v>0</v>
      </c>
      <c r="L490" s="15">
        <v>11</v>
      </c>
      <c r="N490" s="7">
        <v>46426</v>
      </c>
      <c r="O490" s="7">
        <v>46423</v>
      </c>
      <c r="P490" s="7">
        <v>46426</v>
      </c>
      <c r="S490" s="6" t="s">
        <v>140</v>
      </c>
      <c r="U490" s="6" t="s">
        <v>413</v>
      </c>
      <c r="V490" s="6" t="str">
        <f>TEXT(N490,"YY/MM")</f>
        <v>27/02</v>
      </c>
      <c r="W490">
        <v>1862</v>
      </c>
      <c r="AA490">
        <v>1213</v>
      </c>
      <c r="AC490">
        <v>1266</v>
      </c>
      <c r="AI490" s="23">
        <v>0</v>
      </c>
      <c r="AJ490" s="23">
        <v>0</v>
      </c>
      <c r="AK490" s="23">
        <v>0</v>
      </c>
      <c r="AL490" s="23">
        <v>0</v>
      </c>
      <c r="AM490" s="23">
        <v>0</v>
      </c>
      <c r="AN490" s="23">
        <v>0</v>
      </c>
      <c r="AO490" s="23">
        <v>0</v>
      </c>
      <c r="AP490" s="23">
        <v>0</v>
      </c>
      <c r="AQ490" s="23">
        <v>0</v>
      </c>
      <c r="AR490" s="23">
        <v>0</v>
      </c>
      <c r="AS490" s="23">
        <v>0</v>
      </c>
      <c r="AT490" s="23">
        <v>0</v>
      </c>
      <c r="AU490" s="23">
        <v>0</v>
      </c>
      <c r="AV490" s="23">
        <v>0</v>
      </c>
      <c r="AW490" s="23">
        <v>0</v>
      </c>
      <c r="AX490" s="23">
        <v>0</v>
      </c>
      <c r="AY490" s="23">
        <v>0</v>
      </c>
      <c r="AZ490" s="23">
        <v>0</v>
      </c>
      <c r="BA490" s="23">
        <v>0</v>
      </c>
      <c r="BB490" s="23">
        <v>0</v>
      </c>
      <c r="BC490" s="23">
        <v>0</v>
      </c>
      <c r="BD490" s="23">
        <v>0</v>
      </c>
      <c r="BE490" s="23">
        <v>0</v>
      </c>
      <c r="BF490" s="23">
        <v>0</v>
      </c>
      <c r="BG490" s="23">
        <v>1</v>
      </c>
      <c r="BH490" s="23">
        <v>1</v>
      </c>
      <c r="BI490" s="23">
        <v>1</v>
      </c>
      <c r="BJ490" s="23">
        <v>1</v>
      </c>
      <c r="BK490" s="23">
        <v>1</v>
      </c>
      <c r="BL490" s="23">
        <v>1</v>
      </c>
      <c r="BM490" s="23">
        <v>1</v>
      </c>
      <c r="BN490" s="23">
        <v>1</v>
      </c>
      <c r="BO490" s="23">
        <v>1</v>
      </c>
      <c r="BP490" s="23">
        <f>$L490*AI490</f>
        <v>0</v>
      </c>
      <c r="BQ490" s="23">
        <f>$L490*AJ490</f>
        <v>0</v>
      </c>
      <c r="BR490" s="23">
        <f>$L490*AK490</f>
        <v>0</v>
      </c>
      <c r="BS490" s="23">
        <f>$L490*AL490</f>
        <v>0</v>
      </c>
      <c r="BT490" s="23">
        <f>$L490*AM490</f>
        <v>0</v>
      </c>
      <c r="BU490" s="23">
        <f>$L490*AN490</f>
        <v>0</v>
      </c>
      <c r="BV490" s="23">
        <f>$L490*AO490</f>
        <v>0</v>
      </c>
      <c r="BW490" s="23">
        <f>$L490*AP490</f>
        <v>0</v>
      </c>
      <c r="BX490" s="23">
        <f>$L490*AQ490</f>
        <v>0</v>
      </c>
      <c r="BY490" s="23">
        <f>$L490*AR490</f>
        <v>0</v>
      </c>
      <c r="BZ490" s="23">
        <f>$L490*AS490</f>
        <v>0</v>
      </c>
      <c r="CA490" s="23">
        <f>$L490*AT490</f>
        <v>0</v>
      </c>
      <c r="CB490" s="23">
        <f>$L490*AU490</f>
        <v>0</v>
      </c>
      <c r="CC490" s="23">
        <f>$L490*AV490</f>
        <v>0</v>
      </c>
      <c r="CD490" s="23">
        <f>$L490*AW490</f>
        <v>0</v>
      </c>
      <c r="CE490" s="23">
        <f>$L490*AX490</f>
        <v>0</v>
      </c>
      <c r="CF490" s="23">
        <f>$L490*AY490</f>
        <v>0</v>
      </c>
      <c r="CG490" s="23">
        <f>$L490*AZ490</f>
        <v>0</v>
      </c>
      <c r="CH490" s="23">
        <f>$L490*BA490</f>
        <v>0</v>
      </c>
      <c r="CI490" s="23">
        <f>$L490*BB490</f>
        <v>0</v>
      </c>
      <c r="CJ490" s="23">
        <f>$L490*BC490</f>
        <v>0</v>
      </c>
      <c r="CK490" s="23">
        <f>$L490*BD490</f>
        <v>0</v>
      </c>
      <c r="CL490" s="23">
        <f>$L490*BE490</f>
        <v>0</v>
      </c>
      <c r="CM490" s="23">
        <f>$L490*BF490</f>
        <v>0</v>
      </c>
      <c r="CN490" s="23">
        <f>$L490*BG490</f>
        <v>11</v>
      </c>
      <c r="CO490" s="23">
        <f>$L490*BH490</f>
        <v>11</v>
      </c>
      <c r="CP490" s="23">
        <f>$L490*BI490</f>
        <v>11</v>
      </c>
      <c r="CQ490" s="23">
        <f>$L490*BJ490</f>
        <v>11</v>
      </c>
      <c r="CR490" s="23">
        <f>$L490*BK490</f>
        <v>11</v>
      </c>
      <c r="CS490" s="23">
        <f>$L490*BL490</f>
        <v>11</v>
      </c>
      <c r="CT490" s="23">
        <f>$L490*BM490</f>
        <v>11</v>
      </c>
      <c r="CU490" s="23">
        <f>$L490*BN490</f>
        <v>11</v>
      </c>
      <c r="CV490" s="23">
        <f>$L490*BO490</f>
        <v>11</v>
      </c>
    </row>
    <row r="491" spans="1:100" ht="13.5" x14ac:dyDescent="0.15">
      <c r="A491" s="15">
        <v>850</v>
      </c>
      <c r="B491" s="27" t="s">
        <v>458</v>
      </c>
      <c r="C491" t="s">
        <v>414</v>
      </c>
      <c r="E491" t="s">
        <v>140</v>
      </c>
      <c r="F491" t="s">
        <v>415</v>
      </c>
      <c r="G491" t="s">
        <v>140</v>
      </c>
      <c r="H491" t="s">
        <v>141</v>
      </c>
      <c r="I491" s="6" t="s">
        <v>136</v>
      </c>
      <c r="J491" s="6">
        <v>0</v>
      </c>
      <c r="L491" s="15">
        <v>7</v>
      </c>
      <c r="N491" s="7">
        <v>46430</v>
      </c>
      <c r="O491" s="7">
        <v>46429</v>
      </c>
      <c r="P491" s="7">
        <v>46430</v>
      </c>
      <c r="S491" s="6" t="s">
        <v>140</v>
      </c>
      <c r="U491" s="6" t="s">
        <v>413</v>
      </c>
      <c r="V491" s="6" t="str">
        <f>TEXT(N491,"YY/MM")</f>
        <v>27/02</v>
      </c>
      <c r="W491">
        <v>1863</v>
      </c>
      <c r="AA491">
        <v>1214</v>
      </c>
      <c r="AC491">
        <v>1267</v>
      </c>
      <c r="AI491" s="23">
        <v>0</v>
      </c>
      <c r="AJ491" s="23">
        <v>0</v>
      </c>
      <c r="AK491" s="23">
        <v>0</v>
      </c>
      <c r="AL491" s="23">
        <v>0</v>
      </c>
      <c r="AM491" s="23">
        <v>0</v>
      </c>
      <c r="AN491" s="23">
        <v>0</v>
      </c>
      <c r="AO491" s="23">
        <v>0</v>
      </c>
      <c r="AP491" s="23">
        <v>0</v>
      </c>
      <c r="AQ491" s="23">
        <v>0</v>
      </c>
      <c r="AR491" s="23">
        <v>0</v>
      </c>
      <c r="AS491" s="23">
        <v>0</v>
      </c>
      <c r="AT491" s="23">
        <v>0</v>
      </c>
      <c r="AU491" s="23">
        <v>0</v>
      </c>
      <c r="AV491" s="23">
        <v>0</v>
      </c>
      <c r="AW491" s="23">
        <v>0</v>
      </c>
      <c r="AX491" s="23">
        <v>0</v>
      </c>
      <c r="AY491" s="23">
        <v>0</v>
      </c>
      <c r="AZ491" s="23">
        <v>0</v>
      </c>
      <c r="BA491" s="23">
        <v>0</v>
      </c>
      <c r="BB491" s="23">
        <v>0</v>
      </c>
      <c r="BC491" s="23">
        <v>0</v>
      </c>
      <c r="BD491" s="23">
        <v>0</v>
      </c>
      <c r="BE491" s="23">
        <v>0</v>
      </c>
      <c r="BF491" s="23">
        <v>0</v>
      </c>
      <c r="BG491" s="23">
        <v>1</v>
      </c>
      <c r="BH491" s="23">
        <v>1</v>
      </c>
      <c r="BI491" s="23">
        <v>1</v>
      </c>
      <c r="BJ491" s="23">
        <v>1</v>
      </c>
      <c r="BK491" s="23">
        <v>1</v>
      </c>
      <c r="BL491" s="23">
        <v>1</v>
      </c>
      <c r="BM491" s="23">
        <v>1</v>
      </c>
      <c r="BN491" s="23">
        <v>1</v>
      </c>
      <c r="BO491" s="23">
        <v>1</v>
      </c>
      <c r="BP491" s="23">
        <f>$L491*AI491</f>
        <v>0</v>
      </c>
      <c r="BQ491" s="23">
        <f>$L491*AJ491</f>
        <v>0</v>
      </c>
      <c r="BR491" s="23">
        <f>$L491*AK491</f>
        <v>0</v>
      </c>
      <c r="BS491" s="23">
        <f>$L491*AL491</f>
        <v>0</v>
      </c>
      <c r="BT491" s="23">
        <f>$L491*AM491</f>
        <v>0</v>
      </c>
      <c r="BU491" s="23">
        <f>$L491*AN491</f>
        <v>0</v>
      </c>
      <c r="BV491" s="23">
        <f>$L491*AO491</f>
        <v>0</v>
      </c>
      <c r="BW491" s="23">
        <f>$L491*AP491</f>
        <v>0</v>
      </c>
      <c r="BX491" s="23">
        <f>$L491*AQ491</f>
        <v>0</v>
      </c>
      <c r="BY491" s="23">
        <f>$L491*AR491</f>
        <v>0</v>
      </c>
      <c r="BZ491" s="23">
        <f>$L491*AS491</f>
        <v>0</v>
      </c>
      <c r="CA491" s="23">
        <f>$L491*AT491</f>
        <v>0</v>
      </c>
      <c r="CB491" s="23">
        <f>$L491*AU491</f>
        <v>0</v>
      </c>
      <c r="CC491" s="23">
        <f>$L491*AV491</f>
        <v>0</v>
      </c>
      <c r="CD491" s="23">
        <f>$L491*AW491</f>
        <v>0</v>
      </c>
      <c r="CE491" s="23">
        <f>$L491*AX491</f>
        <v>0</v>
      </c>
      <c r="CF491" s="23">
        <f>$L491*AY491</f>
        <v>0</v>
      </c>
      <c r="CG491" s="23">
        <f>$L491*AZ491</f>
        <v>0</v>
      </c>
      <c r="CH491" s="23">
        <f>$L491*BA491</f>
        <v>0</v>
      </c>
      <c r="CI491" s="23">
        <f>$L491*BB491</f>
        <v>0</v>
      </c>
      <c r="CJ491" s="23">
        <f>$L491*BC491</f>
        <v>0</v>
      </c>
      <c r="CK491" s="23">
        <f>$L491*BD491</f>
        <v>0</v>
      </c>
      <c r="CL491" s="23">
        <f>$L491*BE491</f>
        <v>0</v>
      </c>
      <c r="CM491" s="23">
        <f>$L491*BF491</f>
        <v>0</v>
      </c>
      <c r="CN491" s="23">
        <f>$L491*BG491</f>
        <v>7</v>
      </c>
      <c r="CO491" s="23">
        <f>$L491*BH491</f>
        <v>7</v>
      </c>
      <c r="CP491" s="23">
        <f>$L491*BI491</f>
        <v>7</v>
      </c>
      <c r="CQ491" s="23">
        <f>$L491*BJ491</f>
        <v>7</v>
      </c>
      <c r="CR491" s="23">
        <f>$L491*BK491</f>
        <v>7</v>
      </c>
      <c r="CS491" s="23">
        <f>$L491*BL491</f>
        <v>7</v>
      </c>
      <c r="CT491" s="23">
        <f>$L491*BM491</f>
        <v>7</v>
      </c>
      <c r="CU491" s="23">
        <f>$L491*BN491</f>
        <v>7</v>
      </c>
      <c r="CV491" s="23">
        <f>$L491*BO491</f>
        <v>7</v>
      </c>
    </row>
    <row r="492" spans="1:100" ht="13.5" x14ac:dyDescent="0.15">
      <c r="A492" s="15">
        <v>851</v>
      </c>
      <c r="B492" s="27" t="s">
        <v>459</v>
      </c>
      <c r="C492" t="s">
        <v>414</v>
      </c>
      <c r="E492" t="s">
        <v>140</v>
      </c>
      <c r="F492" t="s">
        <v>415</v>
      </c>
      <c r="G492" t="s">
        <v>140</v>
      </c>
      <c r="H492" t="s">
        <v>141</v>
      </c>
      <c r="I492" s="6" t="s">
        <v>136</v>
      </c>
      <c r="J492" s="6">
        <v>0</v>
      </c>
      <c r="L492" s="15">
        <v>5</v>
      </c>
      <c r="N492" s="7">
        <v>46440</v>
      </c>
      <c r="O492" s="7">
        <v>46437</v>
      </c>
      <c r="P492" s="7">
        <v>46440</v>
      </c>
      <c r="S492" s="6" t="s">
        <v>140</v>
      </c>
      <c r="U492" s="6" t="s">
        <v>413</v>
      </c>
      <c r="V492" s="6" t="str">
        <f>TEXT(N492,"YY/MM")</f>
        <v>27/02</v>
      </c>
      <c r="W492">
        <v>1864</v>
      </c>
      <c r="AA492">
        <v>1215</v>
      </c>
      <c r="AC492">
        <v>1268</v>
      </c>
      <c r="AI492" s="23">
        <v>0</v>
      </c>
      <c r="AJ492" s="23">
        <v>0</v>
      </c>
      <c r="AK492" s="23">
        <v>0</v>
      </c>
      <c r="AL492" s="23">
        <v>0</v>
      </c>
      <c r="AM492" s="23">
        <v>0</v>
      </c>
      <c r="AN492" s="23">
        <v>0</v>
      </c>
      <c r="AO492" s="23">
        <v>0</v>
      </c>
      <c r="AP492" s="23">
        <v>0</v>
      </c>
      <c r="AQ492" s="23">
        <v>0</v>
      </c>
      <c r="AR492" s="23">
        <v>0</v>
      </c>
      <c r="AS492" s="23">
        <v>0</v>
      </c>
      <c r="AT492" s="23">
        <v>0</v>
      </c>
      <c r="AU492" s="23">
        <v>0</v>
      </c>
      <c r="AV492" s="23">
        <v>0</v>
      </c>
      <c r="AW492" s="23">
        <v>0</v>
      </c>
      <c r="AX492" s="23">
        <v>0</v>
      </c>
      <c r="AY492" s="23">
        <v>0</v>
      </c>
      <c r="AZ492" s="23">
        <v>0</v>
      </c>
      <c r="BA492" s="23">
        <v>0</v>
      </c>
      <c r="BB492" s="23">
        <v>0</v>
      </c>
      <c r="BC492" s="23">
        <v>0</v>
      </c>
      <c r="BD492" s="23">
        <v>0</v>
      </c>
      <c r="BE492" s="23">
        <v>0</v>
      </c>
      <c r="BF492" s="23">
        <v>0</v>
      </c>
      <c r="BG492" s="23">
        <v>1</v>
      </c>
      <c r="BH492" s="23">
        <v>1</v>
      </c>
      <c r="BI492" s="23">
        <v>1</v>
      </c>
      <c r="BJ492" s="23">
        <v>1</v>
      </c>
      <c r="BK492" s="23">
        <v>1</v>
      </c>
      <c r="BL492" s="23">
        <v>1</v>
      </c>
      <c r="BM492" s="23">
        <v>1</v>
      </c>
      <c r="BN492" s="23">
        <v>1</v>
      </c>
      <c r="BO492" s="23">
        <v>1</v>
      </c>
      <c r="BP492" s="23">
        <f>$L492*AI492</f>
        <v>0</v>
      </c>
      <c r="BQ492" s="23">
        <f>$L492*AJ492</f>
        <v>0</v>
      </c>
      <c r="BR492" s="23">
        <f>$L492*AK492</f>
        <v>0</v>
      </c>
      <c r="BS492" s="23">
        <f>$L492*AL492</f>
        <v>0</v>
      </c>
      <c r="BT492" s="23">
        <f>$L492*AM492</f>
        <v>0</v>
      </c>
      <c r="BU492" s="23">
        <f>$L492*AN492</f>
        <v>0</v>
      </c>
      <c r="BV492" s="23">
        <f>$L492*AO492</f>
        <v>0</v>
      </c>
      <c r="BW492" s="23">
        <f>$L492*AP492</f>
        <v>0</v>
      </c>
      <c r="BX492" s="23">
        <f>$L492*AQ492</f>
        <v>0</v>
      </c>
      <c r="BY492" s="23">
        <f>$L492*AR492</f>
        <v>0</v>
      </c>
      <c r="BZ492" s="23">
        <f>$L492*AS492</f>
        <v>0</v>
      </c>
      <c r="CA492" s="23">
        <f>$L492*AT492</f>
        <v>0</v>
      </c>
      <c r="CB492" s="23">
        <f>$L492*AU492</f>
        <v>0</v>
      </c>
      <c r="CC492" s="23">
        <f>$L492*AV492</f>
        <v>0</v>
      </c>
      <c r="CD492" s="23">
        <f>$L492*AW492</f>
        <v>0</v>
      </c>
      <c r="CE492" s="23">
        <f>$L492*AX492</f>
        <v>0</v>
      </c>
      <c r="CF492" s="23">
        <f>$L492*AY492</f>
        <v>0</v>
      </c>
      <c r="CG492" s="23">
        <f>$L492*AZ492</f>
        <v>0</v>
      </c>
      <c r="CH492" s="23">
        <f>$L492*BA492</f>
        <v>0</v>
      </c>
      <c r="CI492" s="23">
        <f>$L492*BB492</f>
        <v>0</v>
      </c>
      <c r="CJ492" s="23">
        <f>$L492*BC492</f>
        <v>0</v>
      </c>
      <c r="CK492" s="23">
        <f>$L492*BD492</f>
        <v>0</v>
      </c>
      <c r="CL492" s="23">
        <f>$L492*BE492</f>
        <v>0</v>
      </c>
      <c r="CM492" s="23">
        <f>$L492*BF492</f>
        <v>0</v>
      </c>
      <c r="CN492" s="23">
        <f>$L492*BG492</f>
        <v>5</v>
      </c>
      <c r="CO492" s="23">
        <f>$L492*BH492</f>
        <v>5</v>
      </c>
      <c r="CP492" s="23">
        <f>$L492*BI492</f>
        <v>5</v>
      </c>
      <c r="CQ492" s="23">
        <f>$L492*BJ492</f>
        <v>5</v>
      </c>
      <c r="CR492" s="23">
        <f>$L492*BK492</f>
        <v>5</v>
      </c>
      <c r="CS492" s="23">
        <f>$L492*BL492</f>
        <v>5</v>
      </c>
      <c r="CT492" s="23">
        <f>$L492*BM492</f>
        <v>5</v>
      </c>
      <c r="CU492" s="23">
        <f>$L492*BN492</f>
        <v>5</v>
      </c>
      <c r="CV492" s="23">
        <f>$L492*BO492</f>
        <v>5</v>
      </c>
    </row>
    <row r="493" spans="1:100" ht="14.25" thickBot="1" x14ac:dyDescent="0.2">
      <c r="A493" s="31">
        <v>855</v>
      </c>
      <c r="B493" s="32" t="s">
        <v>460</v>
      </c>
      <c r="C493" s="33" t="s">
        <v>414</v>
      </c>
      <c r="D493" s="33"/>
      <c r="E493" s="33" t="s">
        <v>140</v>
      </c>
      <c r="F493" s="33" t="s">
        <v>415</v>
      </c>
      <c r="G493" s="33" t="s">
        <v>140</v>
      </c>
      <c r="H493" s="33" t="s">
        <v>141</v>
      </c>
      <c r="I493" s="34" t="s">
        <v>136</v>
      </c>
      <c r="J493" s="34">
        <v>0</v>
      </c>
      <c r="K493" s="33"/>
      <c r="L493" s="31">
        <v>5</v>
      </c>
      <c r="M493" s="35"/>
      <c r="N493" s="35">
        <v>46448</v>
      </c>
      <c r="O493" s="35">
        <v>46447</v>
      </c>
      <c r="P493" s="35">
        <v>46448</v>
      </c>
      <c r="Q493" s="35"/>
      <c r="R493" s="34"/>
      <c r="S493" s="34" t="s">
        <v>140</v>
      </c>
      <c r="T493" s="34"/>
      <c r="U493" s="34" t="s">
        <v>413</v>
      </c>
      <c r="V493" s="34" t="str">
        <f>TEXT(N493,"YY/MM")</f>
        <v>27/03</v>
      </c>
      <c r="W493">
        <v>1865</v>
      </c>
      <c r="AA493">
        <v>1216</v>
      </c>
      <c r="AC493">
        <v>1269</v>
      </c>
      <c r="AI493" s="23">
        <v>0</v>
      </c>
      <c r="AJ493" s="23">
        <v>0</v>
      </c>
      <c r="AK493" s="23">
        <v>0</v>
      </c>
      <c r="AL493" s="23">
        <v>0</v>
      </c>
      <c r="AM493" s="23">
        <v>0</v>
      </c>
      <c r="AN493" s="23">
        <v>0</v>
      </c>
      <c r="AO493" s="23">
        <v>0</v>
      </c>
      <c r="AP493" s="23">
        <v>0</v>
      </c>
      <c r="AQ493" s="23">
        <v>0</v>
      </c>
      <c r="AR493" s="23">
        <v>0</v>
      </c>
      <c r="AS493" s="23">
        <v>0</v>
      </c>
      <c r="AT493" s="23">
        <v>0</v>
      </c>
      <c r="AU493" s="23">
        <v>0</v>
      </c>
      <c r="AV493" s="23">
        <v>0</v>
      </c>
      <c r="AW493" s="23">
        <v>0</v>
      </c>
      <c r="AX493" s="23">
        <v>0</v>
      </c>
      <c r="AY493" s="23">
        <v>0</v>
      </c>
      <c r="AZ493" s="23">
        <v>0</v>
      </c>
      <c r="BA493" s="23">
        <v>0</v>
      </c>
      <c r="BB493" s="23">
        <v>0</v>
      </c>
      <c r="BC493" s="23">
        <v>0</v>
      </c>
      <c r="BD493" s="23">
        <v>0</v>
      </c>
      <c r="BE493" s="23">
        <v>0</v>
      </c>
      <c r="BF493" s="23">
        <v>0</v>
      </c>
      <c r="BG493" s="23">
        <v>1</v>
      </c>
      <c r="BH493" s="23">
        <v>1</v>
      </c>
      <c r="BI493" s="23">
        <v>1</v>
      </c>
      <c r="BJ493" s="23">
        <v>1</v>
      </c>
      <c r="BK493" s="23">
        <v>1</v>
      </c>
      <c r="BL493" s="23">
        <v>1</v>
      </c>
      <c r="BM493" s="23">
        <v>1</v>
      </c>
      <c r="BN493" s="23">
        <v>1</v>
      </c>
      <c r="BO493" s="23">
        <v>1</v>
      </c>
      <c r="BP493" s="23">
        <f>$L493*AI493</f>
        <v>0</v>
      </c>
      <c r="BQ493" s="23">
        <f>$L493*AJ493</f>
        <v>0</v>
      </c>
      <c r="BR493" s="23">
        <f>$L493*AK493</f>
        <v>0</v>
      </c>
      <c r="BS493" s="23">
        <f>$L493*AL493</f>
        <v>0</v>
      </c>
      <c r="BT493" s="23">
        <f>$L493*AM493</f>
        <v>0</v>
      </c>
      <c r="BU493" s="23">
        <f>$L493*AN493</f>
        <v>0</v>
      </c>
      <c r="BV493" s="23">
        <f>$L493*AO493</f>
        <v>0</v>
      </c>
      <c r="BW493" s="23">
        <f>$L493*AP493</f>
        <v>0</v>
      </c>
      <c r="BX493" s="23">
        <f>$L493*AQ493</f>
        <v>0</v>
      </c>
      <c r="BY493" s="23">
        <f>$L493*AR493</f>
        <v>0</v>
      </c>
      <c r="BZ493" s="23">
        <f>$L493*AS493</f>
        <v>0</v>
      </c>
      <c r="CA493" s="23">
        <f>$L493*AT493</f>
        <v>0</v>
      </c>
      <c r="CB493" s="23">
        <f>$L493*AU493</f>
        <v>0</v>
      </c>
      <c r="CC493" s="23">
        <f>$L493*AV493</f>
        <v>0</v>
      </c>
      <c r="CD493" s="23">
        <f>$L493*AW493</f>
        <v>0</v>
      </c>
      <c r="CE493" s="23">
        <f>$L493*AX493</f>
        <v>0</v>
      </c>
      <c r="CF493" s="23">
        <f>$L493*AY493</f>
        <v>0</v>
      </c>
      <c r="CG493" s="23">
        <f>$L493*AZ493</f>
        <v>0</v>
      </c>
      <c r="CH493" s="23">
        <f>$L493*BA493</f>
        <v>0</v>
      </c>
      <c r="CI493" s="23">
        <f>$L493*BB493</f>
        <v>0</v>
      </c>
      <c r="CJ493" s="23">
        <f>$L493*BC493</f>
        <v>0</v>
      </c>
      <c r="CK493" s="23">
        <f>$L493*BD493</f>
        <v>0</v>
      </c>
      <c r="CL493" s="23">
        <f>$L493*BE493</f>
        <v>0</v>
      </c>
      <c r="CM493" s="23">
        <f>$L493*BF493</f>
        <v>0</v>
      </c>
      <c r="CN493" s="23">
        <f>$L493*BG493</f>
        <v>5</v>
      </c>
      <c r="CO493" s="23">
        <f>$L493*BH493</f>
        <v>5</v>
      </c>
      <c r="CP493" s="23">
        <f>$L493*BI493</f>
        <v>5</v>
      </c>
      <c r="CQ493" s="23">
        <f>$L493*BJ493</f>
        <v>5</v>
      </c>
      <c r="CR493" s="23">
        <f>$L493*BK493</f>
        <v>5</v>
      </c>
      <c r="CS493" s="23">
        <f>$L493*BL493</f>
        <v>5</v>
      </c>
      <c r="CT493" s="23">
        <f>$L493*BM493</f>
        <v>5</v>
      </c>
      <c r="CU493" s="23">
        <f>$L493*BN493</f>
        <v>5</v>
      </c>
      <c r="CV493" s="23">
        <f>$L493*BO493</f>
        <v>5</v>
      </c>
    </row>
    <row r="494" spans="1:100" ht="15" thickTop="1" thickBot="1" x14ac:dyDescent="0.2">
      <c r="A494" s="37">
        <v>5</v>
      </c>
      <c r="B494" s="38" t="s">
        <v>461</v>
      </c>
      <c r="C494" s="39" t="s">
        <v>462</v>
      </c>
      <c r="D494" s="39" t="s">
        <v>463</v>
      </c>
      <c r="E494" s="39" t="s">
        <v>464</v>
      </c>
      <c r="F494" s="39" t="s">
        <v>465</v>
      </c>
      <c r="G494" s="39" t="s">
        <v>464</v>
      </c>
      <c r="H494" s="39" t="s">
        <v>466</v>
      </c>
      <c r="I494" s="40" t="s">
        <v>467</v>
      </c>
      <c r="J494" s="40">
        <v>0</v>
      </c>
      <c r="K494" s="39"/>
      <c r="L494" s="37">
        <v>2</v>
      </c>
      <c r="M494" s="41">
        <v>46063</v>
      </c>
      <c r="N494" s="41">
        <v>46091</v>
      </c>
      <c r="O494" s="41">
        <v>46091</v>
      </c>
      <c r="P494" s="41">
        <v>46091</v>
      </c>
      <c r="Q494" s="42" t="str">
        <f>IF(L494=T494,"OK","NG")</f>
        <v>OK</v>
      </c>
      <c r="R494" s="40" t="s">
        <v>468</v>
      </c>
      <c r="S494" s="40" t="str">
        <f>RIGHT(G494,6)</f>
        <v>LAA101</v>
      </c>
      <c r="T494" s="40">
        <v>2</v>
      </c>
      <c r="U494" s="40" t="s">
        <v>469</v>
      </c>
      <c r="V494" s="40" t="str">
        <f>TEXT(N494,"YY/MM")</f>
        <v>26/03</v>
      </c>
      <c r="AI494" s="23">
        <v>1</v>
      </c>
      <c r="AJ494" s="23">
        <v>0</v>
      </c>
      <c r="AK494" s="23">
        <v>0</v>
      </c>
      <c r="AL494" s="23">
        <v>0</v>
      </c>
      <c r="AM494" s="23">
        <v>0</v>
      </c>
      <c r="AN494" s="23">
        <v>0</v>
      </c>
      <c r="AO494" s="23">
        <v>0</v>
      </c>
      <c r="AP494" s="23">
        <v>0</v>
      </c>
      <c r="AQ494" s="23">
        <v>0</v>
      </c>
      <c r="AR494" s="23">
        <v>0</v>
      </c>
      <c r="AS494" s="23">
        <v>0</v>
      </c>
      <c r="AT494" s="23">
        <v>0</v>
      </c>
      <c r="AU494" s="23">
        <v>0</v>
      </c>
      <c r="AV494" s="23">
        <v>0</v>
      </c>
      <c r="AW494" s="23">
        <v>0</v>
      </c>
      <c r="AX494" s="23">
        <v>0</v>
      </c>
      <c r="AY494" s="23">
        <v>0</v>
      </c>
      <c r="AZ494" s="23">
        <v>0</v>
      </c>
      <c r="BA494" s="23">
        <v>0</v>
      </c>
      <c r="BB494" s="23">
        <v>0</v>
      </c>
      <c r="BC494" s="23">
        <v>0</v>
      </c>
      <c r="BD494" s="23">
        <v>0</v>
      </c>
      <c r="BE494" s="23">
        <v>0</v>
      </c>
      <c r="BF494" s="23">
        <v>0</v>
      </c>
      <c r="BG494" s="23">
        <v>0</v>
      </c>
      <c r="BH494" s="23">
        <v>0</v>
      </c>
      <c r="BI494" s="23">
        <v>0</v>
      </c>
      <c r="BJ494" s="23">
        <v>0</v>
      </c>
      <c r="BK494" s="23">
        <v>0</v>
      </c>
      <c r="BL494" s="23">
        <v>0</v>
      </c>
      <c r="BM494" s="23">
        <v>0</v>
      </c>
      <c r="BN494" s="23">
        <v>0</v>
      </c>
      <c r="BO494" s="23">
        <v>0</v>
      </c>
      <c r="BP494" s="23">
        <f>$L494*AI494</f>
        <v>2</v>
      </c>
      <c r="BQ494" s="23">
        <f>$L494*AJ494</f>
        <v>0</v>
      </c>
      <c r="BR494" s="23">
        <f>$L494*AK494</f>
        <v>0</v>
      </c>
      <c r="BS494" s="23">
        <f>$L494*AL494</f>
        <v>0</v>
      </c>
      <c r="BT494" s="23">
        <f>$L494*AM494</f>
        <v>0</v>
      </c>
      <c r="BU494" s="23">
        <f>$L494*AN494</f>
        <v>0</v>
      </c>
      <c r="BV494" s="23">
        <f>$L494*AO494</f>
        <v>0</v>
      </c>
      <c r="BW494" s="23">
        <f>$L494*AP494</f>
        <v>0</v>
      </c>
      <c r="BX494" s="23">
        <f>$L494*AQ494</f>
        <v>0</v>
      </c>
      <c r="BY494" s="23">
        <f>$L494*AR494</f>
        <v>0</v>
      </c>
      <c r="BZ494" s="23">
        <f>$L494*AS494</f>
        <v>0</v>
      </c>
      <c r="CA494" s="23">
        <f>$L494*AT494</f>
        <v>0</v>
      </c>
      <c r="CB494" s="23">
        <f>$L494*AU494</f>
        <v>0</v>
      </c>
      <c r="CC494" s="23">
        <f>$L494*AV494</f>
        <v>0</v>
      </c>
      <c r="CD494" s="23">
        <f>$L494*AW494</f>
        <v>0</v>
      </c>
      <c r="CE494" s="23">
        <f>$L494*AX494</f>
        <v>0</v>
      </c>
      <c r="CF494" s="23">
        <f>$L494*AY494</f>
        <v>0</v>
      </c>
      <c r="CG494" s="23">
        <f>$L494*AZ494</f>
        <v>0</v>
      </c>
      <c r="CH494" s="23">
        <f>$L494*BA494</f>
        <v>0</v>
      </c>
      <c r="CI494" s="23">
        <f>$L494*BB494</f>
        <v>0</v>
      </c>
      <c r="CJ494" s="23">
        <f>$L494*BC494</f>
        <v>0</v>
      </c>
      <c r="CK494" s="23">
        <f>$L494*BD494</f>
        <v>0</v>
      </c>
      <c r="CL494" s="23">
        <f>$L494*BE494</f>
        <v>0</v>
      </c>
      <c r="CM494" s="23">
        <f>$L494*BF494</f>
        <v>0</v>
      </c>
      <c r="CN494" s="23">
        <f>$L494*BG494</f>
        <v>0</v>
      </c>
      <c r="CO494" s="23">
        <f>$L494*BH494</f>
        <v>0</v>
      </c>
      <c r="CP494" s="23">
        <f>$L494*BI494</f>
        <v>0</v>
      </c>
      <c r="CQ494" s="23">
        <f>$L494*BJ494</f>
        <v>0</v>
      </c>
      <c r="CR494" s="23">
        <f>$L494*BK494</f>
        <v>0</v>
      </c>
      <c r="CS494" s="23">
        <f>$L494*BL494</f>
        <v>0</v>
      </c>
      <c r="CT494" s="23">
        <f>$L494*BM494</f>
        <v>0</v>
      </c>
      <c r="CU494" s="23">
        <f>$L494*BN494</f>
        <v>0</v>
      </c>
      <c r="CV494" s="23">
        <f>$L494*BO494</f>
        <v>0</v>
      </c>
    </row>
    <row r="495" spans="1:100" ht="15" thickTop="1" thickBot="1" x14ac:dyDescent="0.2">
      <c r="A495" s="31">
        <v>15</v>
      </c>
      <c r="B495" s="32" t="s">
        <v>470</v>
      </c>
      <c r="C495" s="33" t="s">
        <v>471</v>
      </c>
      <c r="D495" s="33" t="s">
        <v>472</v>
      </c>
      <c r="E495" s="33" t="s">
        <v>473</v>
      </c>
      <c r="F495" s="33" t="s">
        <v>129</v>
      </c>
      <c r="G495" s="33" t="s">
        <v>473</v>
      </c>
      <c r="H495" s="33" t="s">
        <v>474</v>
      </c>
      <c r="I495" s="34" t="s">
        <v>467</v>
      </c>
      <c r="J495" s="34">
        <v>0</v>
      </c>
      <c r="K495" s="33"/>
      <c r="L495" s="31">
        <v>17</v>
      </c>
      <c r="M495" s="35"/>
      <c r="N495" s="35">
        <v>46276</v>
      </c>
      <c r="O495" s="35">
        <v>46276</v>
      </c>
      <c r="P495" s="35">
        <v>46276</v>
      </c>
      <c r="Q495" s="35" t="str">
        <f>IF(L495=T495,"OK","NG")</f>
        <v>NG</v>
      </c>
      <c r="R495" s="34"/>
      <c r="S495" s="34" t="str">
        <f>RIGHT(G495,6)</f>
        <v>LCC001</v>
      </c>
      <c r="T495" s="34">
        <v>0</v>
      </c>
      <c r="U495" s="34" t="s">
        <v>469</v>
      </c>
      <c r="V495" s="34" t="str">
        <f>TEXT(N495,"YY/MM")</f>
        <v>26/09</v>
      </c>
      <c r="AI495" s="23">
        <v>0</v>
      </c>
      <c r="AJ495" s="23">
        <v>0</v>
      </c>
      <c r="AK495" s="23">
        <v>0</v>
      </c>
      <c r="AL495" s="23">
        <v>0</v>
      </c>
      <c r="AM495" s="23">
        <v>0</v>
      </c>
      <c r="AN495" s="23">
        <v>0</v>
      </c>
      <c r="AO495" s="23">
        <v>0</v>
      </c>
      <c r="AP495" s="23">
        <v>0</v>
      </c>
      <c r="AQ495" s="23">
        <v>0</v>
      </c>
      <c r="AR495" s="23">
        <v>0</v>
      </c>
      <c r="AS495" s="23">
        <v>0</v>
      </c>
      <c r="AT495" s="23">
        <v>0</v>
      </c>
      <c r="AU495" s="23">
        <v>0</v>
      </c>
      <c r="AV495" s="23">
        <v>0</v>
      </c>
      <c r="AW495" s="23">
        <v>0</v>
      </c>
      <c r="AX495" s="23">
        <v>0</v>
      </c>
      <c r="AY495" s="23">
        <v>0</v>
      </c>
      <c r="AZ495" s="23">
        <v>1</v>
      </c>
      <c r="BA495" s="23">
        <v>0</v>
      </c>
      <c r="BB495" s="23">
        <v>0</v>
      </c>
      <c r="BC495" s="23">
        <v>0</v>
      </c>
      <c r="BD495" s="23">
        <v>0</v>
      </c>
      <c r="BE495" s="23">
        <v>0</v>
      </c>
      <c r="BF495" s="23">
        <v>0</v>
      </c>
      <c r="BG495" s="23">
        <v>0</v>
      </c>
      <c r="BH495" s="23">
        <v>0</v>
      </c>
      <c r="BI495" s="23">
        <v>0</v>
      </c>
      <c r="BJ495" s="23">
        <v>0</v>
      </c>
      <c r="BK495" s="23">
        <v>0</v>
      </c>
      <c r="BL495" s="23">
        <v>0</v>
      </c>
      <c r="BM495" s="23">
        <v>0</v>
      </c>
      <c r="BN495" s="23">
        <v>0</v>
      </c>
      <c r="BO495" s="23">
        <v>0</v>
      </c>
      <c r="BP495" s="23">
        <f>$L495*AI495</f>
        <v>0</v>
      </c>
      <c r="BQ495" s="23">
        <f>$L495*AJ495</f>
        <v>0</v>
      </c>
      <c r="BR495" s="23">
        <f>$L495*AK495</f>
        <v>0</v>
      </c>
      <c r="BS495" s="23">
        <f>$L495*AL495</f>
        <v>0</v>
      </c>
      <c r="BT495" s="23">
        <f>$L495*AM495</f>
        <v>0</v>
      </c>
      <c r="BU495" s="23">
        <f>$L495*AN495</f>
        <v>0</v>
      </c>
      <c r="BV495" s="23">
        <f>$L495*AO495</f>
        <v>0</v>
      </c>
      <c r="BW495" s="23">
        <f>$L495*AP495</f>
        <v>0</v>
      </c>
      <c r="BX495" s="23">
        <f>$L495*AQ495</f>
        <v>0</v>
      </c>
      <c r="BY495" s="23">
        <f>$L495*AR495</f>
        <v>0</v>
      </c>
      <c r="BZ495" s="23">
        <f>$L495*AS495</f>
        <v>0</v>
      </c>
      <c r="CA495" s="23">
        <f>$L495*AT495</f>
        <v>0</v>
      </c>
      <c r="CB495" s="23">
        <f>$L495*AU495</f>
        <v>0</v>
      </c>
      <c r="CC495" s="23">
        <f>$L495*AV495</f>
        <v>0</v>
      </c>
      <c r="CD495" s="23">
        <f>$L495*AW495</f>
        <v>0</v>
      </c>
      <c r="CE495" s="23">
        <f>$L495*AX495</f>
        <v>0</v>
      </c>
      <c r="CF495" s="23">
        <f>$L495*AY495</f>
        <v>0</v>
      </c>
      <c r="CG495" s="23">
        <f>$L495*AZ495</f>
        <v>17</v>
      </c>
      <c r="CH495" s="23">
        <f>$L495*BA495</f>
        <v>0</v>
      </c>
      <c r="CI495" s="23">
        <f>$L495*BB495</f>
        <v>0</v>
      </c>
      <c r="CJ495" s="23">
        <f>$L495*BC495</f>
        <v>0</v>
      </c>
      <c r="CK495" s="23">
        <f>$L495*BD495</f>
        <v>0</v>
      </c>
      <c r="CL495" s="23">
        <f>$L495*BE495</f>
        <v>0</v>
      </c>
      <c r="CM495" s="23">
        <f>$L495*BF495</f>
        <v>0</v>
      </c>
      <c r="CN495" s="23">
        <f>$L495*BG495</f>
        <v>0</v>
      </c>
      <c r="CO495" s="23">
        <f>$L495*BH495</f>
        <v>0</v>
      </c>
      <c r="CP495" s="23">
        <f>$L495*BI495</f>
        <v>0</v>
      </c>
      <c r="CQ495" s="23">
        <f>$L495*BJ495</f>
        <v>0</v>
      </c>
      <c r="CR495" s="23">
        <f>$L495*BK495</f>
        <v>0</v>
      </c>
      <c r="CS495" s="23">
        <f>$L495*BL495</f>
        <v>0</v>
      </c>
      <c r="CT495" s="23">
        <f>$L495*BM495</f>
        <v>0</v>
      </c>
      <c r="CU495" s="23">
        <f>$L495*BN495</f>
        <v>0</v>
      </c>
      <c r="CV495" s="23">
        <f>$L495*BO495</f>
        <v>0</v>
      </c>
    </row>
    <row r="496" spans="1:100" ht="15" thickTop="1" thickBot="1" x14ac:dyDescent="0.2">
      <c r="A496" s="31">
        <v>16</v>
      </c>
      <c r="B496" s="32" t="s">
        <v>475</v>
      </c>
      <c r="C496" s="33" t="s">
        <v>471</v>
      </c>
      <c r="D496" s="33" t="s">
        <v>472</v>
      </c>
      <c r="E496" s="33" t="s">
        <v>476</v>
      </c>
      <c r="F496" s="33" t="s">
        <v>129</v>
      </c>
      <c r="G496" s="33" t="s">
        <v>476</v>
      </c>
      <c r="H496" s="33" t="s">
        <v>477</v>
      </c>
      <c r="I496" s="34" t="s">
        <v>467</v>
      </c>
      <c r="J496" s="34">
        <v>0</v>
      </c>
      <c r="K496" s="33"/>
      <c r="L496" s="31">
        <v>17</v>
      </c>
      <c r="M496" s="35"/>
      <c r="N496" s="35">
        <v>46276</v>
      </c>
      <c r="O496" s="35">
        <v>46276</v>
      </c>
      <c r="P496" s="35">
        <v>46276</v>
      </c>
      <c r="Q496" s="35" t="str">
        <f>IF(L496=T496,"OK","NG")</f>
        <v>NG</v>
      </c>
      <c r="R496" s="34"/>
      <c r="S496" s="34" t="str">
        <f>RIGHT(G496,6)</f>
        <v>LCD001</v>
      </c>
      <c r="T496" s="34">
        <v>0</v>
      </c>
      <c r="U496" s="34" t="s">
        <v>469</v>
      </c>
      <c r="V496" s="34" t="str">
        <f>TEXT(N496,"YY/MM")</f>
        <v>26/09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0</v>
      </c>
      <c r="AU496" s="23">
        <v>0</v>
      </c>
      <c r="AV496" s="23">
        <v>0</v>
      </c>
      <c r="AW496" s="23">
        <v>0</v>
      </c>
      <c r="AX496" s="23">
        <v>0</v>
      </c>
      <c r="AY496" s="23">
        <v>0</v>
      </c>
      <c r="AZ496" s="23">
        <v>0</v>
      </c>
      <c r="BA496" s="23">
        <v>0</v>
      </c>
      <c r="BB496" s="23">
        <v>0</v>
      </c>
      <c r="BC496" s="23">
        <v>0</v>
      </c>
      <c r="BD496" s="23">
        <v>1</v>
      </c>
      <c r="BE496" s="23">
        <v>0</v>
      </c>
      <c r="BF496" s="23">
        <v>0</v>
      </c>
      <c r="BG496" s="23">
        <v>0</v>
      </c>
      <c r="BH496" s="23">
        <v>0</v>
      </c>
      <c r="BI496" s="23">
        <v>0</v>
      </c>
      <c r="BJ496" s="23">
        <v>0</v>
      </c>
      <c r="BK496" s="23">
        <v>0</v>
      </c>
      <c r="BL496" s="23">
        <v>0</v>
      </c>
      <c r="BM496" s="23">
        <v>0</v>
      </c>
      <c r="BN496" s="23">
        <v>0</v>
      </c>
      <c r="BO496" s="23">
        <v>0</v>
      </c>
      <c r="BP496" s="23">
        <f>$L496*AI496</f>
        <v>0</v>
      </c>
      <c r="BQ496" s="23">
        <f>$L496*AJ496</f>
        <v>0</v>
      </c>
      <c r="BR496" s="23">
        <f>$L496*AK496</f>
        <v>0</v>
      </c>
      <c r="BS496" s="23">
        <f>$L496*AL496</f>
        <v>0</v>
      </c>
      <c r="BT496" s="23">
        <f>$L496*AM496</f>
        <v>0</v>
      </c>
      <c r="BU496" s="23">
        <f>$L496*AN496</f>
        <v>0</v>
      </c>
      <c r="BV496" s="23">
        <f>$L496*AO496</f>
        <v>0</v>
      </c>
      <c r="BW496" s="23">
        <f>$L496*AP496</f>
        <v>0</v>
      </c>
      <c r="BX496" s="23">
        <f>$L496*AQ496</f>
        <v>0</v>
      </c>
      <c r="BY496" s="23">
        <f>$L496*AR496</f>
        <v>0</v>
      </c>
      <c r="BZ496" s="23">
        <f>$L496*AS496</f>
        <v>0</v>
      </c>
      <c r="CA496" s="23">
        <f>$L496*AT496</f>
        <v>0</v>
      </c>
      <c r="CB496" s="23">
        <f>$L496*AU496</f>
        <v>0</v>
      </c>
      <c r="CC496" s="23">
        <f>$L496*AV496</f>
        <v>0</v>
      </c>
      <c r="CD496" s="23">
        <f>$L496*AW496</f>
        <v>0</v>
      </c>
      <c r="CE496" s="23">
        <f>$L496*AX496</f>
        <v>0</v>
      </c>
      <c r="CF496" s="23">
        <f>$L496*AY496</f>
        <v>0</v>
      </c>
      <c r="CG496" s="23">
        <f>$L496*AZ496</f>
        <v>0</v>
      </c>
      <c r="CH496" s="23">
        <f>$L496*BA496</f>
        <v>0</v>
      </c>
      <c r="CI496" s="23">
        <f>$L496*BB496</f>
        <v>0</v>
      </c>
      <c r="CJ496" s="23">
        <f>$L496*BC496</f>
        <v>0</v>
      </c>
      <c r="CK496" s="23">
        <f>$L496*BD496</f>
        <v>17</v>
      </c>
      <c r="CL496" s="23">
        <f>$L496*BE496</f>
        <v>0</v>
      </c>
      <c r="CM496" s="23">
        <f>$L496*BF496</f>
        <v>0</v>
      </c>
      <c r="CN496" s="23">
        <f>$L496*BG496</f>
        <v>0</v>
      </c>
      <c r="CO496" s="23">
        <f>$L496*BH496</f>
        <v>0</v>
      </c>
      <c r="CP496" s="23">
        <f>$L496*BI496</f>
        <v>0</v>
      </c>
      <c r="CQ496" s="23">
        <f>$L496*BJ496</f>
        <v>0</v>
      </c>
      <c r="CR496" s="23">
        <f>$L496*BK496</f>
        <v>0</v>
      </c>
      <c r="CS496" s="23">
        <f>$L496*BL496</f>
        <v>0</v>
      </c>
      <c r="CT496" s="23">
        <f>$L496*BM496</f>
        <v>0</v>
      </c>
      <c r="CU496" s="23">
        <f>$L496*BN496</f>
        <v>0</v>
      </c>
      <c r="CV496" s="23">
        <f>$L496*BO496</f>
        <v>0</v>
      </c>
    </row>
    <row r="497" spans="1:100" ht="15" thickTop="1" thickBot="1" x14ac:dyDescent="0.2">
      <c r="A497" s="31">
        <v>1</v>
      </c>
      <c r="B497" s="32" t="s">
        <v>478</v>
      </c>
      <c r="C497" s="33" t="s">
        <v>479</v>
      </c>
      <c r="D497" s="33" t="s">
        <v>480</v>
      </c>
      <c r="E497" s="33" t="s">
        <v>481</v>
      </c>
      <c r="F497" s="33" t="s">
        <v>465</v>
      </c>
      <c r="G497" s="33" t="s">
        <v>481</v>
      </c>
      <c r="H497" s="33" t="s">
        <v>482</v>
      </c>
      <c r="I497" s="34" t="s">
        <v>467</v>
      </c>
      <c r="J497" s="34">
        <v>0</v>
      </c>
      <c r="K497" s="33"/>
      <c r="L497" s="31">
        <v>2</v>
      </c>
      <c r="M497" s="35"/>
      <c r="N497" s="35">
        <v>46069</v>
      </c>
      <c r="O497" s="35">
        <v>46069</v>
      </c>
      <c r="P497" s="35">
        <v>46069</v>
      </c>
      <c r="Q497" s="35" t="str">
        <f>IF(L497=T497,"OK","NG")</f>
        <v>NG</v>
      </c>
      <c r="R497" s="34"/>
      <c r="S497" s="34" t="str">
        <f>RIGHT(G497,6)</f>
        <v>LAC001</v>
      </c>
      <c r="T497" s="34">
        <v>0</v>
      </c>
      <c r="U497" s="34" t="s">
        <v>469</v>
      </c>
      <c r="V497" s="34" t="str">
        <f>TEXT(N497,"YY/MM")</f>
        <v>26/02</v>
      </c>
      <c r="AI497" s="23">
        <v>0</v>
      </c>
      <c r="AJ497" s="23">
        <v>0</v>
      </c>
      <c r="AK497" s="23">
        <v>0</v>
      </c>
      <c r="AL497" s="23">
        <v>0</v>
      </c>
      <c r="AM497" s="23">
        <v>0</v>
      </c>
      <c r="AN497" s="23">
        <v>0</v>
      </c>
      <c r="AO497" s="23">
        <v>0</v>
      </c>
      <c r="AP497" s="23">
        <v>0</v>
      </c>
      <c r="AQ497" s="23">
        <v>0</v>
      </c>
      <c r="AR497" s="23">
        <v>0</v>
      </c>
      <c r="AS497" s="23">
        <v>0</v>
      </c>
      <c r="AT497" s="23">
        <v>0</v>
      </c>
      <c r="AU497" s="23">
        <v>0</v>
      </c>
      <c r="AV497" s="23">
        <v>0</v>
      </c>
      <c r="AW497" s="23">
        <v>0</v>
      </c>
      <c r="AX497" s="23">
        <v>1</v>
      </c>
      <c r="AY497" s="23">
        <v>0</v>
      </c>
      <c r="AZ497" s="23">
        <v>0</v>
      </c>
      <c r="BA497" s="23">
        <v>0</v>
      </c>
      <c r="BB497" s="23">
        <v>0</v>
      </c>
      <c r="BC497" s="23">
        <v>0</v>
      </c>
      <c r="BD497" s="23">
        <v>0</v>
      </c>
      <c r="BE497" s="23">
        <v>0</v>
      </c>
      <c r="BF497" s="23">
        <v>0</v>
      </c>
      <c r="BG497" s="23">
        <v>0</v>
      </c>
      <c r="BH497" s="23">
        <v>0</v>
      </c>
      <c r="BI497" s="23">
        <v>0</v>
      </c>
      <c r="BJ497" s="23">
        <v>0</v>
      </c>
      <c r="BK497" s="23">
        <v>0</v>
      </c>
      <c r="BL497" s="23">
        <v>0</v>
      </c>
      <c r="BM497" s="23">
        <v>0</v>
      </c>
      <c r="BN497" s="23">
        <v>0</v>
      </c>
      <c r="BO497" s="23">
        <v>0</v>
      </c>
      <c r="BP497" s="23">
        <f>$L497*AI497</f>
        <v>0</v>
      </c>
      <c r="BQ497" s="23">
        <f>$L497*AJ497</f>
        <v>0</v>
      </c>
      <c r="BR497" s="23">
        <f>$L497*AK497</f>
        <v>0</v>
      </c>
      <c r="BS497" s="23">
        <f>$L497*AL497</f>
        <v>0</v>
      </c>
      <c r="BT497" s="23">
        <f>$L497*AM497</f>
        <v>0</v>
      </c>
      <c r="BU497" s="23">
        <f>$L497*AN497</f>
        <v>0</v>
      </c>
      <c r="BV497" s="23">
        <f>$L497*AO497</f>
        <v>0</v>
      </c>
      <c r="BW497" s="23">
        <f>$L497*AP497</f>
        <v>0</v>
      </c>
      <c r="BX497" s="23">
        <f>$L497*AQ497</f>
        <v>0</v>
      </c>
      <c r="BY497" s="23">
        <f>$L497*AR497</f>
        <v>0</v>
      </c>
      <c r="BZ497" s="23">
        <f>$L497*AS497</f>
        <v>0</v>
      </c>
      <c r="CA497" s="23">
        <f>$L497*AT497</f>
        <v>0</v>
      </c>
      <c r="CB497" s="23">
        <f>$L497*AU497</f>
        <v>0</v>
      </c>
      <c r="CC497" s="23">
        <f>$L497*AV497</f>
        <v>0</v>
      </c>
      <c r="CD497" s="23">
        <f>$L497*AW497</f>
        <v>0</v>
      </c>
      <c r="CE497" s="23">
        <f>$L497*AX497</f>
        <v>2</v>
      </c>
      <c r="CF497" s="23">
        <f>$L497*AY497</f>
        <v>0</v>
      </c>
      <c r="CG497" s="23">
        <f>$L497*AZ497</f>
        <v>0</v>
      </c>
      <c r="CH497" s="23">
        <f>$L497*BA497</f>
        <v>0</v>
      </c>
      <c r="CI497" s="23">
        <f>$L497*BB497</f>
        <v>0</v>
      </c>
      <c r="CJ497" s="23">
        <f>$L497*BC497</f>
        <v>0</v>
      </c>
      <c r="CK497" s="23">
        <f>$L497*BD497</f>
        <v>0</v>
      </c>
      <c r="CL497" s="23">
        <f>$L497*BE497</f>
        <v>0</v>
      </c>
      <c r="CM497" s="23">
        <f>$L497*BF497</f>
        <v>0</v>
      </c>
      <c r="CN497" s="23">
        <f>$L497*BG497</f>
        <v>0</v>
      </c>
      <c r="CO497" s="23">
        <f>$L497*BH497</f>
        <v>0</v>
      </c>
      <c r="CP497" s="23">
        <f>$L497*BI497</f>
        <v>0</v>
      </c>
      <c r="CQ497" s="23">
        <f>$L497*BJ497</f>
        <v>0</v>
      </c>
      <c r="CR497" s="23">
        <f>$L497*BK497</f>
        <v>0</v>
      </c>
      <c r="CS497" s="23">
        <f>$L497*BL497</f>
        <v>0</v>
      </c>
      <c r="CT497" s="23">
        <f>$L497*BM497</f>
        <v>0</v>
      </c>
      <c r="CU497" s="23">
        <f>$L497*BN497</f>
        <v>0</v>
      </c>
      <c r="CV497" s="23">
        <f>$L497*BO497</f>
        <v>0</v>
      </c>
    </row>
    <row r="498" spans="1:100" ht="14.25" thickTop="1" x14ac:dyDescent="0.15">
      <c r="A498" s="15">
        <v>8</v>
      </c>
      <c r="B498" s="27" t="s">
        <v>483</v>
      </c>
      <c r="C498" t="s">
        <v>177</v>
      </c>
      <c r="D498" t="s">
        <v>484</v>
      </c>
      <c r="E498" t="s">
        <v>420</v>
      </c>
      <c r="F498" t="s">
        <v>465</v>
      </c>
      <c r="G498" t="s">
        <v>485</v>
      </c>
      <c r="H498" t="s">
        <v>486</v>
      </c>
      <c r="I498" s="6" t="s">
        <v>467</v>
      </c>
      <c r="J498" s="6">
        <v>0</v>
      </c>
      <c r="L498" s="15">
        <v>1</v>
      </c>
      <c r="M498" s="7">
        <v>46079</v>
      </c>
      <c r="N498" s="7">
        <v>46107</v>
      </c>
      <c r="O498" s="7">
        <v>46107</v>
      </c>
      <c r="P498" s="7">
        <v>46107</v>
      </c>
      <c r="Q498" s="30" t="str">
        <f>IF(L498=T498,"OK","NG")</f>
        <v>OK</v>
      </c>
      <c r="R498" s="6" t="s">
        <v>487</v>
      </c>
      <c r="S498" s="6" t="str">
        <f>RIGHT(G498,6)</f>
        <v>LCN001</v>
      </c>
      <c r="T498" s="6">
        <v>1</v>
      </c>
      <c r="U498" s="6" t="s">
        <v>469</v>
      </c>
      <c r="V498" s="6" t="str">
        <f>TEXT(N498,"YY/MM")</f>
        <v>26/03</v>
      </c>
      <c r="AI498" s="23">
        <v>0</v>
      </c>
      <c r="AJ498" s="23">
        <v>0</v>
      </c>
      <c r="AK498" s="23">
        <v>0</v>
      </c>
      <c r="AL498" s="23">
        <v>0</v>
      </c>
      <c r="AM498" s="23">
        <v>0</v>
      </c>
      <c r="AN498" s="23">
        <v>0</v>
      </c>
      <c r="AO498" s="23">
        <v>0</v>
      </c>
      <c r="AP498" s="23">
        <v>0</v>
      </c>
      <c r="AQ498" s="23">
        <v>0</v>
      </c>
      <c r="AR498" s="23">
        <v>0</v>
      </c>
      <c r="AS498" s="23">
        <v>0</v>
      </c>
      <c r="AT498" s="23">
        <v>0</v>
      </c>
      <c r="AU498" s="23">
        <v>0</v>
      </c>
      <c r="AV498" s="23">
        <v>0</v>
      </c>
      <c r="AW498" s="23">
        <v>1</v>
      </c>
      <c r="AX498" s="23">
        <v>0</v>
      </c>
      <c r="AY498" s="23">
        <v>0</v>
      </c>
      <c r="AZ498" s="23">
        <v>0</v>
      </c>
      <c r="BA498" s="23">
        <v>0</v>
      </c>
      <c r="BB498" s="23">
        <v>0</v>
      </c>
      <c r="BC498" s="23">
        <v>0</v>
      </c>
      <c r="BD498" s="23">
        <v>0</v>
      </c>
      <c r="BE498" s="23">
        <v>0</v>
      </c>
      <c r="BF498" s="23">
        <v>0</v>
      </c>
      <c r="BG498" s="23">
        <v>0</v>
      </c>
      <c r="BH498" s="23">
        <v>0</v>
      </c>
      <c r="BI498" s="23">
        <v>0</v>
      </c>
      <c r="BJ498" s="23">
        <v>0</v>
      </c>
      <c r="BK498" s="23">
        <v>0</v>
      </c>
      <c r="BL498" s="23">
        <v>0</v>
      </c>
      <c r="BM498" s="23">
        <v>0</v>
      </c>
      <c r="BN498" s="23">
        <v>0</v>
      </c>
      <c r="BO498" s="23">
        <v>0</v>
      </c>
      <c r="BP498" s="23">
        <f>$L498*AI498</f>
        <v>0</v>
      </c>
      <c r="BQ498" s="23">
        <f>$L498*AJ498</f>
        <v>0</v>
      </c>
      <c r="BR498" s="23">
        <f>$L498*AK498</f>
        <v>0</v>
      </c>
      <c r="BS498" s="23">
        <f>$L498*AL498</f>
        <v>0</v>
      </c>
      <c r="BT498" s="23">
        <f>$L498*AM498</f>
        <v>0</v>
      </c>
      <c r="BU498" s="23">
        <f>$L498*AN498</f>
        <v>0</v>
      </c>
      <c r="BV498" s="23">
        <f>$L498*AO498</f>
        <v>0</v>
      </c>
      <c r="BW498" s="23">
        <f>$L498*AP498</f>
        <v>0</v>
      </c>
      <c r="BX498" s="23">
        <f>$L498*AQ498</f>
        <v>0</v>
      </c>
      <c r="BY498" s="23">
        <f>$L498*AR498</f>
        <v>0</v>
      </c>
      <c r="BZ498" s="23">
        <f>$L498*AS498</f>
        <v>0</v>
      </c>
      <c r="CA498" s="23">
        <f>$L498*AT498</f>
        <v>0</v>
      </c>
      <c r="CB498" s="23">
        <f>$L498*AU498</f>
        <v>0</v>
      </c>
      <c r="CC498" s="23">
        <f>$L498*AV498</f>
        <v>0</v>
      </c>
      <c r="CD498" s="23">
        <f>$L498*AW498</f>
        <v>1</v>
      </c>
      <c r="CE498" s="23">
        <f>$L498*AX498</f>
        <v>0</v>
      </c>
      <c r="CF498" s="23">
        <f>$L498*AY498</f>
        <v>0</v>
      </c>
      <c r="CG498" s="23">
        <f>$L498*AZ498</f>
        <v>0</v>
      </c>
      <c r="CH498" s="23">
        <f>$L498*BA498</f>
        <v>0</v>
      </c>
      <c r="CI498" s="23">
        <f>$L498*BB498</f>
        <v>0</v>
      </c>
      <c r="CJ498" s="23">
        <f>$L498*BC498</f>
        <v>0</v>
      </c>
      <c r="CK498" s="23">
        <f>$L498*BD498</f>
        <v>0</v>
      </c>
      <c r="CL498" s="23">
        <f>$L498*BE498</f>
        <v>0</v>
      </c>
      <c r="CM498" s="23">
        <f>$L498*BF498</f>
        <v>0</v>
      </c>
      <c r="CN498" s="23">
        <f>$L498*BG498</f>
        <v>0</v>
      </c>
      <c r="CO498" s="23">
        <f>$L498*BH498</f>
        <v>0</v>
      </c>
      <c r="CP498" s="23">
        <f>$L498*BI498</f>
        <v>0</v>
      </c>
      <c r="CQ498" s="23">
        <f>$L498*BJ498</f>
        <v>0</v>
      </c>
      <c r="CR498" s="23">
        <f>$L498*BK498</f>
        <v>0</v>
      </c>
      <c r="CS498" s="23">
        <f>$L498*BL498</f>
        <v>0</v>
      </c>
      <c r="CT498" s="23">
        <f>$L498*BM498</f>
        <v>0</v>
      </c>
      <c r="CU498" s="23">
        <f>$L498*BN498</f>
        <v>0</v>
      </c>
      <c r="CV498" s="23">
        <f>$L498*BO498</f>
        <v>0</v>
      </c>
    </row>
    <row r="499" spans="1:100" ht="13.5" x14ac:dyDescent="0.15">
      <c r="A499" s="15">
        <v>11</v>
      </c>
      <c r="B499" s="27" t="s">
        <v>488</v>
      </c>
      <c r="C499" t="s">
        <v>177</v>
      </c>
      <c r="D499" t="s">
        <v>489</v>
      </c>
      <c r="E499" t="s">
        <v>417</v>
      </c>
      <c r="F499" t="s">
        <v>465</v>
      </c>
      <c r="G499" t="s">
        <v>485</v>
      </c>
      <c r="H499" t="s">
        <v>486</v>
      </c>
      <c r="I499" s="6" t="s">
        <v>467</v>
      </c>
      <c r="J499" s="6">
        <v>0</v>
      </c>
      <c r="L499" s="15">
        <v>1</v>
      </c>
      <c r="M499" s="7">
        <v>46079</v>
      </c>
      <c r="N499" s="7">
        <v>46107</v>
      </c>
      <c r="O499" s="7">
        <v>46107</v>
      </c>
      <c r="P499" s="7">
        <v>46107</v>
      </c>
      <c r="Q499" s="30" t="str">
        <f>IF(L499=T499,"OK","NG")</f>
        <v>OK</v>
      </c>
      <c r="R499" s="6" t="s">
        <v>490</v>
      </c>
      <c r="S499" s="6" t="str">
        <f>RIGHT(G499,6)</f>
        <v>LCN001</v>
      </c>
      <c r="T499" s="6">
        <v>1</v>
      </c>
      <c r="U499" s="6" t="s">
        <v>469</v>
      </c>
      <c r="V499" s="6" t="str">
        <f>TEXT(N499,"YY/MM")</f>
        <v>26/03</v>
      </c>
      <c r="AI499" s="23">
        <v>0</v>
      </c>
      <c r="AJ499" s="23">
        <v>0</v>
      </c>
      <c r="AK499" s="23">
        <v>0</v>
      </c>
      <c r="AL499" s="23">
        <v>0</v>
      </c>
      <c r="AM499" s="23">
        <v>0</v>
      </c>
      <c r="AN499" s="23">
        <v>0</v>
      </c>
      <c r="AO499" s="23">
        <v>0</v>
      </c>
      <c r="AP499" s="23">
        <v>0</v>
      </c>
      <c r="AQ499" s="23">
        <v>0</v>
      </c>
      <c r="AR499" s="23">
        <v>0</v>
      </c>
      <c r="AS499" s="23">
        <v>0</v>
      </c>
      <c r="AT499" s="23">
        <v>0</v>
      </c>
      <c r="AU499" s="23">
        <v>0</v>
      </c>
      <c r="AV499" s="23">
        <v>0</v>
      </c>
      <c r="AW499" s="23">
        <v>1</v>
      </c>
      <c r="AX499" s="23">
        <v>0</v>
      </c>
      <c r="AY499" s="23">
        <v>0</v>
      </c>
      <c r="AZ499" s="23">
        <v>0</v>
      </c>
      <c r="BA499" s="23">
        <v>0</v>
      </c>
      <c r="BB499" s="23">
        <v>0</v>
      </c>
      <c r="BC499" s="23">
        <v>0</v>
      </c>
      <c r="BD499" s="23">
        <v>0</v>
      </c>
      <c r="BE499" s="23">
        <v>0</v>
      </c>
      <c r="BF499" s="23">
        <v>0</v>
      </c>
      <c r="BG499" s="23">
        <v>0</v>
      </c>
      <c r="BH499" s="23">
        <v>0</v>
      </c>
      <c r="BI499" s="23">
        <v>0</v>
      </c>
      <c r="BJ499" s="23">
        <v>0</v>
      </c>
      <c r="BK499" s="23">
        <v>0</v>
      </c>
      <c r="BL499" s="23">
        <v>0</v>
      </c>
      <c r="BM499" s="23">
        <v>0</v>
      </c>
      <c r="BN499" s="23">
        <v>0</v>
      </c>
      <c r="BO499" s="23">
        <v>0</v>
      </c>
      <c r="BP499" s="23">
        <f>$L499*AI499</f>
        <v>0</v>
      </c>
      <c r="BQ499" s="23">
        <f>$L499*AJ499</f>
        <v>0</v>
      </c>
      <c r="BR499" s="23">
        <f>$L499*AK499</f>
        <v>0</v>
      </c>
      <c r="BS499" s="23">
        <f>$L499*AL499</f>
        <v>0</v>
      </c>
      <c r="BT499" s="23">
        <f>$L499*AM499</f>
        <v>0</v>
      </c>
      <c r="BU499" s="23">
        <f>$L499*AN499</f>
        <v>0</v>
      </c>
      <c r="BV499" s="23">
        <f>$L499*AO499</f>
        <v>0</v>
      </c>
      <c r="BW499" s="23">
        <f>$L499*AP499</f>
        <v>0</v>
      </c>
      <c r="BX499" s="23">
        <f>$L499*AQ499</f>
        <v>0</v>
      </c>
      <c r="BY499" s="23">
        <f>$L499*AR499</f>
        <v>0</v>
      </c>
      <c r="BZ499" s="23">
        <f>$L499*AS499</f>
        <v>0</v>
      </c>
      <c r="CA499" s="23">
        <f>$L499*AT499</f>
        <v>0</v>
      </c>
      <c r="CB499" s="23">
        <f>$L499*AU499</f>
        <v>0</v>
      </c>
      <c r="CC499" s="23">
        <f>$L499*AV499</f>
        <v>0</v>
      </c>
      <c r="CD499" s="23">
        <f>$L499*AW499</f>
        <v>1</v>
      </c>
      <c r="CE499" s="23">
        <f>$L499*AX499</f>
        <v>0</v>
      </c>
      <c r="CF499" s="23">
        <f>$L499*AY499</f>
        <v>0</v>
      </c>
      <c r="CG499" s="23">
        <f>$L499*AZ499</f>
        <v>0</v>
      </c>
      <c r="CH499" s="23">
        <f>$L499*BA499</f>
        <v>0</v>
      </c>
      <c r="CI499" s="23">
        <f>$L499*BB499</f>
        <v>0</v>
      </c>
      <c r="CJ499" s="23">
        <f>$L499*BC499</f>
        <v>0</v>
      </c>
      <c r="CK499" s="23">
        <f>$L499*BD499</f>
        <v>0</v>
      </c>
      <c r="CL499" s="23">
        <f>$L499*BE499</f>
        <v>0</v>
      </c>
      <c r="CM499" s="23">
        <f>$L499*BF499</f>
        <v>0</v>
      </c>
      <c r="CN499" s="23">
        <f>$L499*BG499</f>
        <v>0</v>
      </c>
      <c r="CO499" s="23">
        <f>$L499*BH499</f>
        <v>0</v>
      </c>
      <c r="CP499" s="23">
        <f>$L499*BI499</f>
        <v>0</v>
      </c>
      <c r="CQ499" s="23">
        <f>$L499*BJ499</f>
        <v>0</v>
      </c>
      <c r="CR499" s="23">
        <f>$L499*BK499</f>
        <v>0</v>
      </c>
      <c r="CS499" s="23">
        <f>$L499*BL499</f>
        <v>0</v>
      </c>
      <c r="CT499" s="23">
        <f>$L499*BM499</f>
        <v>0</v>
      </c>
      <c r="CU499" s="23">
        <f>$L499*BN499</f>
        <v>0</v>
      </c>
      <c r="CV499" s="23">
        <f>$L499*BO499</f>
        <v>0</v>
      </c>
    </row>
    <row r="500" spans="1:100" ht="14.25" thickBot="1" x14ac:dyDescent="0.2">
      <c r="A500" s="31">
        <v>13</v>
      </c>
      <c r="B500" s="32" t="s">
        <v>491</v>
      </c>
      <c r="C500" s="33" t="s">
        <v>177</v>
      </c>
      <c r="D500" s="33" t="s">
        <v>492</v>
      </c>
      <c r="E500" s="33" t="s">
        <v>421</v>
      </c>
      <c r="F500" s="33" t="s">
        <v>129</v>
      </c>
      <c r="G500" s="33" t="s">
        <v>485</v>
      </c>
      <c r="H500" s="33" t="s">
        <v>486</v>
      </c>
      <c r="I500" s="34" t="s">
        <v>467</v>
      </c>
      <c r="J500" s="34">
        <v>1</v>
      </c>
      <c r="K500" s="33"/>
      <c r="L500" s="31">
        <v>1</v>
      </c>
      <c r="M500" s="35">
        <v>46098</v>
      </c>
      <c r="N500" s="35">
        <v>46127</v>
      </c>
      <c r="O500" s="35">
        <v>46127</v>
      </c>
      <c r="P500" s="35">
        <v>46127</v>
      </c>
      <c r="Q500" s="36" t="str">
        <f>IF(L500=T500,"OK","NG")</f>
        <v>OK</v>
      </c>
      <c r="R500" s="34"/>
      <c r="S500" s="34" t="str">
        <f>RIGHT(G500,6)</f>
        <v>LCN001</v>
      </c>
      <c r="T500" s="34">
        <v>1</v>
      </c>
      <c r="U500" s="34" t="s">
        <v>469</v>
      </c>
      <c r="V500" s="34" t="str">
        <f>TEXT(N500,"YY/MM")</f>
        <v>26/04</v>
      </c>
      <c r="AI500" s="23">
        <v>0</v>
      </c>
      <c r="AJ500" s="23">
        <v>0</v>
      </c>
      <c r="AK500" s="23">
        <v>0</v>
      </c>
      <c r="AL500" s="23">
        <v>0</v>
      </c>
      <c r="AM500" s="23">
        <v>0</v>
      </c>
      <c r="AN500" s="23">
        <v>0</v>
      </c>
      <c r="AO500" s="23">
        <v>0</v>
      </c>
      <c r="AP500" s="23">
        <v>0</v>
      </c>
      <c r="AQ500" s="23">
        <v>0</v>
      </c>
      <c r="AR500" s="23">
        <v>0</v>
      </c>
      <c r="AS500" s="23">
        <v>0</v>
      </c>
      <c r="AT500" s="23">
        <v>0</v>
      </c>
      <c r="AU500" s="23">
        <v>0</v>
      </c>
      <c r="AV500" s="23">
        <v>0</v>
      </c>
      <c r="AW500" s="23">
        <v>1</v>
      </c>
      <c r="AX500" s="23">
        <v>0</v>
      </c>
      <c r="AY500" s="23">
        <v>0</v>
      </c>
      <c r="AZ500" s="23">
        <v>0</v>
      </c>
      <c r="BA500" s="23">
        <v>0</v>
      </c>
      <c r="BB500" s="23">
        <v>0</v>
      </c>
      <c r="BC500" s="23">
        <v>0</v>
      </c>
      <c r="BD500" s="23">
        <v>0</v>
      </c>
      <c r="BE500" s="23">
        <v>0</v>
      </c>
      <c r="BF500" s="23">
        <v>0</v>
      </c>
      <c r="BG500" s="23">
        <v>0</v>
      </c>
      <c r="BH500" s="23">
        <v>0</v>
      </c>
      <c r="BI500" s="23">
        <v>0</v>
      </c>
      <c r="BJ500" s="23">
        <v>0</v>
      </c>
      <c r="BK500" s="23">
        <v>0</v>
      </c>
      <c r="BL500" s="23">
        <v>0</v>
      </c>
      <c r="BM500" s="23">
        <v>0</v>
      </c>
      <c r="BN500" s="23">
        <v>0</v>
      </c>
      <c r="BO500" s="23">
        <v>0</v>
      </c>
      <c r="BP500" s="23">
        <f>$L500*AI500</f>
        <v>0</v>
      </c>
      <c r="BQ500" s="23">
        <f>$L500*AJ500</f>
        <v>0</v>
      </c>
      <c r="BR500" s="23">
        <f>$L500*AK500</f>
        <v>0</v>
      </c>
      <c r="BS500" s="23">
        <f>$L500*AL500</f>
        <v>0</v>
      </c>
      <c r="BT500" s="23">
        <f>$L500*AM500</f>
        <v>0</v>
      </c>
      <c r="BU500" s="23">
        <f>$L500*AN500</f>
        <v>0</v>
      </c>
      <c r="BV500" s="23">
        <f>$L500*AO500</f>
        <v>0</v>
      </c>
      <c r="BW500" s="23">
        <f>$L500*AP500</f>
        <v>0</v>
      </c>
      <c r="BX500" s="23">
        <f>$L500*AQ500</f>
        <v>0</v>
      </c>
      <c r="BY500" s="23">
        <f>$L500*AR500</f>
        <v>0</v>
      </c>
      <c r="BZ500" s="23">
        <f>$L500*AS500</f>
        <v>0</v>
      </c>
      <c r="CA500" s="23">
        <f>$L500*AT500</f>
        <v>0</v>
      </c>
      <c r="CB500" s="23">
        <f>$L500*AU500</f>
        <v>0</v>
      </c>
      <c r="CC500" s="23">
        <f>$L500*AV500</f>
        <v>0</v>
      </c>
      <c r="CD500" s="23">
        <f>$L500*AW500</f>
        <v>1</v>
      </c>
      <c r="CE500" s="23">
        <f>$L500*AX500</f>
        <v>0</v>
      </c>
      <c r="CF500" s="23">
        <f>$L500*AY500</f>
        <v>0</v>
      </c>
      <c r="CG500" s="23">
        <f>$L500*AZ500</f>
        <v>0</v>
      </c>
      <c r="CH500" s="23">
        <f>$L500*BA500</f>
        <v>0</v>
      </c>
      <c r="CI500" s="23">
        <f>$L500*BB500</f>
        <v>0</v>
      </c>
      <c r="CJ500" s="23">
        <f>$L500*BC500</f>
        <v>0</v>
      </c>
      <c r="CK500" s="23">
        <f>$L500*BD500</f>
        <v>0</v>
      </c>
      <c r="CL500" s="23">
        <f>$L500*BE500</f>
        <v>0</v>
      </c>
      <c r="CM500" s="23">
        <f>$L500*BF500</f>
        <v>0</v>
      </c>
      <c r="CN500" s="23">
        <f>$L500*BG500</f>
        <v>0</v>
      </c>
      <c r="CO500" s="23">
        <f>$L500*BH500</f>
        <v>0</v>
      </c>
      <c r="CP500" s="23">
        <f>$L500*BI500</f>
        <v>0</v>
      </c>
      <c r="CQ500" s="23">
        <f>$L500*BJ500</f>
        <v>0</v>
      </c>
      <c r="CR500" s="23">
        <f>$L500*BK500</f>
        <v>0</v>
      </c>
      <c r="CS500" s="23">
        <f>$L500*BL500</f>
        <v>0</v>
      </c>
      <c r="CT500" s="23">
        <f>$L500*BM500</f>
        <v>0</v>
      </c>
      <c r="CU500" s="23">
        <f>$L500*BN500</f>
        <v>0</v>
      </c>
      <c r="CV500" s="23">
        <f>$L500*BO500</f>
        <v>0</v>
      </c>
    </row>
    <row r="501" spans="1:100" ht="15" thickTop="1" thickBot="1" x14ac:dyDescent="0.2">
      <c r="A501" s="31">
        <v>4</v>
      </c>
      <c r="B501" s="32" t="s">
        <v>496</v>
      </c>
      <c r="C501" s="33" t="s">
        <v>462</v>
      </c>
      <c r="D501" s="33" t="s">
        <v>493</v>
      </c>
      <c r="E501" s="33" t="s">
        <v>494</v>
      </c>
      <c r="F501" s="33" t="s">
        <v>465</v>
      </c>
      <c r="G501" s="33" t="s">
        <v>494</v>
      </c>
      <c r="H501" s="33" t="s">
        <v>495</v>
      </c>
      <c r="I501" s="34" t="s">
        <v>467</v>
      </c>
      <c r="J501" s="34">
        <v>0</v>
      </c>
      <c r="K501" s="33"/>
      <c r="L501" s="31">
        <v>2</v>
      </c>
      <c r="M501" s="35">
        <v>46056</v>
      </c>
      <c r="N501" s="35">
        <v>46084</v>
      </c>
      <c r="O501" s="35">
        <v>46084</v>
      </c>
      <c r="P501" s="35">
        <v>46084</v>
      </c>
      <c r="Q501" s="36" t="str">
        <f>IF(L501=T501,"OK","NG")</f>
        <v>OK</v>
      </c>
      <c r="R501" s="34" t="s">
        <v>497</v>
      </c>
      <c r="S501" s="34" t="str">
        <f>RIGHT(G501,6)</f>
        <v>LAG001</v>
      </c>
      <c r="T501" s="34">
        <v>2</v>
      </c>
      <c r="U501" s="34" t="s">
        <v>469</v>
      </c>
      <c r="V501" s="34" t="str">
        <f>TEXT(N501,"YY/MM")</f>
        <v>26/03</v>
      </c>
      <c r="AI501" s="23">
        <v>0</v>
      </c>
      <c r="AJ501" s="23">
        <v>0</v>
      </c>
      <c r="AK501" s="23">
        <v>0</v>
      </c>
      <c r="AL501" s="23">
        <v>0</v>
      </c>
      <c r="AM501" s="23">
        <v>1</v>
      </c>
      <c r="AN501" s="23">
        <v>0</v>
      </c>
      <c r="AO501" s="23">
        <v>0</v>
      </c>
      <c r="AP501" s="23">
        <v>0</v>
      </c>
      <c r="AQ501" s="23">
        <v>0</v>
      </c>
      <c r="AR501" s="23">
        <v>0</v>
      </c>
      <c r="AS501" s="23">
        <v>0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0</v>
      </c>
      <c r="AZ501" s="23">
        <v>0</v>
      </c>
      <c r="BA501" s="23">
        <v>0</v>
      </c>
      <c r="BB501" s="23">
        <v>0</v>
      </c>
      <c r="BC501" s="23">
        <v>0</v>
      </c>
      <c r="BD501" s="23">
        <v>0</v>
      </c>
      <c r="BE501" s="23">
        <v>0</v>
      </c>
      <c r="BF501" s="23">
        <v>0</v>
      </c>
      <c r="BG501" s="23">
        <v>0</v>
      </c>
      <c r="BH501" s="23">
        <v>0</v>
      </c>
      <c r="BI501" s="23">
        <v>0</v>
      </c>
      <c r="BJ501" s="23">
        <v>0</v>
      </c>
      <c r="BK501" s="23">
        <v>0</v>
      </c>
      <c r="BL501" s="23">
        <v>0</v>
      </c>
      <c r="BM501" s="23">
        <v>0</v>
      </c>
      <c r="BN501" s="23">
        <v>0</v>
      </c>
      <c r="BO501" s="23">
        <v>0</v>
      </c>
      <c r="BP501" s="23">
        <f>$L501*AI501</f>
        <v>0</v>
      </c>
      <c r="BQ501" s="23">
        <f>$L501*AJ501</f>
        <v>0</v>
      </c>
      <c r="BR501" s="23">
        <f>$L501*AK501</f>
        <v>0</v>
      </c>
      <c r="BS501" s="23">
        <f>$L501*AL501</f>
        <v>0</v>
      </c>
      <c r="BT501" s="23">
        <f>$L501*AM501</f>
        <v>2</v>
      </c>
      <c r="BU501" s="23">
        <f>$L501*AN501</f>
        <v>0</v>
      </c>
      <c r="BV501" s="23">
        <f>$L501*AO501</f>
        <v>0</v>
      </c>
      <c r="BW501" s="23">
        <f>$L501*AP501</f>
        <v>0</v>
      </c>
      <c r="BX501" s="23">
        <f>$L501*AQ501</f>
        <v>0</v>
      </c>
      <c r="BY501" s="23">
        <f>$L501*AR501</f>
        <v>0</v>
      </c>
      <c r="BZ501" s="23">
        <f>$L501*AS501</f>
        <v>0</v>
      </c>
      <c r="CA501" s="23">
        <f>$L501*AT501</f>
        <v>0</v>
      </c>
      <c r="CB501" s="23">
        <f>$L501*AU501</f>
        <v>0</v>
      </c>
      <c r="CC501" s="23">
        <f>$L501*AV501</f>
        <v>0</v>
      </c>
      <c r="CD501" s="23">
        <f>$L501*AW501</f>
        <v>0</v>
      </c>
      <c r="CE501" s="23">
        <f>$L501*AX501</f>
        <v>0</v>
      </c>
      <c r="CF501" s="23">
        <f>$L501*AY501</f>
        <v>0</v>
      </c>
      <c r="CG501" s="23">
        <f>$L501*AZ501</f>
        <v>0</v>
      </c>
      <c r="CH501" s="23">
        <f>$L501*BA501</f>
        <v>0</v>
      </c>
      <c r="CI501" s="23">
        <f>$L501*BB501</f>
        <v>0</v>
      </c>
      <c r="CJ501" s="23">
        <f>$L501*BC501</f>
        <v>0</v>
      </c>
      <c r="CK501" s="23">
        <f>$L501*BD501</f>
        <v>0</v>
      </c>
      <c r="CL501" s="23">
        <f>$L501*BE501</f>
        <v>0</v>
      </c>
      <c r="CM501" s="23">
        <f>$L501*BF501</f>
        <v>0</v>
      </c>
      <c r="CN501" s="23">
        <f>$L501*BG501</f>
        <v>0</v>
      </c>
      <c r="CO501" s="23">
        <f>$L501*BH501</f>
        <v>0</v>
      </c>
      <c r="CP501" s="23">
        <f>$L501*BI501</f>
        <v>0</v>
      </c>
      <c r="CQ501" s="23">
        <f>$L501*BJ501</f>
        <v>0</v>
      </c>
      <c r="CR501" s="23">
        <f>$L501*BK501</f>
        <v>0</v>
      </c>
      <c r="CS501" s="23">
        <f>$L501*BL501</f>
        <v>0</v>
      </c>
      <c r="CT501" s="23">
        <f>$L501*BM501</f>
        <v>0</v>
      </c>
      <c r="CU501" s="23">
        <f>$L501*BN501</f>
        <v>0</v>
      </c>
      <c r="CV501" s="23">
        <f>$L501*BO501</f>
        <v>0</v>
      </c>
    </row>
    <row r="502" spans="1:100" ht="14.25" thickTop="1" x14ac:dyDescent="0.15">
      <c r="A502" s="15">
        <v>7</v>
      </c>
      <c r="B502" s="27" t="s">
        <v>498</v>
      </c>
      <c r="C502" t="s">
        <v>177</v>
      </c>
      <c r="D502" t="s">
        <v>484</v>
      </c>
      <c r="E502" t="s">
        <v>420</v>
      </c>
      <c r="F502" t="s">
        <v>465</v>
      </c>
      <c r="G502" t="s">
        <v>499</v>
      </c>
      <c r="H502" t="s">
        <v>500</v>
      </c>
      <c r="I502" s="6" t="s">
        <v>467</v>
      </c>
      <c r="J502" s="6">
        <v>0</v>
      </c>
      <c r="L502" s="15">
        <v>1</v>
      </c>
      <c r="M502" s="7">
        <v>46079</v>
      </c>
      <c r="N502" s="7">
        <v>46107</v>
      </c>
      <c r="O502" s="7">
        <v>46107</v>
      </c>
      <c r="P502" s="7">
        <v>46107</v>
      </c>
      <c r="Q502" s="30" t="str">
        <f>IF(L502=T502,"OK","NG")</f>
        <v>OK</v>
      </c>
      <c r="R502" s="6" t="s">
        <v>501</v>
      </c>
      <c r="S502" s="6" t="str">
        <f>RIGHT(G502,6)</f>
        <v>LCD002</v>
      </c>
      <c r="T502" s="6">
        <v>1</v>
      </c>
      <c r="U502" s="6" t="s">
        <v>469</v>
      </c>
      <c r="V502" s="6" t="str">
        <f>TEXT(N502,"YY/MM")</f>
        <v>26/03</v>
      </c>
      <c r="AI502" s="23">
        <v>0</v>
      </c>
      <c r="AJ502" s="23">
        <v>0</v>
      </c>
      <c r="AK502" s="23">
        <v>0</v>
      </c>
      <c r="AL502" s="23">
        <v>0</v>
      </c>
      <c r="AM502" s="23">
        <v>0</v>
      </c>
      <c r="AN502" s="23">
        <v>0</v>
      </c>
      <c r="AO502" s="23">
        <v>0</v>
      </c>
      <c r="AP502" s="23">
        <v>0</v>
      </c>
      <c r="AQ502" s="23">
        <v>0</v>
      </c>
      <c r="AR502" s="23">
        <v>0</v>
      </c>
      <c r="AS502" s="23">
        <v>0</v>
      </c>
      <c r="AT502" s="23">
        <v>0</v>
      </c>
      <c r="AU502" s="23">
        <v>0</v>
      </c>
      <c r="AV502" s="23">
        <v>0</v>
      </c>
      <c r="AW502" s="23">
        <v>0</v>
      </c>
      <c r="AX502" s="23">
        <v>0</v>
      </c>
      <c r="AY502" s="23">
        <v>0</v>
      </c>
      <c r="AZ502" s="23">
        <v>0</v>
      </c>
      <c r="BA502" s="23">
        <v>0</v>
      </c>
      <c r="BB502" s="23">
        <v>0</v>
      </c>
      <c r="BC502" s="23">
        <v>0</v>
      </c>
      <c r="BD502" s="23">
        <v>0</v>
      </c>
      <c r="BE502" s="23">
        <v>1</v>
      </c>
      <c r="BF502" s="23">
        <v>0</v>
      </c>
      <c r="BG502" s="23">
        <v>0</v>
      </c>
      <c r="BH502" s="23">
        <v>0</v>
      </c>
      <c r="BI502" s="23">
        <v>0</v>
      </c>
      <c r="BJ502" s="23">
        <v>0</v>
      </c>
      <c r="BK502" s="23">
        <v>0</v>
      </c>
      <c r="BL502" s="23">
        <v>0</v>
      </c>
      <c r="BM502" s="23">
        <v>0</v>
      </c>
      <c r="BN502" s="23">
        <v>0</v>
      </c>
      <c r="BO502" s="23">
        <v>0</v>
      </c>
      <c r="BP502" s="23">
        <f>$L502*AI502</f>
        <v>0</v>
      </c>
      <c r="BQ502" s="23">
        <f>$L502*AJ502</f>
        <v>0</v>
      </c>
      <c r="BR502" s="23">
        <f>$L502*AK502</f>
        <v>0</v>
      </c>
      <c r="BS502" s="23">
        <f>$L502*AL502</f>
        <v>0</v>
      </c>
      <c r="BT502" s="23">
        <f>$L502*AM502</f>
        <v>0</v>
      </c>
      <c r="BU502" s="23">
        <f>$L502*AN502</f>
        <v>0</v>
      </c>
      <c r="BV502" s="23">
        <f>$L502*AO502</f>
        <v>0</v>
      </c>
      <c r="BW502" s="23">
        <f>$L502*AP502</f>
        <v>0</v>
      </c>
      <c r="BX502" s="23">
        <f>$L502*AQ502</f>
        <v>0</v>
      </c>
      <c r="BY502" s="23">
        <f>$L502*AR502</f>
        <v>0</v>
      </c>
      <c r="BZ502" s="23">
        <f>$L502*AS502</f>
        <v>0</v>
      </c>
      <c r="CA502" s="23">
        <f>$L502*AT502</f>
        <v>0</v>
      </c>
      <c r="CB502" s="23">
        <f>$L502*AU502</f>
        <v>0</v>
      </c>
      <c r="CC502" s="23">
        <f>$L502*AV502</f>
        <v>0</v>
      </c>
      <c r="CD502" s="23">
        <f>$L502*AW502</f>
        <v>0</v>
      </c>
      <c r="CE502" s="23">
        <f>$L502*AX502</f>
        <v>0</v>
      </c>
      <c r="CF502" s="23">
        <f>$L502*AY502</f>
        <v>0</v>
      </c>
      <c r="CG502" s="23">
        <f>$L502*AZ502</f>
        <v>0</v>
      </c>
      <c r="CH502" s="23">
        <f>$L502*BA502</f>
        <v>0</v>
      </c>
      <c r="CI502" s="23">
        <f>$L502*BB502</f>
        <v>0</v>
      </c>
      <c r="CJ502" s="23">
        <f>$L502*BC502</f>
        <v>0</v>
      </c>
      <c r="CK502" s="23">
        <f>$L502*BD502</f>
        <v>0</v>
      </c>
      <c r="CL502" s="23">
        <f>$L502*BE502</f>
        <v>1</v>
      </c>
      <c r="CM502" s="23">
        <f>$L502*BF502</f>
        <v>0</v>
      </c>
      <c r="CN502" s="23">
        <f>$L502*BG502</f>
        <v>0</v>
      </c>
      <c r="CO502" s="23">
        <f>$L502*BH502</f>
        <v>0</v>
      </c>
      <c r="CP502" s="23">
        <f>$L502*BI502</f>
        <v>0</v>
      </c>
      <c r="CQ502" s="23">
        <f>$L502*BJ502</f>
        <v>0</v>
      </c>
      <c r="CR502" s="23">
        <f>$L502*BK502</f>
        <v>0</v>
      </c>
      <c r="CS502" s="23">
        <f>$L502*BL502</f>
        <v>0</v>
      </c>
      <c r="CT502" s="23">
        <f>$L502*BM502</f>
        <v>0</v>
      </c>
      <c r="CU502" s="23">
        <f>$L502*BN502</f>
        <v>0</v>
      </c>
      <c r="CV502" s="23">
        <f>$L502*BO502</f>
        <v>0</v>
      </c>
    </row>
    <row r="503" spans="1:100" ht="13.5" x14ac:dyDescent="0.15">
      <c r="A503" s="15">
        <v>9</v>
      </c>
      <c r="B503" s="27" t="s">
        <v>502</v>
      </c>
      <c r="C503" t="s">
        <v>177</v>
      </c>
      <c r="D503" t="s">
        <v>489</v>
      </c>
      <c r="E503" t="s">
        <v>417</v>
      </c>
      <c r="F503" t="s">
        <v>465</v>
      </c>
      <c r="G503" t="s">
        <v>499</v>
      </c>
      <c r="H503" t="s">
        <v>500</v>
      </c>
      <c r="I503" s="6" t="s">
        <v>467</v>
      </c>
      <c r="J503" s="6">
        <v>0</v>
      </c>
      <c r="L503" s="15">
        <v>1</v>
      </c>
      <c r="M503" s="7">
        <v>46079</v>
      </c>
      <c r="N503" s="7">
        <v>46107</v>
      </c>
      <c r="O503" s="7">
        <v>46107</v>
      </c>
      <c r="P503" s="7">
        <v>46107</v>
      </c>
      <c r="Q503" s="30" t="str">
        <f>IF(L503=T503,"OK","NG")</f>
        <v>OK</v>
      </c>
      <c r="R503" s="6" t="s">
        <v>503</v>
      </c>
      <c r="S503" s="6" t="str">
        <f>RIGHT(G503,6)</f>
        <v>LCD002</v>
      </c>
      <c r="T503" s="6">
        <v>1</v>
      </c>
      <c r="U503" s="6" t="s">
        <v>469</v>
      </c>
      <c r="V503" s="6" t="str">
        <f>TEXT(N503,"YY/MM")</f>
        <v>26/03</v>
      </c>
      <c r="AI503" s="23">
        <v>0</v>
      </c>
      <c r="AJ503" s="23">
        <v>0</v>
      </c>
      <c r="AK503" s="23">
        <v>0</v>
      </c>
      <c r="AL503" s="23">
        <v>0</v>
      </c>
      <c r="AM503" s="23">
        <v>0</v>
      </c>
      <c r="AN503" s="23">
        <v>0</v>
      </c>
      <c r="AO503" s="23">
        <v>0</v>
      </c>
      <c r="AP503" s="23">
        <v>0</v>
      </c>
      <c r="AQ503" s="23">
        <v>0</v>
      </c>
      <c r="AR503" s="23">
        <v>0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0</v>
      </c>
      <c r="AZ503" s="23">
        <v>0</v>
      </c>
      <c r="BA503" s="23">
        <v>0</v>
      </c>
      <c r="BB503" s="23">
        <v>0</v>
      </c>
      <c r="BC503" s="23">
        <v>0</v>
      </c>
      <c r="BD503" s="23">
        <v>0</v>
      </c>
      <c r="BE503" s="23">
        <v>1</v>
      </c>
      <c r="BF503" s="23">
        <v>0</v>
      </c>
      <c r="BG503" s="23">
        <v>0</v>
      </c>
      <c r="BH503" s="23">
        <v>0</v>
      </c>
      <c r="BI503" s="23">
        <v>0</v>
      </c>
      <c r="BJ503" s="23">
        <v>0</v>
      </c>
      <c r="BK503" s="23">
        <v>0</v>
      </c>
      <c r="BL503" s="23">
        <v>0</v>
      </c>
      <c r="BM503" s="23">
        <v>0</v>
      </c>
      <c r="BN503" s="23">
        <v>0</v>
      </c>
      <c r="BO503" s="23">
        <v>0</v>
      </c>
      <c r="BP503" s="23">
        <f>$L503*AI503</f>
        <v>0</v>
      </c>
      <c r="BQ503" s="23">
        <f>$L503*AJ503</f>
        <v>0</v>
      </c>
      <c r="BR503" s="23">
        <f>$L503*AK503</f>
        <v>0</v>
      </c>
      <c r="BS503" s="23">
        <f>$L503*AL503</f>
        <v>0</v>
      </c>
      <c r="BT503" s="23">
        <f>$L503*AM503</f>
        <v>0</v>
      </c>
      <c r="BU503" s="23">
        <f>$L503*AN503</f>
        <v>0</v>
      </c>
      <c r="BV503" s="23">
        <f>$L503*AO503</f>
        <v>0</v>
      </c>
      <c r="BW503" s="23">
        <f>$L503*AP503</f>
        <v>0</v>
      </c>
      <c r="BX503" s="23">
        <f>$L503*AQ503</f>
        <v>0</v>
      </c>
      <c r="BY503" s="23">
        <f>$L503*AR503</f>
        <v>0</v>
      </c>
      <c r="BZ503" s="23">
        <f>$L503*AS503</f>
        <v>0</v>
      </c>
      <c r="CA503" s="23">
        <f>$L503*AT503</f>
        <v>0</v>
      </c>
      <c r="CB503" s="23">
        <f>$L503*AU503</f>
        <v>0</v>
      </c>
      <c r="CC503" s="23">
        <f>$L503*AV503</f>
        <v>0</v>
      </c>
      <c r="CD503" s="23">
        <f>$L503*AW503</f>
        <v>0</v>
      </c>
      <c r="CE503" s="23">
        <f>$L503*AX503</f>
        <v>0</v>
      </c>
      <c r="CF503" s="23">
        <f>$L503*AY503</f>
        <v>0</v>
      </c>
      <c r="CG503" s="23">
        <f>$L503*AZ503</f>
        <v>0</v>
      </c>
      <c r="CH503" s="23">
        <f>$L503*BA503</f>
        <v>0</v>
      </c>
      <c r="CI503" s="23">
        <f>$L503*BB503</f>
        <v>0</v>
      </c>
      <c r="CJ503" s="23">
        <f>$L503*BC503</f>
        <v>0</v>
      </c>
      <c r="CK503" s="23">
        <f>$L503*BD503</f>
        <v>0</v>
      </c>
      <c r="CL503" s="23">
        <f>$L503*BE503</f>
        <v>1</v>
      </c>
      <c r="CM503" s="23">
        <f>$L503*BF503</f>
        <v>0</v>
      </c>
      <c r="CN503" s="23">
        <f>$L503*BG503</f>
        <v>0</v>
      </c>
      <c r="CO503" s="23">
        <f>$L503*BH503</f>
        <v>0</v>
      </c>
      <c r="CP503" s="23">
        <f>$L503*BI503</f>
        <v>0</v>
      </c>
      <c r="CQ503" s="23">
        <f>$L503*BJ503</f>
        <v>0</v>
      </c>
      <c r="CR503" s="23">
        <f>$L503*BK503</f>
        <v>0</v>
      </c>
      <c r="CS503" s="23">
        <f>$L503*BL503</f>
        <v>0</v>
      </c>
      <c r="CT503" s="23">
        <f>$L503*BM503</f>
        <v>0</v>
      </c>
      <c r="CU503" s="23">
        <f>$L503*BN503</f>
        <v>0</v>
      </c>
      <c r="CV503" s="23">
        <f>$L503*BO503</f>
        <v>0</v>
      </c>
    </row>
    <row r="504" spans="1:100" ht="14.25" thickBot="1" x14ac:dyDescent="0.2">
      <c r="A504" s="31">
        <v>12</v>
      </c>
      <c r="B504" s="32" t="s">
        <v>504</v>
      </c>
      <c r="C504" s="33" t="s">
        <v>177</v>
      </c>
      <c r="D504" s="33" t="s">
        <v>492</v>
      </c>
      <c r="E504" s="33" t="s">
        <v>421</v>
      </c>
      <c r="F504" s="33" t="s">
        <v>129</v>
      </c>
      <c r="G504" s="33" t="s">
        <v>499</v>
      </c>
      <c r="H504" s="33" t="s">
        <v>500</v>
      </c>
      <c r="I504" s="34" t="s">
        <v>467</v>
      </c>
      <c r="J504" s="34">
        <v>1</v>
      </c>
      <c r="K504" s="33"/>
      <c r="L504" s="31">
        <v>1</v>
      </c>
      <c r="M504" s="35">
        <v>46098</v>
      </c>
      <c r="N504" s="35">
        <v>46127</v>
      </c>
      <c r="O504" s="35">
        <v>46127</v>
      </c>
      <c r="P504" s="35">
        <v>46127</v>
      </c>
      <c r="Q504" s="36" t="str">
        <f>IF(L504=T504,"OK","NG")</f>
        <v>OK</v>
      </c>
      <c r="R504" s="34"/>
      <c r="S504" s="34" t="str">
        <f>RIGHT(G504,6)</f>
        <v>LCD002</v>
      </c>
      <c r="T504" s="34">
        <v>1</v>
      </c>
      <c r="U504" s="34" t="s">
        <v>469</v>
      </c>
      <c r="V504" s="34" t="str">
        <f>TEXT(N504,"YY/MM")</f>
        <v>26/04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  <c r="AO504" s="23">
        <v>0</v>
      </c>
      <c r="AP504" s="23">
        <v>0</v>
      </c>
      <c r="AQ504" s="23">
        <v>0</v>
      </c>
      <c r="AR504" s="23">
        <v>0</v>
      </c>
      <c r="AS504" s="23">
        <v>0</v>
      </c>
      <c r="AT504" s="23">
        <v>0</v>
      </c>
      <c r="AU504" s="23">
        <v>0</v>
      </c>
      <c r="AV504" s="23">
        <v>0</v>
      </c>
      <c r="AW504" s="23">
        <v>0</v>
      </c>
      <c r="AX504" s="23">
        <v>0</v>
      </c>
      <c r="AY504" s="23">
        <v>0</v>
      </c>
      <c r="AZ504" s="23">
        <v>0</v>
      </c>
      <c r="BA504" s="23">
        <v>0</v>
      </c>
      <c r="BB504" s="23">
        <v>0</v>
      </c>
      <c r="BC504" s="23">
        <v>0</v>
      </c>
      <c r="BD504" s="23">
        <v>0</v>
      </c>
      <c r="BE504" s="23">
        <v>1</v>
      </c>
      <c r="BF504" s="23">
        <v>0</v>
      </c>
      <c r="BG504" s="23">
        <v>0</v>
      </c>
      <c r="BH504" s="23">
        <v>0</v>
      </c>
      <c r="BI504" s="23">
        <v>0</v>
      </c>
      <c r="BJ504" s="23">
        <v>0</v>
      </c>
      <c r="BK504" s="23">
        <v>0</v>
      </c>
      <c r="BL504" s="23">
        <v>0</v>
      </c>
      <c r="BM504" s="23">
        <v>0</v>
      </c>
      <c r="BN504" s="23">
        <v>0</v>
      </c>
      <c r="BO504" s="23">
        <v>0</v>
      </c>
      <c r="BP504" s="23">
        <f>$L504*AI504</f>
        <v>0</v>
      </c>
      <c r="BQ504" s="23">
        <f>$L504*AJ504</f>
        <v>0</v>
      </c>
      <c r="BR504" s="23">
        <f>$L504*AK504</f>
        <v>0</v>
      </c>
      <c r="BS504" s="23">
        <f>$L504*AL504</f>
        <v>0</v>
      </c>
      <c r="BT504" s="23">
        <f>$L504*AM504</f>
        <v>0</v>
      </c>
      <c r="BU504" s="23">
        <f>$L504*AN504</f>
        <v>0</v>
      </c>
      <c r="BV504" s="23">
        <f>$L504*AO504</f>
        <v>0</v>
      </c>
      <c r="BW504" s="23">
        <f>$L504*AP504</f>
        <v>0</v>
      </c>
      <c r="BX504" s="23">
        <f>$L504*AQ504</f>
        <v>0</v>
      </c>
      <c r="BY504" s="23">
        <f>$L504*AR504</f>
        <v>0</v>
      </c>
      <c r="BZ504" s="23">
        <f>$L504*AS504</f>
        <v>0</v>
      </c>
      <c r="CA504" s="23">
        <f>$L504*AT504</f>
        <v>0</v>
      </c>
      <c r="CB504" s="23">
        <f>$L504*AU504</f>
        <v>0</v>
      </c>
      <c r="CC504" s="23">
        <f>$L504*AV504</f>
        <v>0</v>
      </c>
      <c r="CD504" s="23">
        <f>$L504*AW504</f>
        <v>0</v>
      </c>
      <c r="CE504" s="23">
        <f>$L504*AX504</f>
        <v>0</v>
      </c>
      <c r="CF504" s="23">
        <f>$L504*AY504</f>
        <v>0</v>
      </c>
      <c r="CG504" s="23">
        <f>$L504*AZ504</f>
        <v>0</v>
      </c>
      <c r="CH504" s="23">
        <f>$L504*BA504</f>
        <v>0</v>
      </c>
      <c r="CI504" s="23">
        <f>$L504*BB504</f>
        <v>0</v>
      </c>
      <c r="CJ504" s="23">
        <f>$L504*BC504</f>
        <v>0</v>
      </c>
      <c r="CK504" s="23">
        <f>$L504*BD504</f>
        <v>0</v>
      </c>
      <c r="CL504" s="23">
        <f>$L504*BE504</f>
        <v>1</v>
      </c>
      <c r="CM504" s="23">
        <f>$L504*BF504</f>
        <v>0</v>
      </c>
      <c r="CN504" s="23">
        <f>$L504*BG504</f>
        <v>0</v>
      </c>
      <c r="CO504" s="23">
        <f>$L504*BH504</f>
        <v>0</v>
      </c>
      <c r="CP504" s="23">
        <f>$L504*BI504</f>
        <v>0</v>
      </c>
      <c r="CQ504" s="23">
        <f>$L504*BJ504</f>
        <v>0</v>
      </c>
      <c r="CR504" s="23">
        <f>$L504*BK504</f>
        <v>0</v>
      </c>
      <c r="CS504" s="23">
        <f>$L504*BL504</f>
        <v>0</v>
      </c>
      <c r="CT504" s="23">
        <f>$L504*BM504</f>
        <v>0</v>
      </c>
      <c r="CU504" s="23">
        <f>$L504*BN504</f>
        <v>0</v>
      </c>
      <c r="CV504" s="23">
        <f>$L504*BO504</f>
        <v>0</v>
      </c>
    </row>
    <row r="505" spans="1:100" ht="14.25" thickTop="1" x14ac:dyDescent="0.15">
      <c r="A505" s="15">
        <v>6</v>
      </c>
      <c r="B505" s="27" t="s">
        <v>505</v>
      </c>
      <c r="C505" t="s">
        <v>177</v>
      </c>
      <c r="D505" t="s">
        <v>484</v>
      </c>
      <c r="E505" t="s">
        <v>420</v>
      </c>
      <c r="F505" t="s">
        <v>465</v>
      </c>
      <c r="G505" t="s">
        <v>506</v>
      </c>
      <c r="H505" t="s">
        <v>507</v>
      </c>
      <c r="I505" s="6" t="s">
        <v>467</v>
      </c>
      <c r="J505" s="6">
        <v>0</v>
      </c>
      <c r="L505" s="15">
        <v>1</v>
      </c>
      <c r="M505" s="7">
        <v>46079</v>
      </c>
      <c r="N505" s="7">
        <v>46107</v>
      </c>
      <c r="O505" s="7">
        <v>46107</v>
      </c>
      <c r="P505" s="7">
        <v>46107</v>
      </c>
      <c r="Q505" s="30" t="str">
        <f>IF(L505=T505,"OK","NG")</f>
        <v>OK</v>
      </c>
      <c r="R505" s="6" t="s">
        <v>508</v>
      </c>
      <c r="S505" s="6" t="str">
        <f>RIGHT(G505,6)</f>
        <v>LCC002</v>
      </c>
      <c r="T505" s="6">
        <v>1</v>
      </c>
      <c r="U505" s="6" t="s">
        <v>469</v>
      </c>
      <c r="V505" s="6" t="str">
        <f>TEXT(N505,"YY/MM")</f>
        <v>26/03</v>
      </c>
      <c r="AI505" s="23">
        <v>0</v>
      </c>
      <c r="AJ505" s="23">
        <v>0</v>
      </c>
      <c r="AK505" s="23">
        <v>0</v>
      </c>
      <c r="AL505" s="23">
        <v>0</v>
      </c>
      <c r="AM505" s="23">
        <v>0</v>
      </c>
      <c r="AN505" s="23">
        <v>0</v>
      </c>
      <c r="AO505" s="23">
        <v>0</v>
      </c>
      <c r="AP505" s="23">
        <v>0</v>
      </c>
      <c r="AQ505" s="23">
        <v>0</v>
      </c>
      <c r="AR505" s="23">
        <v>0</v>
      </c>
      <c r="AS505" s="23">
        <v>0</v>
      </c>
      <c r="AT505" s="23">
        <v>0</v>
      </c>
      <c r="AU505" s="23">
        <v>0</v>
      </c>
      <c r="AV505" s="23">
        <v>0</v>
      </c>
      <c r="AW505" s="23">
        <v>0</v>
      </c>
      <c r="AX505" s="23">
        <v>0</v>
      </c>
      <c r="AY505" s="23">
        <v>0</v>
      </c>
      <c r="AZ505" s="23">
        <v>0</v>
      </c>
      <c r="BA505" s="23">
        <v>1</v>
      </c>
      <c r="BB505" s="23">
        <v>0</v>
      </c>
      <c r="BC505" s="23">
        <v>0</v>
      </c>
      <c r="BD505" s="23">
        <v>0</v>
      </c>
      <c r="BE505" s="23">
        <v>0</v>
      </c>
      <c r="BF505" s="23">
        <v>0</v>
      </c>
      <c r="BG505" s="23">
        <v>0</v>
      </c>
      <c r="BH505" s="23">
        <v>0</v>
      </c>
      <c r="BI505" s="23">
        <v>0</v>
      </c>
      <c r="BJ505" s="23">
        <v>0</v>
      </c>
      <c r="BK505" s="23">
        <v>0</v>
      </c>
      <c r="BL505" s="23">
        <v>0</v>
      </c>
      <c r="BM505" s="23">
        <v>0</v>
      </c>
      <c r="BN505" s="23">
        <v>0</v>
      </c>
      <c r="BO505" s="23">
        <v>0</v>
      </c>
      <c r="BP505" s="23">
        <f>$L505*AI505</f>
        <v>0</v>
      </c>
      <c r="BQ505" s="23">
        <f>$L505*AJ505</f>
        <v>0</v>
      </c>
      <c r="BR505" s="23">
        <f>$L505*AK505</f>
        <v>0</v>
      </c>
      <c r="BS505" s="23">
        <f>$L505*AL505</f>
        <v>0</v>
      </c>
      <c r="BT505" s="23">
        <f>$L505*AM505</f>
        <v>0</v>
      </c>
      <c r="BU505" s="23">
        <f>$L505*AN505</f>
        <v>0</v>
      </c>
      <c r="BV505" s="23">
        <f>$L505*AO505</f>
        <v>0</v>
      </c>
      <c r="BW505" s="23">
        <f>$L505*AP505</f>
        <v>0</v>
      </c>
      <c r="BX505" s="23">
        <f>$L505*AQ505</f>
        <v>0</v>
      </c>
      <c r="BY505" s="23">
        <f>$L505*AR505</f>
        <v>0</v>
      </c>
      <c r="BZ505" s="23">
        <f>$L505*AS505</f>
        <v>0</v>
      </c>
      <c r="CA505" s="23">
        <f>$L505*AT505</f>
        <v>0</v>
      </c>
      <c r="CB505" s="23">
        <f>$L505*AU505</f>
        <v>0</v>
      </c>
      <c r="CC505" s="23">
        <f>$L505*AV505</f>
        <v>0</v>
      </c>
      <c r="CD505" s="23">
        <f>$L505*AW505</f>
        <v>0</v>
      </c>
      <c r="CE505" s="23">
        <f>$L505*AX505</f>
        <v>0</v>
      </c>
      <c r="CF505" s="23">
        <f>$L505*AY505</f>
        <v>0</v>
      </c>
      <c r="CG505" s="23">
        <f>$L505*AZ505</f>
        <v>0</v>
      </c>
      <c r="CH505" s="23">
        <f>$L505*BA505</f>
        <v>1</v>
      </c>
      <c r="CI505" s="23">
        <f>$L505*BB505</f>
        <v>0</v>
      </c>
      <c r="CJ505" s="23">
        <f>$L505*BC505</f>
        <v>0</v>
      </c>
      <c r="CK505" s="23">
        <f>$L505*BD505</f>
        <v>0</v>
      </c>
      <c r="CL505" s="23">
        <f>$L505*BE505</f>
        <v>0</v>
      </c>
      <c r="CM505" s="23">
        <f>$L505*BF505</f>
        <v>0</v>
      </c>
      <c r="CN505" s="23">
        <f>$L505*BG505</f>
        <v>0</v>
      </c>
      <c r="CO505" s="23">
        <f>$L505*BH505</f>
        <v>0</v>
      </c>
      <c r="CP505" s="23">
        <f>$L505*BI505</f>
        <v>0</v>
      </c>
      <c r="CQ505" s="23">
        <f>$L505*BJ505</f>
        <v>0</v>
      </c>
      <c r="CR505" s="23">
        <f>$L505*BK505</f>
        <v>0</v>
      </c>
      <c r="CS505" s="23">
        <f>$L505*BL505</f>
        <v>0</v>
      </c>
      <c r="CT505" s="23">
        <f>$L505*BM505</f>
        <v>0</v>
      </c>
      <c r="CU505" s="23">
        <f>$L505*BN505</f>
        <v>0</v>
      </c>
      <c r="CV505" s="23">
        <f>$L505*BO505</f>
        <v>0</v>
      </c>
    </row>
    <row r="506" spans="1:100" ht="13.5" x14ac:dyDescent="0.15">
      <c r="A506" s="15">
        <v>10</v>
      </c>
      <c r="B506" s="27" t="s">
        <v>509</v>
      </c>
      <c r="C506" t="s">
        <v>177</v>
      </c>
      <c r="D506" t="s">
        <v>489</v>
      </c>
      <c r="E506" t="s">
        <v>417</v>
      </c>
      <c r="F506" t="s">
        <v>465</v>
      </c>
      <c r="G506" t="s">
        <v>506</v>
      </c>
      <c r="H506" t="s">
        <v>507</v>
      </c>
      <c r="I506" s="6" t="s">
        <v>467</v>
      </c>
      <c r="J506" s="6">
        <v>0</v>
      </c>
      <c r="L506" s="15">
        <v>1</v>
      </c>
      <c r="M506" s="7">
        <v>46079</v>
      </c>
      <c r="N506" s="7">
        <v>46107</v>
      </c>
      <c r="O506" s="7">
        <v>46107</v>
      </c>
      <c r="P506" s="7">
        <v>46107</v>
      </c>
      <c r="Q506" s="30" t="str">
        <f>IF(L506=T506,"OK","NG")</f>
        <v>OK</v>
      </c>
      <c r="R506" s="6" t="s">
        <v>510</v>
      </c>
      <c r="S506" s="6" t="str">
        <f>RIGHT(G506,6)</f>
        <v>LCC002</v>
      </c>
      <c r="T506" s="6">
        <v>1</v>
      </c>
      <c r="U506" s="6" t="s">
        <v>469</v>
      </c>
      <c r="V506" s="6" t="str">
        <f>TEXT(N506,"YY/MM")</f>
        <v>26/03</v>
      </c>
      <c r="AI506" s="23">
        <v>0</v>
      </c>
      <c r="AJ506" s="23">
        <v>0</v>
      </c>
      <c r="AK506" s="23">
        <v>0</v>
      </c>
      <c r="AL506" s="23">
        <v>0</v>
      </c>
      <c r="AM506" s="23">
        <v>0</v>
      </c>
      <c r="AN506" s="23">
        <v>0</v>
      </c>
      <c r="AO506" s="23">
        <v>0</v>
      </c>
      <c r="AP506" s="23">
        <v>0</v>
      </c>
      <c r="AQ506" s="23">
        <v>0</v>
      </c>
      <c r="AR506" s="23">
        <v>0</v>
      </c>
      <c r="AS506" s="23">
        <v>0</v>
      </c>
      <c r="AT506" s="23">
        <v>0</v>
      </c>
      <c r="AU506" s="23">
        <v>0</v>
      </c>
      <c r="AV506" s="23">
        <v>0</v>
      </c>
      <c r="AW506" s="23">
        <v>0</v>
      </c>
      <c r="AX506" s="23">
        <v>0</v>
      </c>
      <c r="AY506" s="23">
        <v>0</v>
      </c>
      <c r="AZ506" s="23">
        <v>0</v>
      </c>
      <c r="BA506" s="23">
        <v>1</v>
      </c>
      <c r="BB506" s="23">
        <v>0</v>
      </c>
      <c r="BC506" s="23">
        <v>0</v>
      </c>
      <c r="BD506" s="23">
        <v>0</v>
      </c>
      <c r="BE506" s="23">
        <v>0</v>
      </c>
      <c r="BF506" s="23">
        <v>0</v>
      </c>
      <c r="BG506" s="23">
        <v>0</v>
      </c>
      <c r="BH506" s="23">
        <v>0</v>
      </c>
      <c r="BI506" s="23">
        <v>0</v>
      </c>
      <c r="BJ506" s="23">
        <v>0</v>
      </c>
      <c r="BK506" s="23">
        <v>0</v>
      </c>
      <c r="BL506" s="23">
        <v>0</v>
      </c>
      <c r="BM506" s="23">
        <v>0</v>
      </c>
      <c r="BN506" s="23">
        <v>0</v>
      </c>
      <c r="BO506" s="23">
        <v>0</v>
      </c>
      <c r="BP506" s="23">
        <f>$L506*AI506</f>
        <v>0</v>
      </c>
      <c r="BQ506" s="23">
        <f>$L506*AJ506</f>
        <v>0</v>
      </c>
      <c r="BR506" s="23">
        <f>$L506*AK506</f>
        <v>0</v>
      </c>
      <c r="BS506" s="23">
        <f>$L506*AL506</f>
        <v>0</v>
      </c>
      <c r="BT506" s="23">
        <f>$L506*AM506</f>
        <v>0</v>
      </c>
      <c r="BU506" s="23">
        <f>$L506*AN506</f>
        <v>0</v>
      </c>
      <c r="BV506" s="23">
        <f>$L506*AO506</f>
        <v>0</v>
      </c>
      <c r="BW506" s="23">
        <f>$L506*AP506</f>
        <v>0</v>
      </c>
      <c r="BX506" s="23">
        <f>$L506*AQ506</f>
        <v>0</v>
      </c>
      <c r="BY506" s="23">
        <f>$L506*AR506</f>
        <v>0</v>
      </c>
      <c r="BZ506" s="23">
        <f>$L506*AS506</f>
        <v>0</v>
      </c>
      <c r="CA506" s="23">
        <f>$L506*AT506</f>
        <v>0</v>
      </c>
      <c r="CB506" s="23">
        <f>$L506*AU506</f>
        <v>0</v>
      </c>
      <c r="CC506" s="23">
        <f>$L506*AV506</f>
        <v>0</v>
      </c>
      <c r="CD506" s="23">
        <f>$L506*AW506</f>
        <v>0</v>
      </c>
      <c r="CE506" s="23">
        <f>$L506*AX506</f>
        <v>0</v>
      </c>
      <c r="CF506" s="23">
        <f>$L506*AY506</f>
        <v>0</v>
      </c>
      <c r="CG506" s="23">
        <f>$L506*AZ506</f>
        <v>0</v>
      </c>
      <c r="CH506" s="23">
        <f>$L506*BA506</f>
        <v>1</v>
      </c>
      <c r="CI506" s="23">
        <f>$L506*BB506</f>
        <v>0</v>
      </c>
      <c r="CJ506" s="23">
        <f>$L506*BC506</f>
        <v>0</v>
      </c>
      <c r="CK506" s="23">
        <f>$L506*BD506</f>
        <v>0</v>
      </c>
      <c r="CL506" s="23">
        <f>$L506*BE506</f>
        <v>0</v>
      </c>
      <c r="CM506" s="23">
        <f>$L506*BF506</f>
        <v>0</v>
      </c>
      <c r="CN506" s="23">
        <f>$L506*BG506</f>
        <v>0</v>
      </c>
      <c r="CO506" s="23">
        <f>$L506*BH506</f>
        <v>0</v>
      </c>
      <c r="CP506" s="23">
        <f>$L506*BI506</f>
        <v>0</v>
      </c>
      <c r="CQ506" s="23">
        <f>$L506*BJ506</f>
        <v>0</v>
      </c>
      <c r="CR506" s="23">
        <f>$L506*BK506</f>
        <v>0</v>
      </c>
      <c r="CS506" s="23">
        <f>$L506*BL506</f>
        <v>0</v>
      </c>
      <c r="CT506" s="23">
        <f>$L506*BM506</f>
        <v>0</v>
      </c>
      <c r="CU506" s="23">
        <f>$L506*BN506</f>
        <v>0</v>
      </c>
      <c r="CV506" s="23">
        <f>$L506*BO506</f>
        <v>0</v>
      </c>
    </row>
    <row r="507" spans="1:100" ht="14.25" thickBot="1" x14ac:dyDescent="0.2">
      <c r="A507" s="31">
        <v>14</v>
      </c>
      <c r="B507" s="32" t="s">
        <v>511</v>
      </c>
      <c r="C507" s="33" t="s">
        <v>177</v>
      </c>
      <c r="D507" s="33" t="s">
        <v>492</v>
      </c>
      <c r="E507" s="33" t="s">
        <v>421</v>
      </c>
      <c r="F507" s="33" t="s">
        <v>129</v>
      </c>
      <c r="G507" s="33" t="s">
        <v>506</v>
      </c>
      <c r="H507" s="33" t="s">
        <v>507</v>
      </c>
      <c r="I507" s="34" t="s">
        <v>467</v>
      </c>
      <c r="J507" s="34">
        <v>1</v>
      </c>
      <c r="K507" s="33"/>
      <c r="L507" s="31">
        <v>1</v>
      </c>
      <c r="M507" s="35">
        <v>46098</v>
      </c>
      <c r="N507" s="35">
        <v>46127</v>
      </c>
      <c r="O507" s="35">
        <v>46127</v>
      </c>
      <c r="P507" s="35">
        <v>46127</v>
      </c>
      <c r="Q507" s="36" t="str">
        <f>IF(L507=T507,"OK","NG")</f>
        <v>OK</v>
      </c>
      <c r="R507" s="34"/>
      <c r="S507" s="34" t="str">
        <f>RIGHT(G507,6)</f>
        <v>LCC002</v>
      </c>
      <c r="T507" s="34">
        <v>1</v>
      </c>
      <c r="U507" s="34" t="s">
        <v>469</v>
      </c>
      <c r="V507" s="34" t="str">
        <f>TEXT(N507,"YY/MM")</f>
        <v>26/04</v>
      </c>
      <c r="AI507" s="23">
        <v>0</v>
      </c>
      <c r="AJ507" s="23">
        <v>0</v>
      </c>
      <c r="AK507" s="23">
        <v>0</v>
      </c>
      <c r="AL507" s="23">
        <v>0</v>
      </c>
      <c r="AM507" s="23">
        <v>0</v>
      </c>
      <c r="AN507" s="23">
        <v>0</v>
      </c>
      <c r="AO507" s="23">
        <v>0</v>
      </c>
      <c r="AP507" s="23">
        <v>0</v>
      </c>
      <c r="AQ507" s="23">
        <v>0</v>
      </c>
      <c r="AR507" s="23">
        <v>0</v>
      </c>
      <c r="AS507" s="23">
        <v>0</v>
      </c>
      <c r="AT507" s="23">
        <v>0</v>
      </c>
      <c r="AU507" s="23">
        <v>0</v>
      </c>
      <c r="AV507" s="23">
        <v>0</v>
      </c>
      <c r="AW507" s="23">
        <v>0</v>
      </c>
      <c r="AX507" s="23">
        <v>0</v>
      </c>
      <c r="AY507" s="23">
        <v>0</v>
      </c>
      <c r="AZ507" s="23">
        <v>0</v>
      </c>
      <c r="BA507" s="23">
        <v>1</v>
      </c>
      <c r="BB507" s="23">
        <v>0</v>
      </c>
      <c r="BC507" s="23">
        <v>0</v>
      </c>
      <c r="BD507" s="23">
        <v>0</v>
      </c>
      <c r="BE507" s="23">
        <v>0</v>
      </c>
      <c r="BF507" s="23">
        <v>0</v>
      </c>
      <c r="BG507" s="23">
        <v>0</v>
      </c>
      <c r="BH507" s="23">
        <v>0</v>
      </c>
      <c r="BI507" s="23">
        <v>0</v>
      </c>
      <c r="BJ507" s="23">
        <v>0</v>
      </c>
      <c r="BK507" s="23">
        <v>0</v>
      </c>
      <c r="BL507" s="23">
        <v>0</v>
      </c>
      <c r="BM507" s="23">
        <v>0</v>
      </c>
      <c r="BN507" s="23">
        <v>0</v>
      </c>
      <c r="BO507" s="23">
        <v>0</v>
      </c>
      <c r="BP507" s="23">
        <f>$L507*AI507</f>
        <v>0</v>
      </c>
      <c r="BQ507" s="23">
        <f>$L507*AJ507</f>
        <v>0</v>
      </c>
      <c r="BR507" s="23">
        <f>$L507*AK507</f>
        <v>0</v>
      </c>
      <c r="BS507" s="23">
        <f>$L507*AL507</f>
        <v>0</v>
      </c>
      <c r="BT507" s="23">
        <f>$L507*AM507</f>
        <v>0</v>
      </c>
      <c r="BU507" s="23">
        <f>$L507*AN507</f>
        <v>0</v>
      </c>
      <c r="BV507" s="23">
        <f>$L507*AO507</f>
        <v>0</v>
      </c>
      <c r="BW507" s="23">
        <f>$L507*AP507</f>
        <v>0</v>
      </c>
      <c r="BX507" s="23">
        <f>$L507*AQ507</f>
        <v>0</v>
      </c>
      <c r="BY507" s="23">
        <f>$L507*AR507</f>
        <v>0</v>
      </c>
      <c r="BZ507" s="23">
        <f>$L507*AS507</f>
        <v>0</v>
      </c>
      <c r="CA507" s="23">
        <f>$L507*AT507</f>
        <v>0</v>
      </c>
      <c r="CB507" s="23">
        <f>$L507*AU507</f>
        <v>0</v>
      </c>
      <c r="CC507" s="23">
        <f>$L507*AV507</f>
        <v>0</v>
      </c>
      <c r="CD507" s="23">
        <f>$L507*AW507</f>
        <v>0</v>
      </c>
      <c r="CE507" s="23">
        <f>$L507*AX507</f>
        <v>0</v>
      </c>
      <c r="CF507" s="23">
        <f>$L507*AY507</f>
        <v>0</v>
      </c>
      <c r="CG507" s="23">
        <f>$L507*AZ507</f>
        <v>0</v>
      </c>
      <c r="CH507" s="23">
        <f>$L507*BA507</f>
        <v>1</v>
      </c>
      <c r="CI507" s="23">
        <f>$L507*BB507</f>
        <v>0</v>
      </c>
      <c r="CJ507" s="23">
        <f>$L507*BC507</f>
        <v>0</v>
      </c>
      <c r="CK507" s="23">
        <f>$L507*BD507</f>
        <v>0</v>
      </c>
      <c r="CL507" s="23">
        <f>$L507*BE507</f>
        <v>0</v>
      </c>
      <c r="CM507" s="23">
        <f>$L507*BF507</f>
        <v>0</v>
      </c>
      <c r="CN507" s="23">
        <f>$L507*BG507</f>
        <v>0</v>
      </c>
      <c r="CO507" s="23">
        <f>$L507*BH507</f>
        <v>0</v>
      </c>
      <c r="CP507" s="23">
        <f>$L507*BI507</f>
        <v>0</v>
      </c>
      <c r="CQ507" s="23">
        <f>$L507*BJ507</f>
        <v>0</v>
      </c>
      <c r="CR507" s="23">
        <f>$L507*BK507</f>
        <v>0</v>
      </c>
      <c r="CS507" s="23">
        <f>$L507*BL507</f>
        <v>0</v>
      </c>
      <c r="CT507" s="23">
        <f>$L507*BM507</f>
        <v>0</v>
      </c>
      <c r="CU507" s="23">
        <f>$L507*BN507</f>
        <v>0</v>
      </c>
      <c r="CV507" s="23">
        <f>$L507*BO507</f>
        <v>0</v>
      </c>
    </row>
    <row r="508" spans="1:100" ht="14.25" thickTop="1" x14ac:dyDescent="0.15">
      <c r="A508" s="15">
        <v>1</v>
      </c>
      <c r="B508" s="27" t="s">
        <v>512</v>
      </c>
      <c r="C508" t="s">
        <v>513</v>
      </c>
      <c r="D508" t="s">
        <v>514</v>
      </c>
      <c r="E508" t="s">
        <v>515</v>
      </c>
      <c r="F508" t="s">
        <v>465</v>
      </c>
      <c r="G508" t="s">
        <v>515</v>
      </c>
      <c r="H508" t="s">
        <v>516</v>
      </c>
      <c r="I508" s="6" t="s">
        <v>467</v>
      </c>
      <c r="J508" s="6">
        <v>0</v>
      </c>
      <c r="L508" s="15">
        <v>5</v>
      </c>
      <c r="M508" s="7">
        <v>46084</v>
      </c>
      <c r="N508" s="7">
        <v>46113</v>
      </c>
      <c r="O508" s="7">
        <v>46113</v>
      </c>
      <c r="P508" s="7">
        <v>46113</v>
      </c>
      <c r="Q508" s="30" t="str">
        <f>IF(L508=T508,"OK","NG")</f>
        <v>OK</v>
      </c>
      <c r="R508" s="6" t="s">
        <v>517</v>
      </c>
      <c r="S508" s="6" t="str">
        <f>RIGHT(G508,6)</f>
        <v>LAC001</v>
      </c>
      <c r="T508" s="6">
        <v>5</v>
      </c>
      <c r="U508" s="6" t="s">
        <v>518</v>
      </c>
      <c r="V508" s="6" t="str">
        <f>TEXT(N508,"YY/MM")</f>
        <v>26/04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  <c r="AO508" s="23">
        <v>0</v>
      </c>
      <c r="AP508" s="23">
        <v>0</v>
      </c>
      <c r="AQ508" s="23">
        <v>0</v>
      </c>
      <c r="AR508" s="23">
        <v>0</v>
      </c>
      <c r="AS508" s="23">
        <v>0</v>
      </c>
      <c r="AT508" s="23">
        <v>0</v>
      </c>
      <c r="AU508" s="23">
        <v>0</v>
      </c>
      <c r="AV508" s="23">
        <v>0</v>
      </c>
      <c r="AW508" s="23">
        <v>0</v>
      </c>
      <c r="AX508" s="23">
        <v>0</v>
      </c>
      <c r="AY508" s="23">
        <v>0</v>
      </c>
      <c r="AZ508" s="23">
        <v>0</v>
      </c>
      <c r="BA508" s="23">
        <v>0</v>
      </c>
      <c r="BB508" s="23">
        <v>0</v>
      </c>
      <c r="BC508" s="23">
        <v>0</v>
      </c>
      <c r="BD508" s="23">
        <v>0</v>
      </c>
      <c r="BE508" s="23">
        <v>0</v>
      </c>
      <c r="BF508" s="23">
        <v>0</v>
      </c>
      <c r="BG508" s="23">
        <v>0</v>
      </c>
      <c r="BH508" s="23">
        <v>0</v>
      </c>
      <c r="BI508" s="23">
        <v>0</v>
      </c>
      <c r="BJ508" s="23">
        <v>0</v>
      </c>
      <c r="BK508" s="23">
        <v>0</v>
      </c>
      <c r="BL508" s="23">
        <v>0</v>
      </c>
      <c r="BM508" s="23">
        <v>1</v>
      </c>
      <c r="BN508" s="23">
        <v>0</v>
      </c>
      <c r="BO508" s="23">
        <v>0</v>
      </c>
      <c r="BP508" s="23">
        <f>$L508*AI508</f>
        <v>0</v>
      </c>
      <c r="BQ508" s="23">
        <f>$L508*AJ508</f>
        <v>0</v>
      </c>
      <c r="BR508" s="23">
        <f>$L508*AK508</f>
        <v>0</v>
      </c>
      <c r="BS508" s="23">
        <f>$L508*AL508</f>
        <v>0</v>
      </c>
      <c r="BT508" s="23">
        <f>$L508*AM508</f>
        <v>0</v>
      </c>
      <c r="BU508" s="23">
        <f>$L508*AN508</f>
        <v>0</v>
      </c>
      <c r="BV508" s="23">
        <f>$L508*AO508</f>
        <v>0</v>
      </c>
      <c r="BW508" s="23">
        <f>$L508*AP508</f>
        <v>0</v>
      </c>
      <c r="BX508" s="23">
        <f>$L508*AQ508</f>
        <v>0</v>
      </c>
      <c r="BY508" s="23">
        <f>$L508*AR508</f>
        <v>0</v>
      </c>
      <c r="BZ508" s="23">
        <f>$L508*AS508</f>
        <v>0</v>
      </c>
      <c r="CA508" s="23">
        <f>$L508*AT508</f>
        <v>0</v>
      </c>
      <c r="CB508" s="23">
        <f>$L508*AU508</f>
        <v>0</v>
      </c>
      <c r="CC508" s="23">
        <f>$L508*AV508</f>
        <v>0</v>
      </c>
      <c r="CD508" s="23">
        <f>$L508*AW508</f>
        <v>0</v>
      </c>
      <c r="CE508" s="23">
        <f>$L508*AX508</f>
        <v>0</v>
      </c>
      <c r="CF508" s="23">
        <f>$L508*AY508</f>
        <v>0</v>
      </c>
      <c r="CG508" s="23">
        <f>$L508*AZ508</f>
        <v>0</v>
      </c>
      <c r="CH508" s="23">
        <f>$L508*BA508</f>
        <v>0</v>
      </c>
      <c r="CI508" s="23">
        <f>$L508*BB508</f>
        <v>0</v>
      </c>
      <c r="CJ508" s="23">
        <f>$L508*BC508</f>
        <v>0</v>
      </c>
      <c r="CK508" s="23">
        <f>$L508*BD508</f>
        <v>0</v>
      </c>
      <c r="CL508" s="23">
        <f>$L508*BE508</f>
        <v>0</v>
      </c>
      <c r="CM508" s="23">
        <f>$L508*BF508</f>
        <v>0</v>
      </c>
      <c r="CN508" s="23">
        <f>$L508*BG508</f>
        <v>0</v>
      </c>
      <c r="CO508" s="23">
        <f>$L508*BH508</f>
        <v>0</v>
      </c>
      <c r="CP508" s="23">
        <f>$L508*BI508</f>
        <v>0</v>
      </c>
      <c r="CQ508" s="23">
        <f>$L508*BJ508</f>
        <v>0</v>
      </c>
      <c r="CR508" s="23">
        <f>$L508*BK508</f>
        <v>0</v>
      </c>
      <c r="CS508" s="23">
        <f>$L508*BL508</f>
        <v>0</v>
      </c>
      <c r="CT508" s="23">
        <f>$L508*BM508</f>
        <v>5</v>
      </c>
      <c r="CU508" s="23">
        <f>$L508*BN508</f>
        <v>0</v>
      </c>
      <c r="CV508" s="23">
        <f>$L508*BO508</f>
        <v>0</v>
      </c>
    </row>
    <row r="509" spans="1:100" ht="13.5" x14ac:dyDescent="0.15">
      <c r="A509" s="15">
        <v>2</v>
      </c>
      <c r="B509" s="27" t="s">
        <v>519</v>
      </c>
      <c r="C509" t="s">
        <v>513</v>
      </c>
      <c r="D509" t="s">
        <v>514</v>
      </c>
      <c r="E509" t="s">
        <v>515</v>
      </c>
      <c r="F509" t="s">
        <v>465</v>
      </c>
      <c r="G509" t="s">
        <v>515</v>
      </c>
      <c r="H509" t="s">
        <v>516</v>
      </c>
      <c r="I509" s="6" t="s">
        <v>467</v>
      </c>
      <c r="J509" s="6">
        <v>0</v>
      </c>
      <c r="L509" s="15">
        <v>5</v>
      </c>
      <c r="M509" s="7">
        <v>46084</v>
      </c>
      <c r="N509" s="7">
        <v>46127</v>
      </c>
      <c r="O509" s="7">
        <v>46127</v>
      </c>
      <c r="P509" s="7">
        <v>46127</v>
      </c>
      <c r="Q509" s="30" t="str">
        <f>IF(L509=T509,"OK","NG")</f>
        <v>OK</v>
      </c>
      <c r="R509" s="6" t="s">
        <v>520</v>
      </c>
      <c r="S509" s="6" t="str">
        <f>RIGHT(G509,6)</f>
        <v>LAC001</v>
      </c>
      <c r="T509" s="6">
        <v>5</v>
      </c>
      <c r="U509" s="6" t="s">
        <v>518</v>
      </c>
      <c r="V509" s="6" t="str">
        <f>TEXT(N509,"YY/MM")</f>
        <v>26/04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  <c r="BF509" s="23">
        <v>0</v>
      </c>
      <c r="BG509" s="23">
        <v>0</v>
      </c>
      <c r="BH509" s="23">
        <v>0</v>
      </c>
      <c r="BI509" s="23">
        <v>0</v>
      </c>
      <c r="BJ509" s="23">
        <v>0</v>
      </c>
      <c r="BK509" s="23">
        <v>0</v>
      </c>
      <c r="BL509" s="23">
        <v>0</v>
      </c>
      <c r="BM509" s="23">
        <v>1</v>
      </c>
      <c r="BN509" s="23">
        <v>0</v>
      </c>
      <c r="BO509" s="23">
        <v>0</v>
      </c>
      <c r="BP509" s="23">
        <f>$L509*AI509</f>
        <v>0</v>
      </c>
      <c r="BQ509" s="23">
        <f>$L509*AJ509</f>
        <v>0</v>
      </c>
      <c r="BR509" s="23">
        <f>$L509*AK509</f>
        <v>0</v>
      </c>
      <c r="BS509" s="23">
        <f>$L509*AL509</f>
        <v>0</v>
      </c>
      <c r="BT509" s="23">
        <f>$L509*AM509</f>
        <v>0</v>
      </c>
      <c r="BU509" s="23">
        <f>$L509*AN509</f>
        <v>0</v>
      </c>
      <c r="BV509" s="23">
        <f>$L509*AO509</f>
        <v>0</v>
      </c>
      <c r="BW509" s="23">
        <f>$L509*AP509</f>
        <v>0</v>
      </c>
      <c r="BX509" s="23">
        <f>$L509*AQ509</f>
        <v>0</v>
      </c>
      <c r="BY509" s="23">
        <f>$L509*AR509</f>
        <v>0</v>
      </c>
      <c r="BZ509" s="23">
        <f>$L509*AS509</f>
        <v>0</v>
      </c>
      <c r="CA509" s="23">
        <f>$L509*AT509</f>
        <v>0</v>
      </c>
      <c r="CB509" s="23">
        <f>$L509*AU509</f>
        <v>0</v>
      </c>
      <c r="CC509" s="23">
        <f>$L509*AV509</f>
        <v>0</v>
      </c>
      <c r="CD509" s="23">
        <f>$L509*AW509</f>
        <v>0</v>
      </c>
      <c r="CE509" s="23">
        <f>$L509*AX509</f>
        <v>0</v>
      </c>
      <c r="CF509" s="23">
        <f>$L509*AY509</f>
        <v>0</v>
      </c>
      <c r="CG509" s="23">
        <f>$L509*AZ509</f>
        <v>0</v>
      </c>
      <c r="CH509" s="23">
        <f>$L509*BA509</f>
        <v>0</v>
      </c>
      <c r="CI509" s="23">
        <f>$L509*BB509</f>
        <v>0</v>
      </c>
      <c r="CJ509" s="23">
        <f>$L509*BC509</f>
        <v>0</v>
      </c>
      <c r="CK509" s="23">
        <f>$L509*BD509</f>
        <v>0</v>
      </c>
      <c r="CL509" s="23">
        <f>$L509*BE509</f>
        <v>0</v>
      </c>
      <c r="CM509" s="23">
        <f>$L509*BF509</f>
        <v>0</v>
      </c>
      <c r="CN509" s="23">
        <f>$L509*BG509</f>
        <v>0</v>
      </c>
      <c r="CO509" s="23">
        <f>$L509*BH509</f>
        <v>0</v>
      </c>
      <c r="CP509" s="23">
        <f>$L509*BI509</f>
        <v>0</v>
      </c>
      <c r="CQ509" s="23">
        <f>$L509*BJ509</f>
        <v>0</v>
      </c>
      <c r="CR509" s="23">
        <f>$L509*BK509</f>
        <v>0</v>
      </c>
      <c r="CS509" s="23">
        <f>$L509*BL509</f>
        <v>0</v>
      </c>
      <c r="CT509" s="23">
        <f>$L509*BM509</f>
        <v>5</v>
      </c>
      <c r="CU509" s="23">
        <f>$L509*BN509</f>
        <v>0</v>
      </c>
      <c r="CV509" s="23">
        <f>$L509*BO509</f>
        <v>0</v>
      </c>
    </row>
    <row r="510" spans="1:100" ht="13.5" x14ac:dyDescent="0.15">
      <c r="A510" s="15">
        <v>3</v>
      </c>
      <c r="B510" s="27" t="s">
        <v>521</v>
      </c>
      <c r="C510" t="s">
        <v>513</v>
      </c>
      <c r="D510" t="s">
        <v>514</v>
      </c>
      <c r="E510" t="s">
        <v>515</v>
      </c>
      <c r="F510" t="s">
        <v>465</v>
      </c>
      <c r="G510" t="s">
        <v>515</v>
      </c>
      <c r="H510" t="s">
        <v>516</v>
      </c>
      <c r="I510" s="6" t="s">
        <v>467</v>
      </c>
      <c r="J510" s="6">
        <v>0</v>
      </c>
      <c r="L510" s="15">
        <v>5</v>
      </c>
      <c r="M510" s="7">
        <v>46084</v>
      </c>
      <c r="N510" s="7">
        <v>46128</v>
      </c>
      <c r="O510" s="7">
        <v>46128</v>
      </c>
      <c r="P510" s="7">
        <v>46128</v>
      </c>
      <c r="Q510" s="30" t="str">
        <f>IF(L510=T510,"OK","NG")</f>
        <v>OK</v>
      </c>
      <c r="R510" s="6" t="s">
        <v>522</v>
      </c>
      <c r="S510" s="6" t="str">
        <f>RIGHT(G510,6)</f>
        <v>LAC001</v>
      </c>
      <c r="T510" s="6">
        <v>5</v>
      </c>
      <c r="U510" s="6" t="s">
        <v>518</v>
      </c>
      <c r="V510" s="6" t="str">
        <f>TEXT(N510,"YY/MM")</f>
        <v>26/04</v>
      </c>
      <c r="AI510" s="23">
        <v>0</v>
      </c>
      <c r="AJ510" s="23">
        <v>0</v>
      </c>
      <c r="AK510" s="23">
        <v>0</v>
      </c>
      <c r="AL510" s="23">
        <v>0</v>
      </c>
      <c r="AM510" s="23">
        <v>0</v>
      </c>
      <c r="AN510" s="23">
        <v>0</v>
      </c>
      <c r="AO510" s="23">
        <v>0</v>
      </c>
      <c r="AP510" s="23">
        <v>0</v>
      </c>
      <c r="AQ510" s="23">
        <v>0</v>
      </c>
      <c r="AR510" s="23">
        <v>0</v>
      </c>
      <c r="AS510" s="23">
        <v>0</v>
      </c>
      <c r="AT510" s="23">
        <v>0</v>
      </c>
      <c r="AU510" s="23">
        <v>0</v>
      </c>
      <c r="AV510" s="23">
        <v>0</v>
      </c>
      <c r="AW510" s="23">
        <v>0</v>
      </c>
      <c r="AX510" s="23">
        <v>0</v>
      </c>
      <c r="AY510" s="23">
        <v>0</v>
      </c>
      <c r="AZ510" s="23">
        <v>0</v>
      </c>
      <c r="BA510" s="23">
        <v>0</v>
      </c>
      <c r="BB510" s="23">
        <v>0</v>
      </c>
      <c r="BC510" s="23">
        <v>0</v>
      </c>
      <c r="BD510" s="23">
        <v>0</v>
      </c>
      <c r="BE510" s="23">
        <v>0</v>
      </c>
      <c r="BF510" s="23">
        <v>0</v>
      </c>
      <c r="BG510" s="23">
        <v>0</v>
      </c>
      <c r="BH510" s="23">
        <v>0</v>
      </c>
      <c r="BI510" s="23">
        <v>0</v>
      </c>
      <c r="BJ510" s="23">
        <v>0</v>
      </c>
      <c r="BK510" s="23">
        <v>0</v>
      </c>
      <c r="BL510" s="23">
        <v>0</v>
      </c>
      <c r="BM510" s="23">
        <v>1</v>
      </c>
      <c r="BN510" s="23">
        <v>0</v>
      </c>
      <c r="BO510" s="23">
        <v>0</v>
      </c>
      <c r="BP510" s="23">
        <f>$L510*AI510</f>
        <v>0</v>
      </c>
      <c r="BQ510" s="23">
        <f>$L510*AJ510</f>
        <v>0</v>
      </c>
      <c r="BR510" s="23">
        <f>$L510*AK510</f>
        <v>0</v>
      </c>
      <c r="BS510" s="23">
        <f>$L510*AL510</f>
        <v>0</v>
      </c>
      <c r="BT510" s="23">
        <f>$L510*AM510</f>
        <v>0</v>
      </c>
      <c r="BU510" s="23">
        <f>$L510*AN510</f>
        <v>0</v>
      </c>
      <c r="BV510" s="23">
        <f>$L510*AO510</f>
        <v>0</v>
      </c>
      <c r="BW510" s="23">
        <f>$L510*AP510</f>
        <v>0</v>
      </c>
      <c r="BX510" s="23">
        <f>$L510*AQ510</f>
        <v>0</v>
      </c>
      <c r="BY510" s="23">
        <f>$L510*AR510</f>
        <v>0</v>
      </c>
      <c r="BZ510" s="23">
        <f>$L510*AS510</f>
        <v>0</v>
      </c>
      <c r="CA510" s="23">
        <f>$L510*AT510</f>
        <v>0</v>
      </c>
      <c r="CB510" s="23">
        <f>$L510*AU510</f>
        <v>0</v>
      </c>
      <c r="CC510" s="23">
        <f>$L510*AV510</f>
        <v>0</v>
      </c>
      <c r="CD510" s="23">
        <f>$L510*AW510</f>
        <v>0</v>
      </c>
      <c r="CE510" s="23">
        <f>$L510*AX510</f>
        <v>0</v>
      </c>
      <c r="CF510" s="23">
        <f>$L510*AY510</f>
        <v>0</v>
      </c>
      <c r="CG510" s="23">
        <f>$L510*AZ510</f>
        <v>0</v>
      </c>
      <c r="CH510" s="23">
        <f>$L510*BA510</f>
        <v>0</v>
      </c>
      <c r="CI510" s="23">
        <f>$L510*BB510</f>
        <v>0</v>
      </c>
      <c r="CJ510" s="23">
        <f>$L510*BC510</f>
        <v>0</v>
      </c>
      <c r="CK510" s="23">
        <f>$L510*BD510</f>
        <v>0</v>
      </c>
      <c r="CL510" s="23">
        <f>$L510*BE510</f>
        <v>0</v>
      </c>
      <c r="CM510" s="23">
        <f>$L510*BF510</f>
        <v>0</v>
      </c>
      <c r="CN510" s="23">
        <f>$L510*BG510</f>
        <v>0</v>
      </c>
      <c r="CO510" s="23">
        <f>$L510*BH510</f>
        <v>0</v>
      </c>
      <c r="CP510" s="23">
        <f>$L510*BI510</f>
        <v>0</v>
      </c>
      <c r="CQ510" s="23">
        <f>$L510*BJ510</f>
        <v>0</v>
      </c>
      <c r="CR510" s="23">
        <f>$L510*BK510</f>
        <v>0</v>
      </c>
      <c r="CS510" s="23">
        <f>$L510*BL510</f>
        <v>0</v>
      </c>
      <c r="CT510" s="23">
        <f>$L510*BM510</f>
        <v>5</v>
      </c>
      <c r="CU510" s="23">
        <f>$L510*BN510</f>
        <v>0</v>
      </c>
      <c r="CV510" s="23">
        <f>$L510*BO510</f>
        <v>0</v>
      </c>
    </row>
    <row r="511" spans="1:100" ht="13.5" x14ac:dyDescent="0.15">
      <c r="A511" s="15">
        <v>4</v>
      </c>
      <c r="B511" s="27" t="s">
        <v>523</v>
      </c>
      <c r="C511" t="s">
        <v>513</v>
      </c>
      <c r="D511" t="s">
        <v>514</v>
      </c>
      <c r="E511" t="s">
        <v>515</v>
      </c>
      <c r="F511" t="s">
        <v>465</v>
      </c>
      <c r="G511" t="s">
        <v>515</v>
      </c>
      <c r="H511" t="s">
        <v>516</v>
      </c>
      <c r="I511" s="6" t="s">
        <v>467</v>
      </c>
      <c r="J511" s="6">
        <v>0</v>
      </c>
      <c r="L511" s="15">
        <v>5</v>
      </c>
      <c r="M511" s="7">
        <v>46084</v>
      </c>
      <c r="N511" s="7">
        <v>46134</v>
      </c>
      <c r="O511" s="7">
        <v>46134</v>
      </c>
      <c r="P511" s="7">
        <v>46134</v>
      </c>
      <c r="Q511" s="30" t="str">
        <f>IF(L511=T511,"OK","NG")</f>
        <v>OK</v>
      </c>
      <c r="R511" s="6" t="s">
        <v>524</v>
      </c>
      <c r="S511" s="6" t="str">
        <f>RIGHT(G511,6)</f>
        <v>LAC001</v>
      </c>
      <c r="T511" s="6">
        <v>5</v>
      </c>
      <c r="U511" s="6" t="s">
        <v>518</v>
      </c>
      <c r="V511" s="6" t="str">
        <f>TEXT(N511,"YY/MM")</f>
        <v>26/04</v>
      </c>
      <c r="AI511" s="23">
        <v>0</v>
      </c>
      <c r="AJ511" s="23">
        <v>0</v>
      </c>
      <c r="AK511" s="23">
        <v>0</v>
      </c>
      <c r="AL511" s="23">
        <v>0</v>
      </c>
      <c r="AM511" s="23">
        <v>0</v>
      </c>
      <c r="AN511" s="23">
        <v>0</v>
      </c>
      <c r="AO511" s="23">
        <v>0</v>
      </c>
      <c r="AP511" s="23">
        <v>0</v>
      </c>
      <c r="AQ511" s="23">
        <v>0</v>
      </c>
      <c r="AR511" s="23">
        <v>0</v>
      </c>
      <c r="AS511" s="23">
        <v>0</v>
      </c>
      <c r="AT511" s="23">
        <v>0</v>
      </c>
      <c r="AU511" s="23">
        <v>0</v>
      </c>
      <c r="AV511" s="23">
        <v>0</v>
      </c>
      <c r="AW511" s="23">
        <v>0</v>
      </c>
      <c r="AX511" s="23">
        <v>0</v>
      </c>
      <c r="AY511" s="23">
        <v>0</v>
      </c>
      <c r="AZ511" s="23">
        <v>0</v>
      </c>
      <c r="BA511" s="23">
        <v>0</v>
      </c>
      <c r="BB511" s="23">
        <v>0</v>
      </c>
      <c r="BC511" s="23">
        <v>0</v>
      </c>
      <c r="BD511" s="23">
        <v>0</v>
      </c>
      <c r="BE511" s="23">
        <v>0</v>
      </c>
      <c r="BF511" s="23">
        <v>0</v>
      </c>
      <c r="BG511" s="23">
        <v>0</v>
      </c>
      <c r="BH511" s="23">
        <v>0</v>
      </c>
      <c r="BI511" s="23">
        <v>0</v>
      </c>
      <c r="BJ511" s="23">
        <v>0</v>
      </c>
      <c r="BK511" s="23">
        <v>0</v>
      </c>
      <c r="BL511" s="23">
        <v>0</v>
      </c>
      <c r="BM511" s="23">
        <v>1</v>
      </c>
      <c r="BN511" s="23">
        <v>0</v>
      </c>
      <c r="BO511" s="23">
        <v>0</v>
      </c>
      <c r="BP511" s="23">
        <f>$L511*AI511</f>
        <v>0</v>
      </c>
      <c r="BQ511" s="23">
        <f>$L511*AJ511</f>
        <v>0</v>
      </c>
      <c r="BR511" s="23">
        <f>$L511*AK511</f>
        <v>0</v>
      </c>
      <c r="BS511" s="23">
        <f>$L511*AL511</f>
        <v>0</v>
      </c>
      <c r="BT511" s="23">
        <f>$L511*AM511</f>
        <v>0</v>
      </c>
      <c r="BU511" s="23">
        <f>$L511*AN511</f>
        <v>0</v>
      </c>
      <c r="BV511" s="23">
        <f>$L511*AO511</f>
        <v>0</v>
      </c>
      <c r="BW511" s="23">
        <f>$L511*AP511</f>
        <v>0</v>
      </c>
      <c r="BX511" s="23">
        <f>$L511*AQ511</f>
        <v>0</v>
      </c>
      <c r="BY511" s="23">
        <f>$L511*AR511</f>
        <v>0</v>
      </c>
      <c r="BZ511" s="23">
        <f>$L511*AS511</f>
        <v>0</v>
      </c>
      <c r="CA511" s="23">
        <f>$L511*AT511</f>
        <v>0</v>
      </c>
      <c r="CB511" s="23">
        <f>$L511*AU511</f>
        <v>0</v>
      </c>
      <c r="CC511" s="23">
        <f>$L511*AV511</f>
        <v>0</v>
      </c>
      <c r="CD511" s="23">
        <f>$L511*AW511</f>
        <v>0</v>
      </c>
      <c r="CE511" s="23">
        <f>$L511*AX511</f>
        <v>0</v>
      </c>
      <c r="CF511" s="23">
        <f>$L511*AY511</f>
        <v>0</v>
      </c>
      <c r="CG511" s="23">
        <f>$L511*AZ511</f>
        <v>0</v>
      </c>
      <c r="CH511" s="23">
        <f>$L511*BA511</f>
        <v>0</v>
      </c>
      <c r="CI511" s="23">
        <f>$L511*BB511</f>
        <v>0</v>
      </c>
      <c r="CJ511" s="23">
        <f>$L511*BC511</f>
        <v>0</v>
      </c>
      <c r="CK511" s="23">
        <f>$L511*BD511</f>
        <v>0</v>
      </c>
      <c r="CL511" s="23">
        <f>$L511*BE511</f>
        <v>0</v>
      </c>
      <c r="CM511" s="23">
        <f>$L511*BF511</f>
        <v>0</v>
      </c>
      <c r="CN511" s="23">
        <f>$L511*BG511</f>
        <v>0</v>
      </c>
      <c r="CO511" s="23">
        <f>$L511*BH511</f>
        <v>0</v>
      </c>
      <c r="CP511" s="23">
        <f>$L511*BI511</f>
        <v>0</v>
      </c>
      <c r="CQ511" s="23">
        <f>$L511*BJ511</f>
        <v>0</v>
      </c>
      <c r="CR511" s="23">
        <f>$L511*BK511</f>
        <v>0</v>
      </c>
      <c r="CS511" s="23">
        <f>$L511*BL511</f>
        <v>0</v>
      </c>
      <c r="CT511" s="23">
        <f>$L511*BM511</f>
        <v>5</v>
      </c>
      <c r="CU511" s="23">
        <f>$L511*BN511</f>
        <v>0</v>
      </c>
      <c r="CV511" s="23">
        <f>$L511*BO511</f>
        <v>0</v>
      </c>
    </row>
    <row r="512" spans="1:100" ht="13.5" x14ac:dyDescent="0.15">
      <c r="A512" s="15">
        <v>5</v>
      </c>
      <c r="B512" s="27" t="s">
        <v>525</v>
      </c>
      <c r="C512" t="s">
        <v>513</v>
      </c>
      <c r="D512" t="s">
        <v>514</v>
      </c>
      <c r="E512" t="s">
        <v>515</v>
      </c>
      <c r="F512" t="s">
        <v>465</v>
      </c>
      <c r="G512" t="s">
        <v>515</v>
      </c>
      <c r="H512" t="s">
        <v>516</v>
      </c>
      <c r="I512" s="6" t="s">
        <v>467</v>
      </c>
      <c r="J512" s="6">
        <v>0</v>
      </c>
      <c r="L512" s="15">
        <v>5</v>
      </c>
      <c r="M512" s="7">
        <v>46084</v>
      </c>
      <c r="N512" s="7">
        <v>46135</v>
      </c>
      <c r="O512" s="7">
        <v>46135</v>
      </c>
      <c r="P512" s="7">
        <v>46135</v>
      </c>
      <c r="Q512" s="30" t="str">
        <f>IF(L512=T512,"OK","NG")</f>
        <v>OK</v>
      </c>
      <c r="R512" s="6" t="s">
        <v>526</v>
      </c>
      <c r="S512" s="6" t="str">
        <f>RIGHT(G512,6)</f>
        <v>LAC001</v>
      </c>
      <c r="T512" s="6">
        <v>5</v>
      </c>
      <c r="U512" s="6" t="s">
        <v>518</v>
      </c>
      <c r="V512" s="6" t="str">
        <f>TEXT(N512,"YY/MM")</f>
        <v>26/04</v>
      </c>
      <c r="AI512" s="23">
        <v>0</v>
      </c>
      <c r="AJ512" s="23">
        <v>0</v>
      </c>
      <c r="AK512" s="23">
        <v>0</v>
      </c>
      <c r="AL512" s="23">
        <v>0</v>
      </c>
      <c r="AM512" s="23">
        <v>0</v>
      </c>
      <c r="AN512" s="23">
        <v>0</v>
      </c>
      <c r="AO512" s="23">
        <v>0</v>
      </c>
      <c r="AP512" s="23">
        <v>0</v>
      </c>
      <c r="AQ512" s="23">
        <v>0</v>
      </c>
      <c r="AR512" s="23">
        <v>0</v>
      </c>
      <c r="AS512" s="23">
        <v>0</v>
      </c>
      <c r="AT512" s="23">
        <v>0</v>
      </c>
      <c r="AU512" s="23">
        <v>0</v>
      </c>
      <c r="AV512" s="23">
        <v>0</v>
      </c>
      <c r="AW512" s="23">
        <v>0</v>
      </c>
      <c r="AX512" s="23">
        <v>0</v>
      </c>
      <c r="AY512" s="23">
        <v>0</v>
      </c>
      <c r="AZ512" s="23">
        <v>0</v>
      </c>
      <c r="BA512" s="23">
        <v>0</v>
      </c>
      <c r="BB512" s="23">
        <v>0</v>
      </c>
      <c r="BC512" s="23">
        <v>0</v>
      </c>
      <c r="BD512" s="23">
        <v>0</v>
      </c>
      <c r="BE512" s="23">
        <v>0</v>
      </c>
      <c r="BF512" s="23">
        <v>0</v>
      </c>
      <c r="BG512" s="23">
        <v>0</v>
      </c>
      <c r="BH512" s="23">
        <v>0</v>
      </c>
      <c r="BI512" s="23">
        <v>0</v>
      </c>
      <c r="BJ512" s="23">
        <v>0</v>
      </c>
      <c r="BK512" s="23">
        <v>0</v>
      </c>
      <c r="BL512" s="23">
        <v>0</v>
      </c>
      <c r="BM512" s="23">
        <v>1</v>
      </c>
      <c r="BN512" s="23">
        <v>0</v>
      </c>
      <c r="BO512" s="23">
        <v>0</v>
      </c>
      <c r="BP512" s="23">
        <f>$L512*AI512</f>
        <v>0</v>
      </c>
      <c r="BQ512" s="23">
        <f>$L512*AJ512</f>
        <v>0</v>
      </c>
      <c r="BR512" s="23">
        <f>$L512*AK512</f>
        <v>0</v>
      </c>
      <c r="BS512" s="23">
        <f>$L512*AL512</f>
        <v>0</v>
      </c>
      <c r="BT512" s="23">
        <f>$L512*AM512</f>
        <v>0</v>
      </c>
      <c r="BU512" s="23">
        <f>$L512*AN512</f>
        <v>0</v>
      </c>
      <c r="BV512" s="23">
        <f>$L512*AO512</f>
        <v>0</v>
      </c>
      <c r="BW512" s="23">
        <f>$L512*AP512</f>
        <v>0</v>
      </c>
      <c r="BX512" s="23">
        <f>$L512*AQ512</f>
        <v>0</v>
      </c>
      <c r="BY512" s="23">
        <f>$L512*AR512</f>
        <v>0</v>
      </c>
      <c r="BZ512" s="23">
        <f>$L512*AS512</f>
        <v>0</v>
      </c>
      <c r="CA512" s="23">
        <f>$L512*AT512</f>
        <v>0</v>
      </c>
      <c r="CB512" s="23">
        <f>$L512*AU512</f>
        <v>0</v>
      </c>
      <c r="CC512" s="23">
        <f>$L512*AV512</f>
        <v>0</v>
      </c>
      <c r="CD512" s="23">
        <f>$L512*AW512</f>
        <v>0</v>
      </c>
      <c r="CE512" s="23">
        <f>$L512*AX512</f>
        <v>0</v>
      </c>
      <c r="CF512" s="23">
        <f>$L512*AY512</f>
        <v>0</v>
      </c>
      <c r="CG512" s="23">
        <f>$L512*AZ512</f>
        <v>0</v>
      </c>
      <c r="CH512" s="23">
        <f>$L512*BA512</f>
        <v>0</v>
      </c>
      <c r="CI512" s="23">
        <f>$L512*BB512</f>
        <v>0</v>
      </c>
      <c r="CJ512" s="23">
        <f>$L512*BC512</f>
        <v>0</v>
      </c>
      <c r="CK512" s="23">
        <f>$L512*BD512</f>
        <v>0</v>
      </c>
      <c r="CL512" s="23">
        <f>$L512*BE512</f>
        <v>0</v>
      </c>
      <c r="CM512" s="23">
        <f>$L512*BF512</f>
        <v>0</v>
      </c>
      <c r="CN512" s="23">
        <f>$L512*BG512</f>
        <v>0</v>
      </c>
      <c r="CO512" s="23">
        <f>$L512*BH512</f>
        <v>0</v>
      </c>
      <c r="CP512" s="23">
        <f>$L512*BI512</f>
        <v>0</v>
      </c>
      <c r="CQ512" s="23">
        <f>$L512*BJ512</f>
        <v>0</v>
      </c>
      <c r="CR512" s="23">
        <f>$L512*BK512</f>
        <v>0</v>
      </c>
      <c r="CS512" s="23">
        <f>$L512*BL512</f>
        <v>0</v>
      </c>
      <c r="CT512" s="23">
        <f>$L512*BM512</f>
        <v>5</v>
      </c>
      <c r="CU512" s="23">
        <f>$L512*BN512</f>
        <v>0</v>
      </c>
      <c r="CV512" s="23">
        <f>$L512*BO512</f>
        <v>0</v>
      </c>
    </row>
    <row r="513" spans="1:100" ht="13.5" x14ac:dyDescent="0.15">
      <c r="A513" s="15">
        <v>6</v>
      </c>
      <c r="B513" s="27" t="s">
        <v>527</v>
      </c>
      <c r="C513" t="s">
        <v>513</v>
      </c>
      <c r="D513" t="s">
        <v>514</v>
      </c>
      <c r="E513" t="s">
        <v>515</v>
      </c>
      <c r="F513" t="s">
        <v>465</v>
      </c>
      <c r="G513" t="s">
        <v>515</v>
      </c>
      <c r="H513" t="s">
        <v>516</v>
      </c>
      <c r="I513" s="6" t="s">
        <v>467</v>
      </c>
      <c r="J513" s="6">
        <v>0</v>
      </c>
      <c r="L513" s="15">
        <v>5</v>
      </c>
      <c r="M513" s="7">
        <v>46084</v>
      </c>
      <c r="N513" s="7">
        <v>46160</v>
      </c>
      <c r="O513" s="7">
        <v>46160</v>
      </c>
      <c r="P513" s="7">
        <v>46160</v>
      </c>
      <c r="Q513" s="30" t="str">
        <f>IF(L513=T513,"OK","NG")</f>
        <v>OK</v>
      </c>
      <c r="R513" s="6" t="s">
        <v>528</v>
      </c>
      <c r="S513" s="6" t="str">
        <f>RIGHT(G513,6)</f>
        <v>LAC001</v>
      </c>
      <c r="T513" s="6">
        <v>5</v>
      </c>
      <c r="U513" s="6" t="s">
        <v>518</v>
      </c>
      <c r="V513" s="6" t="str">
        <f>TEXT(N513,"YY/MM")</f>
        <v>26/05</v>
      </c>
      <c r="AI513" s="23">
        <v>0</v>
      </c>
      <c r="AJ513" s="23">
        <v>0</v>
      </c>
      <c r="AK513" s="23">
        <v>0</v>
      </c>
      <c r="AL513" s="23">
        <v>0</v>
      </c>
      <c r="AM513" s="23">
        <v>0</v>
      </c>
      <c r="AN513" s="23">
        <v>0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0</v>
      </c>
      <c r="AU513" s="23">
        <v>0</v>
      </c>
      <c r="AV513" s="23">
        <v>0</v>
      </c>
      <c r="AW513" s="23">
        <v>0</v>
      </c>
      <c r="AX513" s="23">
        <v>0</v>
      </c>
      <c r="AY513" s="23">
        <v>0</v>
      </c>
      <c r="AZ513" s="23">
        <v>0</v>
      </c>
      <c r="BA513" s="23">
        <v>0</v>
      </c>
      <c r="BB513" s="23">
        <v>0</v>
      </c>
      <c r="BC513" s="23">
        <v>0</v>
      </c>
      <c r="BD513" s="23">
        <v>0</v>
      </c>
      <c r="BE513" s="23">
        <v>0</v>
      </c>
      <c r="BF513" s="23">
        <v>0</v>
      </c>
      <c r="BG513" s="23">
        <v>0</v>
      </c>
      <c r="BH513" s="23">
        <v>0</v>
      </c>
      <c r="BI513" s="23">
        <v>0</v>
      </c>
      <c r="BJ513" s="23">
        <v>0</v>
      </c>
      <c r="BK513" s="23">
        <v>0</v>
      </c>
      <c r="BL513" s="23">
        <v>0</v>
      </c>
      <c r="BM513" s="23">
        <v>1</v>
      </c>
      <c r="BN513" s="23">
        <v>0</v>
      </c>
      <c r="BO513" s="23">
        <v>0</v>
      </c>
      <c r="BP513" s="23">
        <f>$L513*AI513</f>
        <v>0</v>
      </c>
      <c r="BQ513" s="23">
        <f>$L513*AJ513</f>
        <v>0</v>
      </c>
      <c r="BR513" s="23">
        <f>$L513*AK513</f>
        <v>0</v>
      </c>
      <c r="BS513" s="23">
        <f>$L513*AL513</f>
        <v>0</v>
      </c>
      <c r="BT513" s="23">
        <f>$L513*AM513</f>
        <v>0</v>
      </c>
      <c r="BU513" s="23">
        <f>$L513*AN513</f>
        <v>0</v>
      </c>
      <c r="BV513" s="23">
        <f>$L513*AO513</f>
        <v>0</v>
      </c>
      <c r="BW513" s="23">
        <f>$L513*AP513</f>
        <v>0</v>
      </c>
      <c r="BX513" s="23">
        <f>$L513*AQ513</f>
        <v>0</v>
      </c>
      <c r="BY513" s="23">
        <f>$L513*AR513</f>
        <v>0</v>
      </c>
      <c r="BZ513" s="23">
        <f>$L513*AS513</f>
        <v>0</v>
      </c>
      <c r="CA513" s="23">
        <f>$L513*AT513</f>
        <v>0</v>
      </c>
      <c r="CB513" s="23">
        <f>$L513*AU513</f>
        <v>0</v>
      </c>
      <c r="CC513" s="23">
        <f>$L513*AV513</f>
        <v>0</v>
      </c>
      <c r="CD513" s="23">
        <f>$L513*AW513</f>
        <v>0</v>
      </c>
      <c r="CE513" s="23">
        <f>$L513*AX513</f>
        <v>0</v>
      </c>
      <c r="CF513" s="23">
        <f>$L513*AY513</f>
        <v>0</v>
      </c>
      <c r="CG513" s="23">
        <f>$L513*AZ513</f>
        <v>0</v>
      </c>
      <c r="CH513" s="23">
        <f>$L513*BA513</f>
        <v>0</v>
      </c>
      <c r="CI513" s="23">
        <f>$L513*BB513</f>
        <v>0</v>
      </c>
      <c r="CJ513" s="23">
        <f>$L513*BC513</f>
        <v>0</v>
      </c>
      <c r="CK513" s="23">
        <f>$L513*BD513</f>
        <v>0</v>
      </c>
      <c r="CL513" s="23">
        <f>$L513*BE513</f>
        <v>0</v>
      </c>
      <c r="CM513" s="23">
        <f>$L513*BF513</f>
        <v>0</v>
      </c>
      <c r="CN513" s="23">
        <f>$L513*BG513</f>
        <v>0</v>
      </c>
      <c r="CO513" s="23">
        <f>$L513*BH513</f>
        <v>0</v>
      </c>
      <c r="CP513" s="23">
        <f>$L513*BI513</f>
        <v>0</v>
      </c>
      <c r="CQ513" s="23">
        <f>$L513*BJ513</f>
        <v>0</v>
      </c>
      <c r="CR513" s="23">
        <f>$L513*BK513</f>
        <v>0</v>
      </c>
      <c r="CS513" s="23">
        <f>$L513*BL513</f>
        <v>0</v>
      </c>
      <c r="CT513" s="23">
        <f>$L513*BM513</f>
        <v>5</v>
      </c>
      <c r="CU513" s="23">
        <f>$L513*BN513</f>
        <v>0</v>
      </c>
      <c r="CV513" s="23">
        <f>$L513*BO513</f>
        <v>0</v>
      </c>
    </row>
    <row r="514" spans="1:100" ht="13.5" x14ac:dyDescent="0.15">
      <c r="A514" s="15">
        <v>7</v>
      </c>
      <c r="B514" s="27" t="s">
        <v>529</v>
      </c>
      <c r="C514" t="s">
        <v>513</v>
      </c>
      <c r="D514" t="s">
        <v>514</v>
      </c>
      <c r="E514" t="s">
        <v>515</v>
      </c>
      <c r="F514" t="s">
        <v>465</v>
      </c>
      <c r="G514" t="s">
        <v>515</v>
      </c>
      <c r="H514" t="s">
        <v>516</v>
      </c>
      <c r="I514" s="6" t="s">
        <v>467</v>
      </c>
      <c r="J514" s="6">
        <v>0</v>
      </c>
      <c r="L514" s="15">
        <v>5</v>
      </c>
      <c r="M514" s="7">
        <v>46084</v>
      </c>
      <c r="N514" s="7">
        <v>46161</v>
      </c>
      <c r="O514" s="7">
        <v>46161</v>
      </c>
      <c r="P514" s="7">
        <v>46161</v>
      </c>
      <c r="Q514" s="30" t="str">
        <f>IF(L514=T514,"OK","NG")</f>
        <v>OK</v>
      </c>
      <c r="R514" s="6" t="s">
        <v>530</v>
      </c>
      <c r="S514" s="6" t="str">
        <f>RIGHT(G514,6)</f>
        <v>LAC001</v>
      </c>
      <c r="T514" s="6">
        <v>5</v>
      </c>
      <c r="U514" s="6" t="s">
        <v>518</v>
      </c>
      <c r="V514" s="6" t="str">
        <f>TEXT(N514,"YY/MM")</f>
        <v>26/05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  <c r="BF514" s="23">
        <v>0</v>
      </c>
      <c r="BG514" s="23">
        <v>0</v>
      </c>
      <c r="BH514" s="23">
        <v>0</v>
      </c>
      <c r="BI514" s="23">
        <v>0</v>
      </c>
      <c r="BJ514" s="23">
        <v>0</v>
      </c>
      <c r="BK514" s="23">
        <v>0</v>
      </c>
      <c r="BL514" s="23">
        <v>0</v>
      </c>
      <c r="BM514" s="23">
        <v>1</v>
      </c>
      <c r="BN514" s="23">
        <v>0</v>
      </c>
      <c r="BO514" s="23">
        <v>0</v>
      </c>
      <c r="BP514" s="23">
        <f>$L514*AI514</f>
        <v>0</v>
      </c>
      <c r="BQ514" s="23">
        <f>$L514*AJ514</f>
        <v>0</v>
      </c>
      <c r="BR514" s="23">
        <f>$L514*AK514</f>
        <v>0</v>
      </c>
      <c r="BS514" s="23">
        <f>$L514*AL514</f>
        <v>0</v>
      </c>
      <c r="BT514" s="23">
        <f>$L514*AM514</f>
        <v>0</v>
      </c>
      <c r="BU514" s="23">
        <f>$L514*AN514</f>
        <v>0</v>
      </c>
      <c r="BV514" s="23">
        <f>$L514*AO514</f>
        <v>0</v>
      </c>
      <c r="BW514" s="23">
        <f>$L514*AP514</f>
        <v>0</v>
      </c>
      <c r="BX514" s="23">
        <f>$L514*AQ514</f>
        <v>0</v>
      </c>
      <c r="BY514" s="23">
        <f>$L514*AR514</f>
        <v>0</v>
      </c>
      <c r="BZ514" s="23">
        <f>$L514*AS514</f>
        <v>0</v>
      </c>
      <c r="CA514" s="23">
        <f>$L514*AT514</f>
        <v>0</v>
      </c>
      <c r="CB514" s="23">
        <f>$L514*AU514</f>
        <v>0</v>
      </c>
      <c r="CC514" s="23">
        <f>$L514*AV514</f>
        <v>0</v>
      </c>
      <c r="CD514" s="23">
        <f>$L514*AW514</f>
        <v>0</v>
      </c>
      <c r="CE514" s="23">
        <f>$L514*AX514</f>
        <v>0</v>
      </c>
      <c r="CF514" s="23">
        <f>$L514*AY514</f>
        <v>0</v>
      </c>
      <c r="CG514" s="23">
        <f>$L514*AZ514</f>
        <v>0</v>
      </c>
      <c r="CH514" s="23">
        <f>$L514*BA514</f>
        <v>0</v>
      </c>
      <c r="CI514" s="23">
        <f>$L514*BB514</f>
        <v>0</v>
      </c>
      <c r="CJ514" s="23">
        <f>$L514*BC514</f>
        <v>0</v>
      </c>
      <c r="CK514" s="23">
        <f>$L514*BD514</f>
        <v>0</v>
      </c>
      <c r="CL514" s="23">
        <f>$L514*BE514</f>
        <v>0</v>
      </c>
      <c r="CM514" s="23">
        <f>$L514*BF514</f>
        <v>0</v>
      </c>
      <c r="CN514" s="23">
        <f>$L514*BG514</f>
        <v>0</v>
      </c>
      <c r="CO514" s="23">
        <f>$L514*BH514</f>
        <v>0</v>
      </c>
      <c r="CP514" s="23">
        <f>$L514*BI514</f>
        <v>0</v>
      </c>
      <c r="CQ514" s="23">
        <f>$L514*BJ514</f>
        <v>0</v>
      </c>
      <c r="CR514" s="23">
        <f>$L514*BK514</f>
        <v>0</v>
      </c>
      <c r="CS514" s="23">
        <f>$L514*BL514</f>
        <v>0</v>
      </c>
      <c r="CT514" s="23">
        <f>$L514*BM514</f>
        <v>5</v>
      </c>
      <c r="CU514" s="23">
        <f>$L514*BN514</f>
        <v>0</v>
      </c>
      <c r="CV514" s="23">
        <f>$L514*BO514</f>
        <v>0</v>
      </c>
    </row>
    <row r="515" spans="1:100" ht="13.5" x14ac:dyDescent="0.15">
      <c r="A515" s="15">
        <v>8</v>
      </c>
      <c r="B515" s="27" t="s">
        <v>531</v>
      </c>
      <c r="C515" t="s">
        <v>513</v>
      </c>
      <c r="D515" t="s">
        <v>514</v>
      </c>
      <c r="E515" t="s">
        <v>515</v>
      </c>
      <c r="F515" t="s">
        <v>465</v>
      </c>
      <c r="G515" t="s">
        <v>515</v>
      </c>
      <c r="H515" t="s">
        <v>516</v>
      </c>
      <c r="I515" s="6" t="s">
        <v>467</v>
      </c>
      <c r="J515" s="6">
        <v>0</v>
      </c>
      <c r="L515" s="15">
        <v>5</v>
      </c>
      <c r="M515" s="7">
        <v>46084</v>
      </c>
      <c r="N515" s="7">
        <v>46195</v>
      </c>
      <c r="O515" s="7">
        <v>46195</v>
      </c>
      <c r="P515" s="7">
        <v>46195</v>
      </c>
      <c r="Q515" s="30" t="str">
        <f>IF(L515=T515,"OK","NG")</f>
        <v>OK</v>
      </c>
      <c r="R515" s="6" t="s">
        <v>532</v>
      </c>
      <c r="S515" s="6" t="str">
        <f>RIGHT(G515,6)</f>
        <v>LAC001</v>
      </c>
      <c r="T515" s="6">
        <v>5</v>
      </c>
      <c r="U515" s="6" t="s">
        <v>518</v>
      </c>
      <c r="V515" s="6" t="str">
        <f>TEXT(N515,"YY/MM")</f>
        <v>26/06</v>
      </c>
      <c r="AI515" s="23">
        <v>0</v>
      </c>
      <c r="AJ515" s="23">
        <v>0</v>
      </c>
      <c r="AK515" s="23">
        <v>0</v>
      </c>
      <c r="AL515" s="23">
        <v>0</v>
      </c>
      <c r="AM515" s="23">
        <v>0</v>
      </c>
      <c r="AN515" s="23">
        <v>0</v>
      </c>
      <c r="AO515" s="23">
        <v>0</v>
      </c>
      <c r="AP515" s="23">
        <v>0</v>
      </c>
      <c r="AQ515" s="23">
        <v>0</v>
      </c>
      <c r="AR515" s="23">
        <v>0</v>
      </c>
      <c r="AS515" s="23">
        <v>0</v>
      </c>
      <c r="AT515" s="23">
        <v>0</v>
      </c>
      <c r="AU515" s="23">
        <v>0</v>
      </c>
      <c r="AV515" s="23">
        <v>0</v>
      </c>
      <c r="AW515" s="23">
        <v>0</v>
      </c>
      <c r="AX515" s="23">
        <v>0</v>
      </c>
      <c r="AY515" s="23">
        <v>0</v>
      </c>
      <c r="AZ515" s="23">
        <v>0</v>
      </c>
      <c r="BA515" s="23">
        <v>0</v>
      </c>
      <c r="BB515" s="23">
        <v>0</v>
      </c>
      <c r="BC515" s="23">
        <v>0</v>
      </c>
      <c r="BD515" s="23">
        <v>0</v>
      </c>
      <c r="BE515" s="23">
        <v>0</v>
      </c>
      <c r="BF515" s="23">
        <v>0</v>
      </c>
      <c r="BG515" s="23">
        <v>0</v>
      </c>
      <c r="BH515" s="23">
        <v>0</v>
      </c>
      <c r="BI515" s="23">
        <v>0</v>
      </c>
      <c r="BJ515" s="23">
        <v>0</v>
      </c>
      <c r="BK515" s="23">
        <v>0</v>
      </c>
      <c r="BL515" s="23">
        <v>0</v>
      </c>
      <c r="BM515" s="23">
        <v>1</v>
      </c>
      <c r="BN515" s="23">
        <v>0</v>
      </c>
      <c r="BO515" s="23">
        <v>0</v>
      </c>
      <c r="BP515" s="23">
        <f>$L515*AI515</f>
        <v>0</v>
      </c>
      <c r="BQ515" s="23">
        <f>$L515*AJ515</f>
        <v>0</v>
      </c>
      <c r="BR515" s="23">
        <f>$L515*AK515</f>
        <v>0</v>
      </c>
      <c r="BS515" s="23">
        <f>$L515*AL515</f>
        <v>0</v>
      </c>
      <c r="BT515" s="23">
        <f>$L515*AM515</f>
        <v>0</v>
      </c>
      <c r="BU515" s="23">
        <f>$L515*AN515</f>
        <v>0</v>
      </c>
      <c r="BV515" s="23">
        <f>$L515*AO515</f>
        <v>0</v>
      </c>
      <c r="BW515" s="23">
        <f>$L515*AP515</f>
        <v>0</v>
      </c>
      <c r="BX515" s="23">
        <f>$L515*AQ515</f>
        <v>0</v>
      </c>
      <c r="BY515" s="23">
        <f>$L515*AR515</f>
        <v>0</v>
      </c>
      <c r="BZ515" s="23">
        <f>$L515*AS515</f>
        <v>0</v>
      </c>
      <c r="CA515" s="23">
        <f>$L515*AT515</f>
        <v>0</v>
      </c>
      <c r="CB515" s="23">
        <f>$L515*AU515</f>
        <v>0</v>
      </c>
      <c r="CC515" s="23">
        <f>$L515*AV515</f>
        <v>0</v>
      </c>
      <c r="CD515" s="23">
        <f>$L515*AW515</f>
        <v>0</v>
      </c>
      <c r="CE515" s="23">
        <f>$L515*AX515</f>
        <v>0</v>
      </c>
      <c r="CF515" s="23">
        <f>$L515*AY515</f>
        <v>0</v>
      </c>
      <c r="CG515" s="23">
        <f>$L515*AZ515</f>
        <v>0</v>
      </c>
      <c r="CH515" s="23">
        <f>$L515*BA515</f>
        <v>0</v>
      </c>
      <c r="CI515" s="23">
        <f>$L515*BB515</f>
        <v>0</v>
      </c>
      <c r="CJ515" s="23">
        <f>$L515*BC515</f>
        <v>0</v>
      </c>
      <c r="CK515" s="23">
        <f>$L515*BD515</f>
        <v>0</v>
      </c>
      <c r="CL515" s="23">
        <f>$L515*BE515</f>
        <v>0</v>
      </c>
      <c r="CM515" s="23">
        <f>$L515*BF515</f>
        <v>0</v>
      </c>
      <c r="CN515" s="23">
        <f>$L515*BG515</f>
        <v>0</v>
      </c>
      <c r="CO515" s="23">
        <f>$L515*BH515</f>
        <v>0</v>
      </c>
      <c r="CP515" s="23">
        <f>$L515*BI515</f>
        <v>0</v>
      </c>
      <c r="CQ515" s="23">
        <f>$L515*BJ515</f>
        <v>0</v>
      </c>
      <c r="CR515" s="23">
        <f>$L515*BK515</f>
        <v>0</v>
      </c>
      <c r="CS515" s="23">
        <f>$L515*BL515</f>
        <v>0</v>
      </c>
      <c r="CT515" s="23">
        <f>$L515*BM515</f>
        <v>5</v>
      </c>
      <c r="CU515" s="23">
        <f>$L515*BN515</f>
        <v>0</v>
      </c>
      <c r="CV515" s="23">
        <f>$L515*BO515</f>
        <v>0</v>
      </c>
    </row>
    <row r="516" spans="1:100" ht="13.5" x14ac:dyDescent="0.15">
      <c r="A516" s="15">
        <v>9</v>
      </c>
      <c r="B516" s="27" t="s">
        <v>533</v>
      </c>
      <c r="C516" t="s">
        <v>513</v>
      </c>
      <c r="D516" t="s">
        <v>514</v>
      </c>
      <c r="E516" t="s">
        <v>515</v>
      </c>
      <c r="F516" t="s">
        <v>465</v>
      </c>
      <c r="G516" t="s">
        <v>515</v>
      </c>
      <c r="H516" t="s">
        <v>516</v>
      </c>
      <c r="I516" s="6" t="s">
        <v>467</v>
      </c>
      <c r="J516" s="6">
        <v>0</v>
      </c>
      <c r="L516" s="15">
        <v>5</v>
      </c>
      <c r="M516" s="7">
        <v>46084</v>
      </c>
      <c r="N516" s="7">
        <v>46196</v>
      </c>
      <c r="O516" s="7">
        <v>46196</v>
      </c>
      <c r="P516" s="7">
        <v>46196</v>
      </c>
      <c r="Q516" s="30" t="str">
        <f>IF(L516=T516,"OK","NG")</f>
        <v>OK</v>
      </c>
      <c r="R516" s="6" t="s">
        <v>534</v>
      </c>
      <c r="S516" s="6" t="str">
        <f>RIGHT(G516,6)</f>
        <v>LAC001</v>
      </c>
      <c r="T516" s="6">
        <v>5</v>
      </c>
      <c r="U516" s="6" t="s">
        <v>518</v>
      </c>
      <c r="V516" s="6" t="str">
        <f>TEXT(N516,"YY/MM")</f>
        <v>26/06</v>
      </c>
      <c r="AI516" s="23">
        <v>0</v>
      </c>
      <c r="AJ516" s="23">
        <v>0</v>
      </c>
      <c r="AK516" s="23">
        <v>0</v>
      </c>
      <c r="AL516" s="23">
        <v>0</v>
      </c>
      <c r="AM516" s="23">
        <v>0</v>
      </c>
      <c r="AN516" s="23">
        <v>0</v>
      </c>
      <c r="AO516" s="23">
        <v>0</v>
      </c>
      <c r="AP516" s="23">
        <v>0</v>
      </c>
      <c r="AQ516" s="23">
        <v>0</v>
      </c>
      <c r="AR516" s="23">
        <v>0</v>
      </c>
      <c r="AS516" s="23">
        <v>0</v>
      </c>
      <c r="AT516" s="23">
        <v>0</v>
      </c>
      <c r="AU516" s="23">
        <v>0</v>
      </c>
      <c r="AV516" s="23">
        <v>0</v>
      </c>
      <c r="AW516" s="23">
        <v>0</v>
      </c>
      <c r="AX516" s="23">
        <v>0</v>
      </c>
      <c r="AY516" s="23">
        <v>0</v>
      </c>
      <c r="AZ516" s="23">
        <v>0</v>
      </c>
      <c r="BA516" s="23">
        <v>0</v>
      </c>
      <c r="BB516" s="23">
        <v>0</v>
      </c>
      <c r="BC516" s="23">
        <v>0</v>
      </c>
      <c r="BD516" s="23">
        <v>0</v>
      </c>
      <c r="BE516" s="23">
        <v>0</v>
      </c>
      <c r="BF516" s="23">
        <v>0</v>
      </c>
      <c r="BG516" s="23">
        <v>0</v>
      </c>
      <c r="BH516" s="23">
        <v>0</v>
      </c>
      <c r="BI516" s="23">
        <v>0</v>
      </c>
      <c r="BJ516" s="23">
        <v>0</v>
      </c>
      <c r="BK516" s="23">
        <v>0</v>
      </c>
      <c r="BL516" s="23">
        <v>0</v>
      </c>
      <c r="BM516" s="23">
        <v>1</v>
      </c>
      <c r="BN516" s="23">
        <v>0</v>
      </c>
      <c r="BO516" s="23">
        <v>0</v>
      </c>
      <c r="BP516" s="23">
        <f>$L516*AI516</f>
        <v>0</v>
      </c>
      <c r="BQ516" s="23">
        <f>$L516*AJ516</f>
        <v>0</v>
      </c>
      <c r="BR516" s="23">
        <f>$L516*AK516</f>
        <v>0</v>
      </c>
      <c r="BS516" s="23">
        <f>$L516*AL516</f>
        <v>0</v>
      </c>
      <c r="BT516" s="23">
        <f>$L516*AM516</f>
        <v>0</v>
      </c>
      <c r="BU516" s="23">
        <f>$L516*AN516</f>
        <v>0</v>
      </c>
      <c r="BV516" s="23">
        <f>$L516*AO516</f>
        <v>0</v>
      </c>
      <c r="BW516" s="23">
        <f>$L516*AP516</f>
        <v>0</v>
      </c>
      <c r="BX516" s="23">
        <f>$L516*AQ516</f>
        <v>0</v>
      </c>
      <c r="BY516" s="23">
        <f>$L516*AR516</f>
        <v>0</v>
      </c>
      <c r="BZ516" s="23">
        <f>$L516*AS516</f>
        <v>0</v>
      </c>
      <c r="CA516" s="23">
        <f>$L516*AT516</f>
        <v>0</v>
      </c>
      <c r="CB516" s="23">
        <f>$L516*AU516</f>
        <v>0</v>
      </c>
      <c r="CC516" s="23">
        <f>$L516*AV516</f>
        <v>0</v>
      </c>
      <c r="CD516" s="23">
        <f>$L516*AW516</f>
        <v>0</v>
      </c>
      <c r="CE516" s="23">
        <f>$L516*AX516</f>
        <v>0</v>
      </c>
      <c r="CF516" s="23">
        <f>$L516*AY516</f>
        <v>0</v>
      </c>
      <c r="CG516" s="23">
        <f>$L516*AZ516</f>
        <v>0</v>
      </c>
      <c r="CH516" s="23">
        <f>$L516*BA516</f>
        <v>0</v>
      </c>
      <c r="CI516" s="23">
        <f>$L516*BB516</f>
        <v>0</v>
      </c>
      <c r="CJ516" s="23">
        <f>$L516*BC516</f>
        <v>0</v>
      </c>
      <c r="CK516" s="23">
        <f>$L516*BD516</f>
        <v>0</v>
      </c>
      <c r="CL516" s="23">
        <f>$L516*BE516</f>
        <v>0</v>
      </c>
      <c r="CM516" s="23">
        <f>$L516*BF516</f>
        <v>0</v>
      </c>
      <c r="CN516" s="23">
        <f>$L516*BG516</f>
        <v>0</v>
      </c>
      <c r="CO516" s="23">
        <f>$L516*BH516</f>
        <v>0</v>
      </c>
      <c r="CP516" s="23">
        <f>$L516*BI516</f>
        <v>0</v>
      </c>
      <c r="CQ516" s="23">
        <f>$L516*BJ516</f>
        <v>0</v>
      </c>
      <c r="CR516" s="23">
        <f>$L516*BK516</f>
        <v>0</v>
      </c>
      <c r="CS516" s="23">
        <f>$L516*BL516</f>
        <v>0</v>
      </c>
      <c r="CT516" s="23">
        <f>$L516*BM516</f>
        <v>5</v>
      </c>
      <c r="CU516" s="23">
        <f>$L516*BN516</f>
        <v>0</v>
      </c>
      <c r="CV516" s="23">
        <f>$L516*BO516</f>
        <v>0</v>
      </c>
    </row>
    <row r="517" spans="1:100" ht="13.5" x14ac:dyDescent="0.15">
      <c r="A517" s="15">
        <v>10</v>
      </c>
      <c r="B517" s="27" t="s">
        <v>535</v>
      </c>
      <c r="C517" t="s">
        <v>513</v>
      </c>
      <c r="D517" t="s">
        <v>514</v>
      </c>
      <c r="E517" t="s">
        <v>515</v>
      </c>
      <c r="F517" t="s">
        <v>465</v>
      </c>
      <c r="G517" t="s">
        <v>515</v>
      </c>
      <c r="H517" t="s">
        <v>516</v>
      </c>
      <c r="I517" s="6" t="s">
        <v>467</v>
      </c>
      <c r="J517" s="6">
        <v>0</v>
      </c>
      <c r="L517" s="15">
        <v>5</v>
      </c>
      <c r="M517" s="7">
        <v>46084</v>
      </c>
      <c r="N517" s="7">
        <v>46225</v>
      </c>
      <c r="O517" s="7">
        <v>46225</v>
      </c>
      <c r="P517" s="7">
        <v>46225</v>
      </c>
      <c r="Q517" s="30" t="str">
        <f>IF(L517=T517,"OK","NG")</f>
        <v>OK</v>
      </c>
      <c r="R517" s="6" t="s">
        <v>536</v>
      </c>
      <c r="S517" s="6" t="str">
        <f>RIGHT(G517,6)</f>
        <v>LAC001</v>
      </c>
      <c r="T517" s="6">
        <v>5</v>
      </c>
      <c r="U517" s="6" t="s">
        <v>518</v>
      </c>
      <c r="V517" s="6" t="str">
        <f>TEXT(N517,"YY/MM")</f>
        <v>26/07</v>
      </c>
      <c r="AI517" s="23">
        <v>0</v>
      </c>
      <c r="AJ517" s="23">
        <v>0</v>
      </c>
      <c r="AK517" s="23">
        <v>0</v>
      </c>
      <c r="AL517" s="23">
        <v>0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0</v>
      </c>
      <c r="AU517" s="23">
        <v>0</v>
      </c>
      <c r="AV517" s="23">
        <v>0</v>
      </c>
      <c r="AW517" s="23">
        <v>0</v>
      </c>
      <c r="AX517" s="23">
        <v>0</v>
      </c>
      <c r="AY517" s="23">
        <v>0</v>
      </c>
      <c r="AZ517" s="23">
        <v>0</v>
      </c>
      <c r="BA517" s="23">
        <v>0</v>
      </c>
      <c r="BB517" s="23">
        <v>0</v>
      </c>
      <c r="BC517" s="23">
        <v>0</v>
      </c>
      <c r="BD517" s="23">
        <v>0</v>
      </c>
      <c r="BE517" s="23">
        <v>0</v>
      </c>
      <c r="BF517" s="23">
        <v>0</v>
      </c>
      <c r="BG517" s="23">
        <v>0</v>
      </c>
      <c r="BH517" s="23">
        <v>0</v>
      </c>
      <c r="BI517" s="23">
        <v>0</v>
      </c>
      <c r="BJ517" s="23">
        <v>0</v>
      </c>
      <c r="BK517" s="23">
        <v>0</v>
      </c>
      <c r="BL517" s="23">
        <v>0</v>
      </c>
      <c r="BM517" s="23">
        <v>1</v>
      </c>
      <c r="BN517" s="23">
        <v>0</v>
      </c>
      <c r="BO517" s="23">
        <v>0</v>
      </c>
      <c r="BP517" s="23">
        <f>$L517*AI517</f>
        <v>0</v>
      </c>
      <c r="BQ517" s="23">
        <f>$L517*AJ517</f>
        <v>0</v>
      </c>
      <c r="BR517" s="23">
        <f>$L517*AK517</f>
        <v>0</v>
      </c>
      <c r="BS517" s="23">
        <f>$L517*AL517</f>
        <v>0</v>
      </c>
      <c r="BT517" s="23">
        <f>$L517*AM517</f>
        <v>0</v>
      </c>
      <c r="BU517" s="23">
        <f>$L517*AN517</f>
        <v>0</v>
      </c>
      <c r="BV517" s="23">
        <f>$L517*AO517</f>
        <v>0</v>
      </c>
      <c r="BW517" s="23">
        <f>$L517*AP517</f>
        <v>0</v>
      </c>
      <c r="BX517" s="23">
        <f>$L517*AQ517</f>
        <v>0</v>
      </c>
      <c r="BY517" s="23">
        <f>$L517*AR517</f>
        <v>0</v>
      </c>
      <c r="BZ517" s="23">
        <f>$L517*AS517</f>
        <v>0</v>
      </c>
      <c r="CA517" s="23">
        <f>$L517*AT517</f>
        <v>0</v>
      </c>
      <c r="CB517" s="23">
        <f>$L517*AU517</f>
        <v>0</v>
      </c>
      <c r="CC517" s="23">
        <f>$L517*AV517</f>
        <v>0</v>
      </c>
      <c r="CD517" s="23">
        <f>$L517*AW517</f>
        <v>0</v>
      </c>
      <c r="CE517" s="23">
        <f>$L517*AX517</f>
        <v>0</v>
      </c>
      <c r="CF517" s="23">
        <f>$L517*AY517</f>
        <v>0</v>
      </c>
      <c r="CG517" s="23">
        <f>$L517*AZ517</f>
        <v>0</v>
      </c>
      <c r="CH517" s="23">
        <f>$L517*BA517</f>
        <v>0</v>
      </c>
      <c r="CI517" s="23">
        <f>$L517*BB517</f>
        <v>0</v>
      </c>
      <c r="CJ517" s="23">
        <f>$L517*BC517</f>
        <v>0</v>
      </c>
      <c r="CK517" s="23">
        <f>$L517*BD517</f>
        <v>0</v>
      </c>
      <c r="CL517" s="23">
        <f>$L517*BE517</f>
        <v>0</v>
      </c>
      <c r="CM517" s="23">
        <f>$L517*BF517</f>
        <v>0</v>
      </c>
      <c r="CN517" s="23">
        <f>$L517*BG517</f>
        <v>0</v>
      </c>
      <c r="CO517" s="23">
        <f>$L517*BH517</f>
        <v>0</v>
      </c>
      <c r="CP517" s="23">
        <f>$L517*BI517</f>
        <v>0</v>
      </c>
      <c r="CQ517" s="23">
        <f>$L517*BJ517</f>
        <v>0</v>
      </c>
      <c r="CR517" s="23">
        <f>$L517*BK517</f>
        <v>0</v>
      </c>
      <c r="CS517" s="23">
        <f>$L517*BL517</f>
        <v>0</v>
      </c>
      <c r="CT517" s="23">
        <f>$L517*BM517</f>
        <v>5</v>
      </c>
      <c r="CU517" s="23">
        <f>$L517*BN517</f>
        <v>0</v>
      </c>
      <c r="CV517" s="23">
        <f>$L517*BO517</f>
        <v>0</v>
      </c>
    </row>
    <row r="518" spans="1:100" ht="13.5" x14ac:dyDescent="0.15">
      <c r="A518" s="15">
        <v>11</v>
      </c>
      <c r="B518" s="27" t="s">
        <v>537</v>
      </c>
      <c r="C518" t="s">
        <v>513</v>
      </c>
      <c r="D518" t="s">
        <v>514</v>
      </c>
      <c r="E518" t="s">
        <v>515</v>
      </c>
      <c r="F518" t="s">
        <v>465</v>
      </c>
      <c r="G518" t="s">
        <v>515</v>
      </c>
      <c r="H518" t="s">
        <v>516</v>
      </c>
      <c r="I518" s="6" t="s">
        <v>467</v>
      </c>
      <c r="J518" s="6">
        <v>0</v>
      </c>
      <c r="L518" s="15">
        <v>5</v>
      </c>
      <c r="M518" s="7">
        <v>46084</v>
      </c>
      <c r="N518" s="7">
        <v>46226</v>
      </c>
      <c r="O518" s="7">
        <v>46226</v>
      </c>
      <c r="P518" s="7">
        <v>46226</v>
      </c>
      <c r="Q518" s="30" t="str">
        <f>IF(L518=T518,"OK","NG")</f>
        <v>OK</v>
      </c>
      <c r="R518" s="6" t="s">
        <v>538</v>
      </c>
      <c r="S518" s="6" t="str">
        <f>RIGHT(G518,6)</f>
        <v>LAC001</v>
      </c>
      <c r="T518" s="6">
        <v>5</v>
      </c>
      <c r="U518" s="6" t="s">
        <v>518</v>
      </c>
      <c r="V518" s="6" t="str">
        <f>TEXT(N518,"YY/MM")</f>
        <v>26/07</v>
      </c>
      <c r="AI518" s="23">
        <v>0</v>
      </c>
      <c r="AJ518" s="23">
        <v>0</v>
      </c>
      <c r="AK518" s="23">
        <v>0</v>
      </c>
      <c r="AL518" s="23">
        <v>0</v>
      </c>
      <c r="AM518" s="23">
        <v>0</v>
      </c>
      <c r="AN518" s="23">
        <v>0</v>
      </c>
      <c r="AO518" s="23">
        <v>0</v>
      </c>
      <c r="AP518" s="23">
        <v>0</v>
      </c>
      <c r="AQ518" s="23">
        <v>0</v>
      </c>
      <c r="AR518" s="23">
        <v>0</v>
      </c>
      <c r="AS518" s="23">
        <v>0</v>
      </c>
      <c r="AT518" s="23">
        <v>0</v>
      </c>
      <c r="AU518" s="23">
        <v>0</v>
      </c>
      <c r="AV518" s="23">
        <v>0</v>
      </c>
      <c r="AW518" s="23">
        <v>0</v>
      </c>
      <c r="AX518" s="23">
        <v>0</v>
      </c>
      <c r="AY518" s="23">
        <v>0</v>
      </c>
      <c r="AZ518" s="23">
        <v>0</v>
      </c>
      <c r="BA518" s="23">
        <v>0</v>
      </c>
      <c r="BB518" s="23">
        <v>0</v>
      </c>
      <c r="BC518" s="23">
        <v>0</v>
      </c>
      <c r="BD518" s="23">
        <v>0</v>
      </c>
      <c r="BE518" s="23">
        <v>0</v>
      </c>
      <c r="BF518" s="23">
        <v>0</v>
      </c>
      <c r="BG518" s="23">
        <v>0</v>
      </c>
      <c r="BH518" s="23">
        <v>0</v>
      </c>
      <c r="BI518" s="23">
        <v>0</v>
      </c>
      <c r="BJ518" s="23">
        <v>0</v>
      </c>
      <c r="BK518" s="23">
        <v>0</v>
      </c>
      <c r="BL518" s="23">
        <v>0</v>
      </c>
      <c r="BM518" s="23">
        <v>1</v>
      </c>
      <c r="BN518" s="23">
        <v>0</v>
      </c>
      <c r="BO518" s="23">
        <v>0</v>
      </c>
      <c r="BP518" s="23">
        <f>$L518*AI518</f>
        <v>0</v>
      </c>
      <c r="BQ518" s="23">
        <f>$L518*AJ518</f>
        <v>0</v>
      </c>
      <c r="BR518" s="23">
        <f>$L518*AK518</f>
        <v>0</v>
      </c>
      <c r="BS518" s="23">
        <f>$L518*AL518</f>
        <v>0</v>
      </c>
      <c r="BT518" s="23">
        <f>$L518*AM518</f>
        <v>0</v>
      </c>
      <c r="BU518" s="23">
        <f>$L518*AN518</f>
        <v>0</v>
      </c>
      <c r="BV518" s="23">
        <f>$L518*AO518</f>
        <v>0</v>
      </c>
      <c r="BW518" s="23">
        <f>$L518*AP518</f>
        <v>0</v>
      </c>
      <c r="BX518" s="23">
        <f>$L518*AQ518</f>
        <v>0</v>
      </c>
      <c r="BY518" s="23">
        <f>$L518*AR518</f>
        <v>0</v>
      </c>
      <c r="BZ518" s="23">
        <f>$L518*AS518</f>
        <v>0</v>
      </c>
      <c r="CA518" s="23">
        <f>$L518*AT518</f>
        <v>0</v>
      </c>
      <c r="CB518" s="23">
        <f>$L518*AU518</f>
        <v>0</v>
      </c>
      <c r="CC518" s="23">
        <f>$L518*AV518</f>
        <v>0</v>
      </c>
      <c r="CD518" s="23">
        <f>$L518*AW518</f>
        <v>0</v>
      </c>
      <c r="CE518" s="23">
        <f>$L518*AX518</f>
        <v>0</v>
      </c>
      <c r="CF518" s="23">
        <f>$L518*AY518</f>
        <v>0</v>
      </c>
      <c r="CG518" s="23">
        <f>$L518*AZ518</f>
        <v>0</v>
      </c>
      <c r="CH518" s="23">
        <f>$L518*BA518</f>
        <v>0</v>
      </c>
      <c r="CI518" s="23">
        <f>$L518*BB518</f>
        <v>0</v>
      </c>
      <c r="CJ518" s="23">
        <f>$L518*BC518</f>
        <v>0</v>
      </c>
      <c r="CK518" s="23">
        <f>$L518*BD518</f>
        <v>0</v>
      </c>
      <c r="CL518" s="23">
        <f>$L518*BE518</f>
        <v>0</v>
      </c>
      <c r="CM518" s="23">
        <f>$L518*BF518</f>
        <v>0</v>
      </c>
      <c r="CN518" s="23">
        <f>$L518*BG518</f>
        <v>0</v>
      </c>
      <c r="CO518" s="23">
        <f>$L518*BH518</f>
        <v>0</v>
      </c>
      <c r="CP518" s="23">
        <f>$L518*BI518</f>
        <v>0</v>
      </c>
      <c r="CQ518" s="23">
        <f>$L518*BJ518</f>
        <v>0</v>
      </c>
      <c r="CR518" s="23">
        <f>$L518*BK518</f>
        <v>0</v>
      </c>
      <c r="CS518" s="23">
        <f>$L518*BL518</f>
        <v>0</v>
      </c>
      <c r="CT518" s="23">
        <f>$L518*BM518</f>
        <v>5</v>
      </c>
      <c r="CU518" s="23">
        <f>$L518*BN518</f>
        <v>0</v>
      </c>
      <c r="CV518" s="23">
        <f>$L518*BO518</f>
        <v>0</v>
      </c>
    </row>
  </sheetData>
  <sheetProtection formatCells="0" formatColumns="0" formatRows="0" insertColumns="0" insertRows="0" insertHyperlinks="0" deleteColumns="0" deleteRows="0" sort="0" autoFilter="0" pivotTables="0"/>
  <autoFilter ref="A4:XDJ518"/>
  <sortState ref="A156:CV493">
    <sortCondition ref="W156:W493"/>
  </sortState>
  <phoneticPr fontId="7"/>
  <pageMargins left="0.51181102362205" right="0.19685039370078999" top="0.47244094488188998" bottom="0.56000000000000005" header="0.31496062992126" footer="0.19685039370078999"/>
  <pageSetup paperSize="8" scale="72" fitToHeight="0" orientation="portrait" r:id="rId1"/>
  <headerFooter alignWithMargins="0">
    <oddFooter>&amp;C&amp;18&amp;P/&amp;N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zoomScale="90" zoomScaleNormal="9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32" sqref="C32:Y56"/>
    </sheetView>
  </sheetViews>
  <sheetFormatPr defaultRowHeight="13.5" x14ac:dyDescent="0.15"/>
  <cols>
    <col min="1" max="1" width="8.875" style="539" customWidth="1"/>
    <col min="2" max="2" width="8.375" style="539" bestFit="1" customWidth="1"/>
    <col min="3" max="3" width="7.75" bestFit="1" customWidth="1"/>
    <col min="4" max="6" width="7.625" bestFit="1" customWidth="1"/>
    <col min="7" max="8" width="7.875" bestFit="1" customWidth="1"/>
    <col min="9" max="11" width="7.625" bestFit="1" customWidth="1"/>
    <col min="12" max="13" width="7.75" bestFit="1" customWidth="1"/>
    <col min="14" max="14" width="7.625" bestFit="1" customWidth="1"/>
    <col min="15" max="16" width="7.875" bestFit="1" customWidth="1"/>
    <col min="17" max="17" width="8" bestFit="1" customWidth="1"/>
    <col min="18" max="19" width="7.875" bestFit="1" customWidth="1"/>
    <col min="20" max="21" width="8" bestFit="1" customWidth="1"/>
    <col min="22" max="23" width="7.875" bestFit="1" customWidth="1"/>
    <col min="24" max="25" width="8" bestFit="1" customWidth="1"/>
  </cols>
  <sheetData>
    <row r="1" spans="1:25" x14ac:dyDescent="0.15">
      <c r="B1" s="539" t="s">
        <v>836</v>
      </c>
      <c r="C1">
        <v>64</v>
      </c>
      <c r="D1">
        <v>64</v>
      </c>
      <c r="G1">
        <v>64</v>
      </c>
      <c r="I1">
        <v>46</v>
      </c>
      <c r="J1">
        <v>13</v>
      </c>
      <c r="K1">
        <v>5</v>
      </c>
      <c r="L1">
        <v>17</v>
      </c>
      <c r="M1">
        <v>18</v>
      </c>
      <c r="N1">
        <v>29</v>
      </c>
      <c r="O1">
        <v>54</v>
      </c>
      <c r="Q1">
        <v>13</v>
      </c>
      <c r="R1">
        <v>54</v>
      </c>
      <c r="U1">
        <v>13</v>
      </c>
      <c r="V1">
        <v>54</v>
      </c>
      <c r="Y1">
        <v>13</v>
      </c>
    </row>
    <row r="2" spans="1:25" x14ac:dyDescent="0.15">
      <c r="C2">
        <f>SUM(C4:C56)</f>
        <v>64</v>
      </c>
      <c r="D2">
        <f t="shared" ref="D2:Y2" si="0">SUM(D4:D56)</f>
        <v>64</v>
      </c>
      <c r="E2">
        <f t="shared" si="0"/>
        <v>0</v>
      </c>
      <c r="F2">
        <f t="shared" si="0"/>
        <v>0</v>
      </c>
      <c r="G2">
        <f t="shared" si="0"/>
        <v>64</v>
      </c>
      <c r="H2">
        <f t="shared" si="0"/>
        <v>0</v>
      </c>
      <c r="I2">
        <f t="shared" si="0"/>
        <v>46</v>
      </c>
      <c r="J2">
        <f t="shared" si="0"/>
        <v>13</v>
      </c>
      <c r="K2">
        <f t="shared" si="0"/>
        <v>5</v>
      </c>
      <c r="L2">
        <f t="shared" si="0"/>
        <v>17</v>
      </c>
      <c r="M2">
        <f t="shared" si="0"/>
        <v>18</v>
      </c>
      <c r="N2">
        <f t="shared" si="0"/>
        <v>29</v>
      </c>
      <c r="O2">
        <f t="shared" si="0"/>
        <v>54</v>
      </c>
      <c r="P2">
        <f t="shared" si="0"/>
        <v>0</v>
      </c>
      <c r="Q2">
        <f t="shared" si="0"/>
        <v>13</v>
      </c>
      <c r="R2">
        <f t="shared" si="0"/>
        <v>54</v>
      </c>
      <c r="S2">
        <f t="shared" si="0"/>
        <v>0</v>
      </c>
      <c r="T2">
        <f t="shared" si="0"/>
        <v>0</v>
      </c>
      <c r="U2">
        <f t="shared" si="0"/>
        <v>13</v>
      </c>
      <c r="V2">
        <f t="shared" si="0"/>
        <v>54</v>
      </c>
      <c r="W2">
        <f t="shared" si="0"/>
        <v>0</v>
      </c>
      <c r="X2">
        <f t="shared" si="0"/>
        <v>0</v>
      </c>
      <c r="Y2">
        <f t="shared" si="0"/>
        <v>13</v>
      </c>
    </row>
    <row r="3" spans="1:25" x14ac:dyDescent="0.15">
      <c r="B3" s="539" t="s">
        <v>835</v>
      </c>
      <c r="C3" s="540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92</v>
      </c>
    </row>
    <row r="4" spans="1:25" x14ac:dyDescent="0.15">
      <c r="A4" s="539">
        <v>46099</v>
      </c>
      <c r="B4" s="539">
        <v>46105</v>
      </c>
      <c r="C4">
        <v>1</v>
      </c>
      <c r="D4">
        <v>1</v>
      </c>
      <c r="G4">
        <v>1</v>
      </c>
      <c r="K4">
        <v>1</v>
      </c>
    </row>
    <row r="5" spans="1:25" x14ac:dyDescent="0.15">
      <c r="B5" s="539">
        <v>46106</v>
      </c>
      <c r="C5">
        <v>1</v>
      </c>
      <c r="D5">
        <v>1</v>
      </c>
      <c r="G5">
        <v>1</v>
      </c>
      <c r="K5">
        <v>1</v>
      </c>
      <c r="Q5">
        <v>2</v>
      </c>
      <c r="U5">
        <v>2</v>
      </c>
      <c r="Y5">
        <v>2</v>
      </c>
    </row>
    <row r="6" spans="1:25" x14ac:dyDescent="0.15">
      <c r="B6" s="539">
        <v>46107</v>
      </c>
      <c r="C6">
        <v>1</v>
      </c>
      <c r="D6">
        <v>1</v>
      </c>
      <c r="G6">
        <v>1</v>
      </c>
      <c r="K6">
        <v>1</v>
      </c>
      <c r="M6">
        <v>1</v>
      </c>
      <c r="Q6">
        <v>1</v>
      </c>
      <c r="U6">
        <v>1</v>
      </c>
      <c r="Y6">
        <v>1</v>
      </c>
    </row>
    <row r="7" spans="1:25" x14ac:dyDescent="0.15">
      <c r="B7" s="539">
        <v>46112</v>
      </c>
      <c r="M7">
        <v>1</v>
      </c>
      <c r="Q7">
        <v>1</v>
      </c>
      <c r="U7">
        <v>1</v>
      </c>
      <c r="Y7">
        <v>1</v>
      </c>
    </row>
    <row r="8" spans="1:25" x14ac:dyDescent="0.15">
      <c r="B8" s="539">
        <v>46113</v>
      </c>
      <c r="M8">
        <v>1</v>
      </c>
      <c r="Q8">
        <v>1</v>
      </c>
      <c r="U8">
        <v>1</v>
      </c>
      <c r="Y8">
        <v>1</v>
      </c>
    </row>
    <row r="9" spans="1:25" x14ac:dyDescent="0.15">
      <c r="B9" s="539">
        <v>46115</v>
      </c>
      <c r="C9">
        <v>1</v>
      </c>
      <c r="D9">
        <v>1</v>
      </c>
      <c r="G9">
        <v>1</v>
      </c>
      <c r="K9">
        <v>1</v>
      </c>
    </row>
    <row r="10" spans="1:25" x14ac:dyDescent="0.15">
      <c r="B10" s="539">
        <v>46118</v>
      </c>
      <c r="C10">
        <v>1</v>
      </c>
      <c r="D10">
        <v>1</v>
      </c>
      <c r="G10">
        <v>1</v>
      </c>
      <c r="J10">
        <v>1</v>
      </c>
    </row>
    <row r="11" spans="1:25" x14ac:dyDescent="0.15">
      <c r="B11" s="539">
        <v>46119</v>
      </c>
      <c r="C11">
        <v>1</v>
      </c>
      <c r="D11">
        <v>1</v>
      </c>
      <c r="G11">
        <v>1</v>
      </c>
      <c r="J11">
        <v>1</v>
      </c>
    </row>
    <row r="12" spans="1:25" x14ac:dyDescent="0.15">
      <c r="B12" s="539">
        <v>46120</v>
      </c>
      <c r="C12">
        <v>1</v>
      </c>
      <c r="D12">
        <v>1</v>
      </c>
      <c r="G12">
        <v>1</v>
      </c>
      <c r="K12">
        <v>1</v>
      </c>
    </row>
    <row r="13" spans="1:25" x14ac:dyDescent="0.15">
      <c r="B13" s="539">
        <v>46121</v>
      </c>
      <c r="C13">
        <v>1</v>
      </c>
      <c r="D13">
        <v>1</v>
      </c>
      <c r="G13">
        <v>1</v>
      </c>
      <c r="J13">
        <v>1</v>
      </c>
    </row>
    <row r="14" spans="1:25" ht="14.25" thickBot="1" x14ac:dyDescent="0.2">
      <c r="A14" s="541"/>
      <c r="B14" s="541">
        <v>46122</v>
      </c>
      <c r="C14" s="543">
        <v>2</v>
      </c>
      <c r="D14" s="543">
        <v>2</v>
      </c>
      <c r="E14" s="33"/>
      <c r="F14" s="33"/>
      <c r="G14" s="543">
        <v>2</v>
      </c>
      <c r="H14" s="33"/>
      <c r="I14" s="33"/>
      <c r="J14" s="33">
        <v>1</v>
      </c>
      <c r="K14" s="33"/>
      <c r="L14" s="33"/>
      <c r="M14" s="543">
        <v>2</v>
      </c>
      <c r="N14" s="33"/>
      <c r="O14" s="33"/>
      <c r="P14" s="33"/>
      <c r="Q14" s="33">
        <v>2</v>
      </c>
      <c r="R14" s="33"/>
      <c r="S14" s="33"/>
      <c r="T14" s="33"/>
      <c r="U14" s="33">
        <v>2</v>
      </c>
      <c r="V14" s="33"/>
      <c r="W14" s="33"/>
      <c r="X14" s="33"/>
      <c r="Y14" s="33">
        <v>2</v>
      </c>
    </row>
    <row r="15" spans="1:25" ht="14.25" thickTop="1" x14ac:dyDescent="0.15">
      <c r="A15" s="539">
        <v>46119</v>
      </c>
      <c r="B15" s="539">
        <v>46125</v>
      </c>
      <c r="C15" s="43">
        <v>0</v>
      </c>
      <c r="D15" s="43">
        <v>0</v>
      </c>
      <c r="G15" s="43">
        <v>0</v>
      </c>
      <c r="J15">
        <v>1</v>
      </c>
      <c r="M15" s="43">
        <v>0</v>
      </c>
      <c r="O15">
        <v>1</v>
      </c>
      <c r="R15">
        <v>1</v>
      </c>
      <c r="V15">
        <v>1</v>
      </c>
    </row>
    <row r="16" spans="1:25" x14ac:dyDescent="0.15">
      <c r="B16" s="539">
        <v>46126</v>
      </c>
      <c r="C16">
        <v>1</v>
      </c>
      <c r="D16">
        <v>1</v>
      </c>
      <c r="G16">
        <v>1</v>
      </c>
      <c r="J16">
        <v>1</v>
      </c>
      <c r="M16">
        <v>2</v>
      </c>
      <c r="O16">
        <v>1</v>
      </c>
      <c r="Q16">
        <v>1</v>
      </c>
      <c r="R16">
        <v>1</v>
      </c>
      <c r="U16">
        <v>1</v>
      </c>
      <c r="V16">
        <v>1</v>
      </c>
      <c r="Y16">
        <v>1</v>
      </c>
    </row>
    <row r="17" spans="1:25" x14ac:dyDescent="0.15">
      <c r="B17" s="539">
        <v>46127</v>
      </c>
      <c r="C17">
        <v>2</v>
      </c>
      <c r="D17">
        <v>2</v>
      </c>
      <c r="G17">
        <v>2</v>
      </c>
      <c r="J17">
        <v>2</v>
      </c>
      <c r="M17">
        <v>3</v>
      </c>
      <c r="O17">
        <v>3</v>
      </c>
      <c r="R17">
        <v>3</v>
      </c>
      <c r="V17">
        <v>3</v>
      </c>
    </row>
    <row r="18" spans="1:25" x14ac:dyDescent="0.15">
      <c r="B18" s="539">
        <v>46128</v>
      </c>
      <c r="C18">
        <v>2</v>
      </c>
      <c r="D18">
        <v>2</v>
      </c>
      <c r="G18">
        <v>2</v>
      </c>
      <c r="J18">
        <v>2</v>
      </c>
      <c r="M18">
        <v>1</v>
      </c>
      <c r="O18">
        <v>1</v>
      </c>
      <c r="R18">
        <v>1</v>
      </c>
      <c r="V18">
        <v>1</v>
      </c>
    </row>
    <row r="19" spans="1:25" x14ac:dyDescent="0.15">
      <c r="B19" s="539">
        <v>46129</v>
      </c>
      <c r="C19">
        <v>2</v>
      </c>
      <c r="D19">
        <v>2</v>
      </c>
      <c r="G19">
        <v>2</v>
      </c>
      <c r="I19">
        <v>2</v>
      </c>
    </row>
    <row r="20" spans="1:25" x14ac:dyDescent="0.15">
      <c r="B20" s="539">
        <v>46132</v>
      </c>
      <c r="C20">
        <v>2</v>
      </c>
      <c r="D20">
        <v>2</v>
      </c>
      <c r="G20">
        <v>2</v>
      </c>
      <c r="I20">
        <v>2</v>
      </c>
      <c r="M20">
        <v>1</v>
      </c>
      <c r="O20">
        <v>1</v>
      </c>
      <c r="R20">
        <v>1</v>
      </c>
      <c r="V20">
        <v>1</v>
      </c>
    </row>
    <row r="21" spans="1:25" x14ac:dyDescent="0.15">
      <c r="B21" s="539">
        <v>46133</v>
      </c>
      <c r="C21">
        <v>2</v>
      </c>
      <c r="D21">
        <v>2</v>
      </c>
      <c r="G21">
        <v>2</v>
      </c>
      <c r="I21">
        <v>2</v>
      </c>
    </row>
    <row r="22" spans="1:25" x14ac:dyDescent="0.15">
      <c r="B22" s="539">
        <v>46134</v>
      </c>
      <c r="C22">
        <v>2</v>
      </c>
      <c r="D22">
        <v>2</v>
      </c>
      <c r="G22">
        <v>2</v>
      </c>
      <c r="I22">
        <v>2</v>
      </c>
    </row>
    <row r="23" spans="1:25" x14ac:dyDescent="0.15">
      <c r="B23" s="539">
        <v>46135</v>
      </c>
      <c r="C23">
        <v>2</v>
      </c>
      <c r="D23">
        <v>2</v>
      </c>
      <c r="G23">
        <v>2</v>
      </c>
      <c r="I23">
        <v>2</v>
      </c>
    </row>
    <row r="24" spans="1:25" ht="14.25" thickBot="1" x14ac:dyDescent="0.2">
      <c r="A24" s="541"/>
      <c r="B24" s="541">
        <v>46136</v>
      </c>
      <c r="C24" s="33">
        <v>2</v>
      </c>
      <c r="D24" s="33">
        <v>2</v>
      </c>
      <c r="E24" s="33"/>
      <c r="F24" s="33"/>
      <c r="G24" s="33">
        <v>2</v>
      </c>
      <c r="H24" s="33"/>
      <c r="I24" s="33">
        <v>2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14.25" thickTop="1" x14ac:dyDescent="0.15">
      <c r="A25" s="539">
        <v>46133</v>
      </c>
      <c r="B25" s="539">
        <v>46139</v>
      </c>
      <c r="C25">
        <v>2</v>
      </c>
      <c r="D25">
        <v>2</v>
      </c>
      <c r="G25">
        <v>2</v>
      </c>
      <c r="I25">
        <v>2</v>
      </c>
      <c r="M25">
        <v>3</v>
      </c>
      <c r="O25">
        <v>3</v>
      </c>
      <c r="R25">
        <v>3</v>
      </c>
      <c r="V25">
        <v>3</v>
      </c>
    </row>
    <row r="26" spans="1:25" x14ac:dyDescent="0.15">
      <c r="B26" s="539">
        <v>46140</v>
      </c>
      <c r="C26">
        <v>2</v>
      </c>
      <c r="D26">
        <v>2</v>
      </c>
      <c r="G26">
        <v>2</v>
      </c>
      <c r="I26">
        <v>2</v>
      </c>
      <c r="N26">
        <v>3</v>
      </c>
      <c r="O26">
        <v>3</v>
      </c>
      <c r="R26">
        <v>3</v>
      </c>
      <c r="V26">
        <v>3</v>
      </c>
    </row>
    <row r="27" spans="1:25" x14ac:dyDescent="0.15">
      <c r="B27" s="539">
        <v>46149</v>
      </c>
      <c r="C27">
        <v>2</v>
      </c>
      <c r="D27">
        <v>2</v>
      </c>
      <c r="G27">
        <v>2</v>
      </c>
      <c r="I27">
        <v>2</v>
      </c>
      <c r="N27">
        <v>3</v>
      </c>
      <c r="O27">
        <v>3</v>
      </c>
      <c r="R27">
        <v>3</v>
      </c>
      <c r="V27">
        <v>3</v>
      </c>
    </row>
    <row r="28" spans="1:25" x14ac:dyDescent="0.15">
      <c r="B28" s="539">
        <v>46150</v>
      </c>
      <c r="C28">
        <v>2</v>
      </c>
      <c r="D28">
        <v>2</v>
      </c>
      <c r="G28">
        <v>2</v>
      </c>
      <c r="I28">
        <v>2</v>
      </c>
      <c r="N28">
        <v>3</v>
      </c>
      <c r="O28">
        <v>3</v>
      </c>
      <c r="R28">
        <v>3</v>
      </c>
      <c r="V28">
        <v>3</v>
      </c>
    </row>
    <row r="29" spans="1:25" x14ac:dyDescent="0.15">
      <c r="B29" s="539">
        <v>46153</v>
      </c>
      <c r="C29">
        <v>2</v>
      </c>
      <c r="D29">
        <v>2</v>
      </c>
      <c r="G29">
        <v>2</v>
      </c>
      <c r="I29">
        <v>2</v>
      </c>
      <c r="N29">
        <v>3</v>
      </c>
      <c r="O29">
        <v>3</v>
      </c>
      <c r="R29">
        <v>3</v>
      </c>
      <c r="V29">
        <v>3</v>
      </c>
    </row>
    <row r="30" spans="1:25" x14ac:dyDescent="0.15">
      <c r="B30" s="539">
        <v>46154</v>
      </c>
      <c r="C30">
        <v>2</v>
      </c>
      <c r="D30">
        <v>2</v>
      </c>
      <c r="G30">
        <v>2</v>
      </c>
      <c r="I30">
        <v>2</v>
      </c>
      <c r="N30">
        <v>3</v>
      </c>
      <c r="O30">
        <v>3</v>
      </c>
      <c r="R30">
        <v>3</v>
      </c>
      <c r="V30">
        <v>3</v>
      </c>
    </row>
    <row r="31" spans="1:25" ht="14.25" thickBot="1" x14ac:dyDescent="0.2">
      <c r="A31" s="541"/>
      <c r="B31" s="541">
        <v>46155</v>
      </c>
      <c r="C31" s="33">
        <v>2</v>
      </c>
      <c r="D31" s="33">
        <v>2</v>
      </c>
      <c r="E31" s="33"/>
      <c r="F31" s="33"/>
      <c r="G31" s="33">
        <v>2</v>
      </c>
      <c r="H31" s="33"/>
      <c r="I31" s="33">
        <v>2</v>
      </c>
      <c r="J31" s="33"/>
      <c r="K31" s="33"/>
      <c r="L31" s="33">
        <v>2</v>
      </c>
      <c r="M31" s="33"/>
      <c r="N31" s="33">
        <v>1</v>
      </c>
      <c r="O31" s="33">
        <v>3</v>
      </c>
      <c r="P31" s="33"/>
      <c r="Q31" s="33"/>
      <c r="R31" s="33">
        <v>3</v>
      </c>
      <c r="S31" s="33"/>
      <c r="T31" s="33"/>
      <c r="U31" s="33"/>
      <c r="V31" s="33">
        <v>3</v>
      </c>
      <c r="W31" s="33"/>
      <c r="X31" s="33"/>
      <c r="Y31" s="33"/>
    </row>
    <row r="32" spans="1:25" ht="14.25" thickTop="1" x14ac:dyDescent="0.15">
      <c r="A32" s="539">
        <v>46149</v>
      </c>
      <c r="B32" s="539">
        <v>46156</v>
      </c>
      <c r="C32">
        <v>2</v>
      </c>
      <c r="D32">
        <v>2</v>
      </c>
      <c r="G32">
        <v>2</v>
      </c>
      <c r="I32">
        <v>2</v>
      </c>
      <c r="L32">
        <v>3</v>
      </c>
      <c r="O32">
        <v>3</v>
      </c>
      <c r="R32">
        <v>3</v>
      </c>
      <c r="V32">
        <v>3</v>
      </c>
    </row>
    <row r="33" spans="2:25" x14ac:dyDescent="0.15">
      <c r="B33" s="539">
        <v>46157</v>
      </c>
      <c r="C33">
        <v>2</v>
      </c>
      <c r="D33">
        <v>2</v>
      </c>
      <c r="G33">
        <v>2</v>
      </c>
      <c r="I33">
        <v>2</v>
      </c>
      <c r="L33">
        <v>3</v>
      </c>
      <c r="O33">
        <v>3</v>
      </c>
      <c r="R33">
        <v>3</v>
      </c>
      <c r="V33">
        <v>3</v>
      </c>
    </row>
    <row r="34" spans="2:25" x14ac:dyDescent="0.15">
      <c r="B34" s="539">
        <v>46160</v>
      </c>
      <c r="L34">
        <v>1</v>
      </c>
      <c r="N34">
        <v>2</v>
      </c>
      <c r="O34">
        <v>1</v>
      </c>
      <c r="Q34">
        <v>2</v>
      </c>
      <c r="R34">
        <v>1</v>
      </c>
      <c r="U34">
        <v>2</v>
      </c>
      <c r="V34">
        <v>1</v>
      </c>
      <c r="Y34">
        <v>2</v>
      </c>
    </row>
    <row r="35" spans="2:25" x14ac:dyDescent="0.15">
      <c r="B35" s="539">
        <v>46161</v>
      </c>
      <c r="N35">
        <v>3</v>
      </c>
      <c r="Q35">
        <v>3</v>
      </c>
      <c r="U35">
        <v>3</v>
      </c>
      <c r="Y35">
        <v>3</v>
      </c>
    </row>
    <row r="36" spans="2:25" x14ac:dyDescent="0.15">
      <c r="B36" s="539">
        <v>46168</v>
      </c>
      <c r="C36">
        <v>1</v>
      </c>
      <c r="D36">
        <v>1</v>
      </c>
      <c r="G36">
        <v>1</v>
      </c>
      <c r="J36">
        <v>1</v>
      </c>
    </row>
    <row r="37" spans="2:25" x14ac:dyDescent="0.15">
      <c r="B37" s="539">
        <v>46169</v>
      </c>
      <c r="C37">
        <v>1</v>
      </c>
      <c r="D37">
        <v>1</v>
      </c>
      <c r="G37">
        <v>1</v>
      </c>
      <c r="J37">
        <v>1</v>
      </c>
    </row>
    <row r="38" spans="2:25" x14ac:dyDescent="0.15">
      <c r="B38" s="539">
        <v>46170</v>
      </c>
      <c r="C38">
        <v>1</v>
      </c>
      <c r="D38">
        <v>1</v>
      </c>
      <c r="G38">
        <v>1</v>
      </c>
      <c r="I38">
        <v>1</v>
      </c>
      <c r="M38">
        <v>1</v>
      </c>
      <c r="O38">
        <v>1</v>
      </c>
      <c r="R38">
        <v>1</v>
      </c>
      <c r="V38">
        <v>1</v>
      </c>
    </row>
    <row r="39" spans="2:25" x14ac:dyDescent="0.15">
      <c r="B39" s="539">
        <v>46171</v>
      </c>
      <c r="C39">
        <v>1</v>
      </c>
      <c r="D39">
        <v>1</v>
      </c>
      <c r="G39">
        <v>1</v>
      </c>
      <c r="I39">
        <v>1</v>
      </c>
      <c r="M39">
        <v>1</v>
      </c>
      <c r="O39">
        <v>1</v>
      </c>
      <c r="R39">
        <v>1</v>
      </c>
      <c r="V39">
        <v>1</v>
      </c>
    </row>
    <row r="40" spans="2:25" x14ac:dyDescent="0.15">
      <c r="B40" s="539">
        <v>46174</v>
      </c>
      <c r="C40">
        <v>2</v>
      </c>
      <c r="D40">
        <v>2</v>
      </c>
      <c r="G40">
        <v>2</v>
      </c>
      <c r="I40">
        <v>2</v>
      </c>
      <c r="N40">
        <v>1</v>
      </c>
      <c r="O40">
        <v>1</v>
      </c>
      <c r="R40">
        <v>1</v>
      </c>
      <c r="V40">
        <v>1</v>
      </c>
    </row>
    <row r="41" spans="2:25" x14ac:dyDescent="0.15">
      <c r="B41" s="539">
        <v>46175</v>
      </c>
      <c r="N41">
        <v>1</v>
      </c>
      <c r="O41">
        <v>1</v>
      </c>
      <c r="R41">
        <v>1</v>
      </c>
      <c r="V41">
        <v>1</v>
      </c>
    </row>
    <row r="42" spans="2:25" x14ac:dyDescent="0.15">
      <c r="B42" s="539">
        <v>46176</v>
      </c>
      <c r="C42">
        <v>1</v>
      </c>
      <c r="D42">
        <v>1</v>
      </c>
      <c r="G42">
        <v>1</v>
      </c>
      <c r="I42">
        <v>1</v>
      </c>
      <c r="N42">
        <v>2</v>
      </c>
      <c r="O42">
        <v>2</v>
      </c>
      <c r="R42">
        <v>2</v>
      </c>
      <c r="V42">
        <v>2</v>
      </c>
    </row>
    <row r="43" spans="2:25" x14ac:dyDescent="0.15">
      <c r="B43" s="539">
        <v>46177</v>
      </c>
      <c r="C43">
        <v>1</v>
      </c>
      <c r="D43">
        <v>1</v>
      </c>
      <c r="G43">
        <v>1</v>
      </c>
      <c r="I43">
        <v>1</v>
      </c>
    </row>
    <row r="44" spans="2:25" x14ac:dyDescent="0.15">
      <c r="B44" s="539">
        <v>46178</v>
      </c>
      <c r="C44">
        <v>1</v>
      </c>
      <c r="D44">
        <v>1</v>
      </c>
      <c r="G44">
        <v>1</v>
      </c>
      <c r="I44">
        <v>1</v>
      </c>
      <c r="N44">
        <v>1</v>
      </c>
      <c r="O44">
        <v>1</v>
      </c>
      <c r="R44">
        <v>1</v>
      </c>
      <c r="V44">
        <v>1</v>
      </c>
    </row>
    <row r="45" spans="2:25" x14ac:dyDescent="0.15">
      <c r="B45" s="539">
        <v>46181</v>
      </c>
      <c r="C45">
        <v>1</v>
      </c>
      <c r="D45">
        <v>1</v>
      </c>
      <c r="G45">
        <v>1</v>
      </c>
      <c r="I45">
        <v>1</v>
      </c>
      <c r="N45">
        <v>1</v>
      </c>
      <c r="O45">
        <v>1</v>
      </c>
      <c r="R45">
        <v>1</v>
      </c>
      <c r="V45">
        <v>1</v>
      </c>
    </row>
    <row r="46" spans="2:25" x14ac:dyDescent="0.15">
      <c r="B46" s="539">
        <v>46182</v>
      </c>
      <c r="C46">
        <v>1</v>
      </c>
      <c r="D46">
        <v>1</v>
      </c>
      <c r="G46">
        <v>1</v>
      </c>
      <c r="I46">
        <v>1</v>
      </c>
      <c r="N46">
        <v>1</v>
      </c>
      <c r="O46">
        <v>1</v>
      </c>
      <c r="R46">
        <v>1</v>
      </c>
      <c r="V46">
        <v>1</v>
      </c>
    </row>
    <row r="47" spans="2:25" x14ac:dyDescent="0.15">
      <c r="B47" s="539">
        <v>46183</v>
      </c>
      <c r="C47">
        <v>1</v>
      </c>
      <c r="D47">
        <v>1</v>
      </c>
      <c r="G47">
        <v>1</v>
      </c>
      <c r="I47">
        <v>1</v>
      </c>
      <c r="N47">
        <v>1</v>
      </c>
      <c r="O47">
        <v>1</v>
      </c>
      <c r="R47">
        <v>1</v>
      </c>
      <c r="V47">
        <v>1</v>
      </c>
    </row>
    <row r="48" spans="2:25" x14ac:dyDescent="0.15">
      <c r="B48" s="539">
        <v>46184</v>
      </c>
      <c r="C48">
        <v>1</v>
      </c>
      <c r="D48">
        <v>1</v>
      </c>
      <c r="G48">
        <v>1</v>
      </c>
      <c r="I48">
        <v>1</v>
      </c>
      <c r="L48">
        <v>1</v>
      </c>
      <c r="O48">
        <v>1</v>
      </c>
      <c r="R48">
        <v>1</v>
      </c>
      <c r="V48">
        <v>1</v>
      </c>
    </row>
    <row r="49" spans="2:25" x14ac:dyDescent="0.15">
      <c r="B49" s="539">
        <v>46185</v>
      </c>
      <c r="C49">
        <v>1</v>
      </c>
      <c r="D49">
        <v>1</v>
      </c>
      <c r="G49">
        <v>1</v>
      </c>
      <c r="I49">
        <v>1</v>
      </c>
      <c r="L49">
        <v>1</v>
      </c>
      <c r="O49">
        <v>1</v>
      </c>
      <c r="R49">
        <v>1</v>
      </c>
      <c r="V49">
        <v>1</v>
      </c>
    </row>
    <row r="50" spans="2:25" x14ac:dyDescent="0.15">
      <c r="B50" s="539">
        <v>46188</v>
      </c>
      <c r="C50">
        <v>1</v>
      </c>
      <c r="D50">
        <v>1</v>
      </c>
      <c r="G50">
        <v>1</v>
      </c>
      <c r="I50">
        <v>1</v>
      </c>
      <c r="L50">
        <v>1</v>
      </c>
      <c r="O50">
        <v>1</v>
      </c>
      <c r="R50">
        <v>1</v>
      </c>
      <c r="V50">
        <v>1</v>
      </c>
    </row>
    <row r="51" spans="2:25" x14ac:dyDescent="0.15">
      <c r="B51" s="539">
        <v>46189</v>
      </c>
      <c r="C51">
        <v>1</v>
      </c>
      <c r="D51">
        <v>1</v>
      </c>
      <c r="G51">
        <v>1</v>
      </c>
      <c r="I51">
        <v>1</v>
      </c>
      <c r="L51">
        <v>1</v>
      </c>
      <c r="O51">
        <v>1</v>
      </c>
      <c r="R51">
        <v>1</v>
      </c>
      <c r="V51">
        <v>1</v>
      </c>
    </row>
    <row r="52" spans="2:25" x14ac:dyDescent="0.15">
      <c r="B52" s="539">
        <v>46190</v>
      </c>
      <c r="C52">
        <v>1</v>
      </c>
      <c r="D52">
        <v>1</v>
      </c>
      <c r="G52">
        <v>1</v>
      </c>
      <c r="I52">
        <v>1</v>
      </c>
      <c r="L52">
        <v>1</v>
      </c>
      <c r="O52">
        <v>1</v>
      </c>
      <c r="R52">
        <v>1</v>
      </c>
      <c r="V52">
        <v>1</v>
      </c>
    </row>
    <row r="53" spans="2:25" x14ac:dyDescent="0.15">
      <c r="B53" s="539">
        <v>46191</v>
      </c>
      <c r="C53">
        <v>1</v>
      </c>
      <c r="D53">
        <v>1</v>
      </c>
      <c r="G53">
        <v>1</v>
      </c>
      <c r="I53">
        <v>1</v>
      </c>
      <c r="L53">
        <v>1</v>
      </c>
      <c r="O53">
        <v>1</v>
      </c>
      <c r="R53">
        <v>1</v>
      </c>
      <c r="V53">
        <v>1</v>
      </c>
    </row>
    <row r="54" spans="2:25" x14ac:dyDescent="0.15">
      <c r="B54" s="539">
        <v>46192</v>
      </c>
      <c r="C54">
        <v>1</v>
      </c>
      <c r="D54">
        <v>1</v>
      </c>
      <c r="G54">
        <v>1</v>
      </c>
      <c r="J54">
        <v>1</v>
      </c>
      <c r="L54">
        <v>1</v>
      </c>
      <c r="O54">
        <v>1</v>
      </c>
      <c r="R54">
        <v>1</v>
      </c>
      <c r="V54">
        <v>1</v>
      </c>
    </row>
    <row r="55" spans="2:25" x14ac:dyDescent="0.15">
      <c r="B55" s="539">
        <v>46195</v>
      </c>
      <c r="L55">
        <v>1</v>
      </c>
      <c r="O55">
        <v>1</v>
      </c>
      <c r="R55">
        <v>1</v>
      </c>
      <c r="V55">
        <v>1</v>
      </c>
    </row>
    <row r="56" spans="2:25" x14ac:dyDescent="0.15">
      <c r="B56" s="539">
        <v>46196</v>
      </c>
      <c r="M56">
        <v>1</v>
      </c>
      <c r="O56">
        <v>1</v>
      </c>
      <c r="R56">
        <v>1</v>
      </c>
      <c r="V56">
        <v>1</v>
      </c>
    </row>
    <row r="57" spans="2:25" x14ac:dyDescent="0.15">
      <c r="B57" s="539" t="s">
        <v>1036</v>
      </c>
    </row>
    <row r="58" spans="2:25" x14ac:dyDescent="0.15">
      <c r="B58" s="539" t="s">
        <v>836</v>
      </c>
      <c r="C58">
        <v>64</v>
      </c>
      <c r="D58">
        <v>64</v>
      </c>
      <c r="G58">
        <v>64</v>
      </c>
      <c r="I58">
        <v>46</v>
      </c>
      <c r="J58">
        <v>13</v>
      </c>
      <c r="K58">
        <v>5</v>
      </c>
      <c r="L58">
        <v>17</v>
      </c>
      <c r="M58">
        <v>18</v>
      </c>
      <c r="N58">
        <v>29</v>
      </c>
      <c r="O58">
        <v>54</v>
      </c>
      <c r="Q58">
        <v>13</v>
      </c>
      <c r="R58">
        <v>54</v>
      </c>
      <c r="U58">
        <v>13</v>
      </c>
      <c r="V58">
        <v>54</v>
      </c>
      <c r="Y58">
        <v>13</v>
      </c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74"/>
  <sheetViews>
    <sheetView topLeftCell="H1" zoomScale="70" zoomScaleNormal="70" workbookViewId="0">
      <selection activeCell="AA1" sqref="AA1:AO74"/>
    </sheetView>
  </sheetViews>
  <sheetFormatPr defaultRowHeight="13.5" x14ac:dyDescent="0.15"/>
  <sheetData>
    <row r="1" spans="1:64" s="468" customFormat="1" ht="50.25" customHeight="1" x14ac:dyDescent="0.15">
      <c r="A1" s="433" t="s">
        <v>973</v>
      </c>
      <c r="B1" s="434" t="s">
        <v>62</v>
      </c>
      <c r="C1" s="434" t="s">
        <v>63</v>
      </c>
      <c r="D1" s="435" t="s">
        <v>992</v>
      </c>
      <c r="E1" s="434" t="s">
        <v>65</v>
      </c>
      <c r="F1" s="434" t="s">
        <v>66</v>
      </c>
      <c r="G1" s="434" t="s">
        <v>67</v>
      </c>
      <c r="H1" s="434" t="s">
        <v>68</v>
      </c>
      <c r="I1" s="436" t="s">
        <v>974</v>
      </c>
      <c r="J1" s="437" t="s">
        <v>975</v>
      </c>
      <c r="K1" s="438" t="s">
        <v>976</v>
      </c>
      <c r="L1" s="439" t="s">
        <v>52</v>
      </c>
      <c r="M1" s="440" t="s">
        <v>53</v>
      </c>
      <c r="N1" s="437" t="s">
        <v>977</v>
      </c>
      <c r="O1" s="441" t="s">
        <v>978</v>
      </c>
      <c r="P1" s="443" t="s">
        <v>979</v>
      </c>
      <c r="Q1" s="444" t="s">
        <v>980</v>
      </c>
      <c r="R1" s="445" t="s">
        <v>993</v>
      </c>
      <c r="S1" s="446" t="s">
        <v>71</v>
      </c>
      <c r="T1" s="447" t="s">
        <v>72</v>
      </c>
      <c r="U1" s="448" t="s">
        <v>73</v>
      </c>
      <c r="V1" s="446" t="s">
        <v>74</v>
      </c>
      <c r="W1" s="448" t="s">
        <v>75</v>
      </c>
      <c r="X1" s="446" t="s">
        <v>994</v>
      </c>
      <c r="Y1" s="447" t="s">
        <v>77</v>
      </c>
      <c r="Z1" s="448" t="s">
        <v>78</v>
      </c>
      <c r="AA1" s="442" t="s">
        <v>978</v>
      </c>
      <c r="AB1" s="449" t="s">
        <v>79</v>
      </c>
      <c r="AC1" s="450" t="s">
        <v>995</v>
      </c>
      <c r="AD1" s="451" t="s">
        <v>81</v>
      </c>
      <c r="AE1" s="449" t="s">
        <v>82</v>
      </c>
      <c r="AF1" s="452" t="s">
        <v>996</v>
      </c>
      <c r="AG1" s="450" t="s">
        <v>997</v>
      </c>
      <c r="AH1" s="449" t="s">
        <v>85</v>
      </c>
      <c r="AI1" s="452" t="s">
        <v>998</v>
      </c>
      <c r="AJ1" s="452" t="s">
        <v>87</v>
      </c>
      <c r="AK1" s="450" t="s">
        <v>88</v>
      </c>
      <c r="AL1" s="449" t="s">
        <v>89</v>
      </c>
      <c r="AM1" s="452" t="s">
        <v>981</v>
      </c>
      <c r="AN1" s="452" t="s">
        <v>91</v>
      </c>
      <c r="AO1" s="450" t="s">
        <v>999</v>
      </c>
      <c r="AP1" s="453" t="s">
        <v>157</v>
      </c>
      <c r="AQ1" s="454" t="s">
        <v>982</v>
      </c>
      <c r="AR1" s="454" t="s">
        <v>1000</v>
      </c>
      <c r="AS1" s="454" t="s">
        <v>151</v>
      </c>
      <c r="AT1" s="455" t="s">
        <v>203</v>
      </c>
      <c r="AU1" s="455" t="s">
        <v>1001</v>
      </c>
      <c r="AV1" s="456" t="s">
        <v>163</v>
      </c>
      <c r="AW1" s="453" t="s">
        <v>152</v>
      </c>
      <c r="AX1" s="457" t="s">
        <v>158</v>
      </c>
      <c r="AY1" s="458" t="s">
        <v>93</v>
      </c>
      <c r="AZ1" s="459" t="s">
        <v>983</v>
      </c>
      <c r="BA1" s="460" t="s">
        <v>38</v>
      </c>
      <c r="BB1" s="461" t="s">
        <v>984</v>
      </c>
      <c r="BC1" s="462" t="s">
        <v>985</v>
      </c>
      <c r="BD1" s="463" t="s">
        <v>986</v>
      </c>
      <c r="BE1" s="463" t="s">
        <v>987</v>
      </c>
      <c r="BF1" s="437" t="s">
        <v>988</v>
      </c>
      <c r="BG1" s="464" t="s">
        <v>989</v>
      </c>
      <c r="BH1" s="465" t="s">
        <v>1002</v>
      </c>
      <c r="BI1" s="466" t="s">
        <v>990</v>
      </c>
      <c r="BJ1" s="467" t="s">
        <v>991</v>
      </c>
      <c r="BK1" s="468" t="s">
        <v>1003</v>
      </c>
      <c r="BL1" s="468" t="s">
        <v>1004</v>
      </c>
    </row>
    <row r="2" spans="1:64" s="494" customFormat="1" ht="12" customHeight="1" x14ac:dyDescent="0.15">
      <c r="A2" s="469"/>
      <c r="B2" s="470"/>
      <c r="C2" s="470"/>
      <c r="D2" s="470"/>
      <c r="E2" s="470"/>
      <c r="F2" s="470"/>
      <c r="G2" s="470"/>
      <c r="H2" s="470"/>
      <c r="I2" s="471"/>
      <c r="J2" s="472">
        <v>46079</v>
      </c>
      <c r="K2" s="473">
        <v>46107</v>
      </c>
      <c r="L2" s="473"/>
      <c r="M2" s="474" t="s">
        <v>1005</v>
      </c>
      <c r="N2" s="475"/>
      <c r="O2" s="475"/>
      <c r="P2" s="477">
        <v>46107</v>
      </c>
      <c r="Q2" s="478" t="s">
        <v>1006</v>
      </c>
      <c r="R2" s="479"/>
      <c r="S2" s="479"/>
      <c r="T2" s="480"/>
      <c r="U2" s="481"/>
      <c r="V2" s="479"/>
      <c r="W2" s="481"/>
      <c r="X2" s="479"/>
      <c r="Y2" s="482"/>
      <c r="Z2" s="481"/>
      <c r="AA2" s="476">
        <v>46106</v>
      </c>
      <c r="AB2" s="479"/>
      <c r="AC2" s="481"/>
      <c r="AD2" s="483"/>
      <c r="AE2" s="479"/>
      <c r="AF2" s="482"/>
      <c r="AG2" s="484" t="s">
        <v>1007</v>
      </c>
      <c r="AH2" s="480"/>
      <c r="AI2" s="482"/>
      <c r="AJ2" s="482"/>
      <c r="AK2" s="481"/>
      <c r="AL2" s="479"/>
      <c r="AM2" s="482"/>
      <c r="AN2" s="482"/>
      <c r="AO2" s="481"/>
      <c r="AP2" s="479"/>
      <c r="AQ2" s="482"/>
      <c r="AR2" s="482"/>
      <c r="AS2" s="482"/>
      <c r="AT2" s="482"/>
      <c r="AU2" s="482"/>
      <c r="AV2" s="481"/>
      <c r="AW2" s="479"/>
      <c r="AX2" s="481"/>
      <c r="AY2" s="483"/>
      <c r="AZ2" s="485" t="s">
        <v>483</v>
      </c>
      <c r="BA2" s="486" t="s">
        <v>1008</v>
      </c>
      <c r="BB2" s="487" t="s">
        <v>1009</v>
      </c>
      <c r="BC2" s="488" t="s">
        <v>1010</v>
      </c>
      <c r="BD2" s="489">
        <v>1</v>
      </c>
      <c r="BE2" s="489">
        <v>0</v>
      </c>
      <c r="BF2" s="490">
        <v>46091</v>
      </c>
      <c r="BG2" s="489">
        <v>0</v>
      </c>
      <c r="BH2" s="491">
        <f>COUNTA(R2:Z2)</f>
        <v>0</v>
      </c>
      <c r="BI2" s="492">
        <f>COUNTA(AB2:AO2)</f>
        <v>1</v>
      </c>
      <c r="BJ2" s="493" t="s">
        <v>1011</v>
      </c>
    </row>
    <row r="3" spans="1:64" s="494" customFormat="1" ht="12" customHeight="1" x14ac:dyDescent="0.15">
      <c r="A3" s="469"/>
      <c r="B3" s="470"/>
      <c r="C3" s="470"/>
      <c r="D3" s="470"/>
      <c r="E3" s="470"/>
      <c r="F3" s="470"/>
      <c r="G3" s="470"/>
      <c r="H3" s="470"/>
      <c r="I3" s="471"/>
      <c r="J3" s="472">
        <v>46079</v>
      </c>
      <c r="K3" s="473">
        <v>46107</v>
      </c>
      <c r="L3" s="473"/>
      <c r="M3" s="474" t="s">
        <v>490</v>
      </c>
      <c r="N3" s="475"/>
      <c r="O3" s="475"/>
      <c r="P3" s="477">
        <v>46107</v>
      </c>
      <c r="Q3" s="478" t="s">
        <v>1006</v>
      </c>
      <c r="R3" s="479"/>
      <c r="S3" s="479"/>
      <c r="T3" s="480"/>
      <c r="U3" s="481"/>
      <c r="V3" s="479"/>
      <c r="W3" s="481"/>
      <c r="X3" s="479"/>
      <c r="Y3" s="482"/>
      <c r="Z3" s="481"/>
      <c r="AA3" s="476">
        <v>46106</v>
      </c>
      <c r="AB3" s="479"/>
      <c r="AC3" s="481"/>
      <c r="AD3" s="483"/>
      <c r="AE3" s="479"/>
      <c r="AF3" s="482"/>
      <c r="AG3" s="484" t="s">
        <v>1012</v>
      </c>
      <c r="AH3" s="480"/>
      <c r="AI3" s="482"/>
      <c r="AJ3" s="482"/>
      <c r="AK3" s="481"/>
      <c r="AL3" s="479"/>
      <c r="AM3" s="482"/>
      <c r="AN3" s="482"/>
      <c r="AO3" s="481"/>
      <c r="AP3" s="479"/>
      <c r="AQ3" s="482"/>
      <c r="AR3" s="482"/>
      <c r="AS3" s="482"/>
      <c r="AT3" s="482"/>
      <c r="AU3" s="482"/>
      <c r="AV3" s="481"/>
      <c r="AW3" s="479"/>
      <c r="AX3" s="481"/>
      <c r="AY3" s="483"/>
      <c r="AZ3" s="485" t="s">
        <v>488</v>
      </c>
      <c r="BA3" s="486" t="s">
        <v>1008</v>
      </c>
      <c r="BB3" s="487" t="s">
        <v>1013</v>
      </c>
      <c r="BC3" s="488" t="s">
        <v>1010</v>
      </c>
      <c r="BD3" s="489">
        <v>1</v>
      </c>
      <c r="BE3" s="489">
        <v>0</v>
      </c>
      <c r="BF3" s="490">
        <v>46091</v>
      </c>
      <c r="BG3" s="489">
        <v>0</v>
      </c>
      <c r="BH3" s="491">
        <f>COUNTA(R3:Z3)</f>
        <v>0</v>
      </c>
      <c r="BI3" s="492">
        <f>COUNTA(AB3:AO3)</f>
        <v>1</v>
      </c>
      <c r="BJ3" s="493" t="s">
        <v>1014</v>
      </c>
    </row>
    <row r="4" spans="1:64" s="494" customFormat="1" ht="12" customHeight="1" x14ac:dyDescent="0.15">
      <c r="A4" s="469"/>
      <c r="B4" s="470"/>
      <c r="C4" s="470"/>
      <c r="D4" s="470"/>
      <c r="E4" s="470"/>
      <c r="F4" s="470"/>
      <c r="G4" s="470"/>
      <c r="H4" s="470"/>
      <c r="I4" s="471"/>
      <c r="J4" s="472">
        <v>46079</v>
      </c>
      <c r="K4" s="473">
        <v>46107</v>
      </c>
      <c r="L4" s="473"/>
      <c r="M4" s="474" t="s">
        <v>1015</v>
      </c>
      <c r="N4" s="475"/>
      <c r="O4" s="475"/>
      <c r="P4" s="477">
        <v>46107</v>
      </c>
      <c r="Q4" s="478" t="s">
        <v>1006</v>
      </c>
      <c r="R4" s="479"/>
      <c r="S4" s="479"/>
      <c r="T4" s="480"/>
      <c r="U4" s="481"/>
      <c r="V4" s="479"/>
      <c r="W4" s="481"/>
      <c r="X4" s="479"/>
      <c r="Y4" s="482"/>
      <c r="Z4" s="481"/>
      <c r="AA4" s="476">
        <v>46106</v>
      </c>
      <c r="AB4" s="479"/>
      <c r="AC4" s="481"/>
      <c r="AD4" s="483"/>
      <c r="AE4" s="479"/>
      <c r="AF4" s="482"/>
      <c r="AG4" s="481"/>
      <c r="AH4" s="480"/>
      <c r="AI4" s="482"/>
      <c r="AJ4" s="482"/>
      <c r="AK4" s="484" t="s">
        <v>1007</v>
      </c>
      <c r="AL4" s="479"/>
      <c r="AM4" s="482"/>
      <c r="AN4" s="482"/>
      <c r="AO4" s="481"/>
      <c r="AP4" s="479"/>
      <c r="AQ4" s="482"/>
      <c r="AR4" s="482"/>
      <c r="AS4" s="482"/>
      <c r="AT4" s="482"/>
      <c r="AU4" s="482"/>
      <c r="AV4" s="481"/>
      <c r="AW4" s="479"/>
      <c r="AX4" s="481"/>
      <c r="AY4" s="483"/>
      <c r="AZ4" s="485" t="s">
        <v>505</v>
      </c>
      <c r="BA4" s="486" t="s">
        <v>1008</v>
      </c>
      <c r="BB4" s="487" t="s">
        <v>1016</v>
      </c>
      <c r="BC4" s="488" t="s">
        <v>1010</v>
      </c>
      <c r="BD4" s="489">
        <v>1</v>
      </c>
      <c r="BE4" s="489">
        <v>0</v>
      </c>
      <c r="BF4" s="490">
        <v>46091</v>
      </c>
      <c r="BG4" s="489">
        <v>0</v>
      </c>
      <c r="BH4" s="491">
        <f>COUNTA(R4:Z4)</f>
        <v>0</v>
      </c>
      <c r="BI4" s="492">
        <f>COUNTA(AB4:AO4)</f>
        <v>1</v>
      </c>
      <c r="BJ4" s="493" t="s">
        <v>1017</v>
      </c>
    </row>
    <row r="5" spans="1:64" s="494" customFormat="1" ht="12" customHeight="1" x14ac:dyDescent="0.15">
      <c r="A5" s="469"/>
      <c r="B5" s="470"/>
      <c r="C5" s="470"/>
      <c r="D5" s="470"/>
      <c r="E5" s="470"/>
      <c r="F5" s="470"/>
      <c r="G5" s="470"/>
      <c r="H5" s="470"/>
      <c r="I5" s="471"/>
      <c r="J5" s="472">
        <v>46079</v>
      </c>
      <c r="K5" s="473">
        <v>46107</v>
      </c>
      <c r="L5" s="473"/>
      <c r="M5" s="474" t="s">
        <v>1018</v>
      </c>
      <c r="N5" s="475"/>
      <c r="O5" s="475"/>
      <c r="P5" s="477">
        <v>46107</v>
      </c>
      <c r="Q5" s="478" t="s">
        <v>1006</v>
      </c>
      <c r="R5" s="479"/>
      <c r="S5" s="479"/>
      <c r="T5" s="480"/>
      <c r="U5" s="481"/>
      <c r="V5" s="479"/>
      <c r="W5" s="481"/>
      <c r="X5" s="479"/>
      <c r="Y5" s="482"/>
      <c r="Z5" s="481"/>
      <c r="AA5" s="476">
        <v>46106</v>
      </c>
      <c r="AB5" s="479"/>
      <c r="AC5" s="481"/>
      <c r="AD5" s="483"/>
      <c r="AE5" s="479"/>
      <c r="AF5" s="482"/>
      <c r="AG5" s="481"/>
      <c r="AH5" s="480"/>
      <c r="AI5" s="482"/>
      <c r="AJ5" s="482"/>
      <c r="AK5" s="484" t="s">
        <v>1012</v>
      </c>
      <c r="AL5" s="479"/>
      <c r="AM5" s="482"/>
      <c r="AN5" s="482"/>
      <c r="AO5" s="481"/>
      <c r="AP5" s="479"/>
      <c r="AQ5" s="482"/>
      <c r="AR5" s="482"/>
      <c r="AS5" s="482"/>
      <c r="AT5" s="482"/>
      <c r="AU5" s="482"/>
      <c r="AV5" s="481"/>
      <c r="AW5" s="479"/>
      <c r="AX5" s="481"/>
      <c r="AY5" s="483"/>
      <c r="AZ5" s="485" t="s">
        <v>509</v>
      </c>
      <c r="BA5" s="486" t="s">
        <v>1008</v>
      </c>
      <c r="BB5" s="487" t="s">
        <v>1019</v>
      </c>
      <c r="BC5" s="488" t="s">
        <v>1010</v>
      </c>
      <c r="BD5" s="489">
        <v>1</v>
      </c>
      <c r="BE5" s="489">
        <v>0</v>
      </c>
      <c r="BF5" s="490">
        <v>46091</v>
      </c>
      <c r="BG5" s="489">
        <v>0</v>
      </c>
      <c r="BH5" s="491">
        <f>COUNTA(R5:Z5)</f>
        <v>0</v>
      </c>
      <c r="BI5" s="492">
        <f>COUNTA(AB5:AO5)</f>
        <v>1</v>
      </c>
      <c r="BJ5" s="493" t="s">
        <v>1020</v>
      </c>
    </row>
    <row r="6" spans="1:64" s="494" customFormat="1" ht="12" customHeight="1" x14ac:dyDescent="0.15">
      <c r="A6" s="469"/>
      <c r="B6" s="470"/>
      <c r="C6" s="470"/>
      <c r="D6" s="470"/>
      <c r="E6" s="470"/>
      <c r="F6" s="470"/>
      <c r="G6" s="470"/>
      <c r="H6" s="470"/>
      <c r="I6" s="471"/>
      <c r="J6" s="472">
        <v>46079</v>
      </c>
      <c r="K6" s="473">
        <v>46107</v>
      </c>
      <c r="L6" s="473"/>
      <c r="M6" s="474" t="s">
        <v>1021</v>
      </c>
      <c r="N6" s="475"/>
      <c r="O6" s="475"/>
      <c r="P6" s="477">
        <v>46107</v>
      </c>
      <c r="Q6" s="478" t="s">
        <v>1006</v>
      </c>
      <c r="R6" s="479"/>
      <c r="S6" s="479"/>
      <c r="T6" s="480"/>
      <c r="U6" s="481"/>
      <c r="V6" s="479"/>
      <c r="W6" s="481"/>
      <c r="X6" s="479"/>
      <c r="Y6" s="482"/>
      <c r="Z6" s="481"/>
      <c r="AA6" s="476">
        <v>46106</v>
      </c>
      <c r="AB6" s="479"/>
      <c r="AC6" s="481"/>
      <c r="AD6" s="483"/>
      <c r="AE6" s="479"/>
      <c r="AF6" s="482"/>
      <c r="AG6" s="481"/>
      <c r="AH6" s="480"/>
      <c r="AI6" s="482"/>
      <c r="AJ6" s="482"/>
      <c r="AK6" s="481"/>
      <c r="AL6" s="479"/>
      <c r="AM6" s="482"/>
      <c r="AN6" s="482"/>
      <c r="AO6" s="484" t="s">
        <v>1022</v>
      </c>
      <c r="AP6" s="479"/>
      <c r="AQ6" s="482"/>
      <c r="AR6" s="482"/>
      <c r="AS6" s="482"/>
      <c r="AT6" s="482"/>
      <c r="AU6" s="482"/>
      <c r="AV6" s="481"/>
      <c r="AW6" s="479"/>
      <c r="AX6" s="481"/>
      <c r="AY6" s="483"/>
      <c r="AZ6" s="485" t="s">
        <v>498</v>
      </c>
      <c r="BA6" s="486" t="s">
        <v>1008</v>
      </c>
      <c r="BB6" s="487" t="s">
        <v>1023</v>
      </c>
      <c r="BC6" s="488" t="s">
        <v>1010</v>
      </c>
      <c r="BD6" s="489">
        <v>1</v>
      </c>
      <c r="BE6" s="489">
        <v>0</v>
      </c>
      <c r="BF6" s="490">
        <v>46091</v>
      </c>
      <c r="BG6" s="489">
        <v>0</v>
      </c>
      <c r="BH6" s="491">
        <f>COUNTA(R6:Z6)</f>
        <v>0</v>
      </c>
      <c r="BI6" s="492">
        <f>COUNTA(AB6:AO6)</f>
        <v>1</v>
      </c>
      <c r="BJ6" s="493" t="s">
        <v>1024</v>
      </c>
    </row>
    <row r="7" spans="1:64" s="494" customFormat="1" ht="12" customHeight="1" x14ac:dyDescent="0.15">
      <c r="A7" s="469"/>
      <c r="B7" s="470"/>
      <c r="C7" s="470"/>
      <c r="D7" s="470"/>
      <c r="E7" s="470"/>
      <c r="F7" s="470"/>
      <c r="G7" s="470"/>
      <c r="H7" s="470"/>
      <c r="I7" s="471"/>
      <c r="J7" s="472">
        <v>46079</v>
      </c>
      <c r="K7" s="473">
        <v>46107</v>
      </c>
      <c r="L7" s="473"/>
      <c r="M7" s="474" t="s">
        <v>1025</v>
      </c>
      <c r="N7" s="475"/>
      <c r="O7" s="475"/>
      <c r="P7" s="477">
        <v>46107</v>
      </c>
      <c r="Q7" s="478" t="s">
        <v>1006</v>
      </c>
      <c r="R7" s="479"/>
      <c r="S7" s="479"/>
      <c r="T7" s="480"/>
      <c r="U7" s="481"/>
      <c r="V7" s="479"/>
      <c r="W7" s="481"/>
      <c r="X7" s="479"/>
      <c r="Y7" s="482"/>
      <c r="Z7" s="481"/>
      <c r="AA7" s="476">
        <v>46106</v>
      </c>
      <c r="AB7" s="479"/>
      <c r="AC7" s="481"/>
      <c r="AD7" s="483"/>
      <c r="AE7" s="479"/>
      <c r="AF7" s="482"/>
      <c r="AG7" s="481"/>
      <c r="AH7" s="480"/>
      <c r="AI7" s="482"/>
      <c r="AJ7" s="482"/>
      <c r="AK7" s="481"/>
      <c r="AL7" s="479"/>
      <c r="AM7" s="482"/>
      <c r="AN7" s="482"/>
      <c r="AO7" s="484" t="s">
        <v>1012</v>
      </c>
      <c r="AP7" s="479"/>
      <c r="AQ7" s="482"/>
      <c r="AR7" s="482"/>
      <c r="AS7" s="482"/>
      <c r="AT7" s="482"/>
      <c r="AU7" s="482"/>
      <c r="AV7" s="481"/>
      <c r="AW7" s="479"/>
      <c r="AX7" s="481"/>
      <c r="AY7" s="483"/>
      <c r="AZ7" s="485" t="s">
        <v>502</v>
      </c>
      <c r="BA7" s="486" t="s">
        <v>1008</v>
      </c>
      <c r="BB7" s="487" t="s">
        <v>1026</v>
      </c>
      <c r="BC7" s="488" t="s">
        <v>1010</v>
      </c>
      <c r="BD7" s="489">
        <v>1</v>
      </c>
      <c r="BE7" s="489">
        <v>0</v>
      </c>
      <c r="BF7" s="490">
        <v>46091</v>
      </c>
      <c r="BG7" s="489">
        <v>0</v>
      </c>
      <c r="BH7" s="491">
        <f>COUNTA(R7:Z7)</f>
        <v>0</v>
      </c>
      <c r="BI7" s="492">
        <f>COUNTA(AB7:AO7)</f>
        <v>1</v>
      </c>
      <c r="BJ7" s="493" t="s">
        <v>1027</v>
      </c>
    </row>
    <row r="8" spans="1:64" s="521" customFormat="1" ht="12" customHeight="1" x14ac:dyDescent="0.15">
      <c r="A8" s="495">
        <v>21392</v>
      </c>
      <c r="B8" s="496"/>
      <c r="C8" s="496"/>
      <c r="D8" s="496"/>
      <c r="E8" s="496"/>
      <c r="F8" s="496"/>
      <c r="G8" s="496"/>
      <c r="H8" s="497">
        <v>3537</v>
      </c>
      <c r="I8" s="498" t="s">
        <v>162</v>
      </c>
      <c r="J8" s="499">
        <v>46094</v>
      </c>
      <c r="K8" s="500">
        <v>46114</v>
      </c>
      <c r="L8" s="500"/>
      <c r="M8" s="501" t="s">
        <v>1028</v>
      </c>
      <c r="N8" s="499">
        <v>46113</v>
      </c>
      <c r="O8" s="502">
        <v>46105</v>
      </c>
      <c r="P8" s="477">
        <v>46114</v>
      </c>
      <c r="Q8" s="503"/>
      <c r="R8" s="504" t="s">
        <v>1028</v>
      </c>
      <c r="S8" s="504" t="s">
        <v>1028</v>
      </c>
      <c r="T8" s="505"/>
      <c r="U8" s="506"/>
      <c r="V8" s="504" t="s">
        <v>1028</v>
      </c>
      <c r="W8" s="506"/>
      <c r="X8" s="507"/>
      <c r="Y8" s="508"/>
      <c r="Z8" s="509" t="s">
        <v>1028</v>
      </c>
      <c r="AA8" s="476">
        <v>46107</v>
      </c>
      <c r="AB8" s="507"/>
      <c r="AC8" s="484" t="s">
        <v>1028</v>
      </c>
      <c r="AD8" s="510"/>
      <c r="AE8" s="507"/>
      <c r="AF8" s="508"/>
      <c r="AG8" s="484" t="s">
        <v>1028</v>
      </c>
      <c r="AH8" s="505"/>
      <c r="AI8" s="508"/>
      <c r="AJ8" s="508"/>
      <c r="AK8" s="484" t="s">
        <v>1028</v>
      </c>
      <c r="AL8" s="507"/>
      <c r="AM8" s="508"/>
      <c r="AN8" s="508"/>
      <c r="AO8" s="484" t="s">
        <v>1028</v>
      </c>
      <c r="AP8" s="507"/>
      <c r="AQ8" s="508"/>
      <c r="AR8" s="508"/>
      <c r="AS8" s="508"/>
      <c r="AT8" s="508"/>
      <c r="AU8" s="508"/>
      <c r="AV8" s="511" t="s">
        <v>1028</v>
      </c>
      <c r="AW8" s="512" t="s">
        <v>1028</v>
      </c>
      <c r="AX8" s="506"/>
      <c r="AY8" s="513" t="s">
        <v>1028</v>
      </c>
      <c r="AZ8" s="514" t="s">
        <v>219</v>
      </c>
      <c r="BA8" s="515" t="s">
        <v>177</v>
      </c>
      <c r="BB8" s="516" t="s">
        <v>220</v>
      </c>
      <c r="BC8" s="517" t="s">
        <v>221</v>
      </c>
      <c r="BD8" s="518">
        <v>11</v>
      </c>
      <c r="BE8" s="518" t="str">
        <f>I8</f>
        <v>VU-LD091</v>
      </c>
      <c r="BF8" s="519">
        <f>P8</f>
        <v>46114</v>
      </c>
      <c r="BG8" s="518">
        <f>A8</f>
        <v>21392</v>
      </c>
      <c r="BH8" s="491">
        <f>COUNTA(R8:Z8)</f>
        <v>4</v>
      </c>
      <c r="BI8" s="492">
        <f>COUNTA(AB8:AO8)</f>
        <v>4</v>
      </c>
      <c r="BJ8" s="520"/>
    </row>
    <row r="9" spans="1:64" s="521" customFormat="1" ht="12" customHeight="1" x14ac:dyDescent="0.15">
      <c r="A9" s="495">
        <v>21393</v>
      </c>
      <c r="B9" s="496"/>
      <c r="C9" s="496"/>
      <c r="D9" s="496"/>
      <c r="E9" s="496"/>
      <c r="F9" s="496"/>
      <c r="G9" s="496"/>
      <c r="H9" s="497">
        <v>3538</v>
      </c>
      <c r="I9" s="498" t="s">
        <v>162</v>
      </c>
      <c r="J9" s="499">
        <v>46097</v>
      </c>
      <c r="K9" s="500">
        <v>46115</v>
      </c>
      <c r="L9" s="500"/>
      <c r="M9" s="501" t="s">
        <v>1028</v>
      </c>
      <c r="N9" s="499">
        <v>46114</v>
      </c>
      <c r="O9" s="502">
        <v>46106</v>
      </c>
      <c r="P9" s="477">
        <v>46115</v>
      </c>
      <c r="Q9" s="503"/>
      <c r="R9" s="504" t="s">
        <v>1028</v>
      </c>
      <c r="S9" s="504" t="s">
        <v>1028</v>
      </c>
      <c r="T9" s="505"/>
      <c r="U9" s="506"/>
      <c r="V9" s="504" t="s">
        <v>1028</v>
      </c>
      <c r="W9" s="506"/>
      <c r="X9" s="507"/>
      <c r="Y9" s="508"/>
      <c r="Z9" s="509" t="s">
        <v>1028</v>
      </c>
      <c r="AA9" s="476">
        <v>46112</v>
      </c>
      <c r="AB9" s="507"/>
      <c r="AC9" s="484" t="s">
        <v>1028</v>
      </c>
      <c r="AD9" s="510"/>
      <c r="AE9" s="507"/>
      <c r="AF9" s="508"/>
      <c r="AG9" s="484" t="s">
        <v>1028</v>
      </c>
      <c r="AH9" s="505"/>
      <c r="AI9" s="508"/>
      <c r="AJ9" s="508"/>
      <c r="AK9" s="484" t="s">
        <v>1028</v>
      </c>
      <c r="AL9" s="507"/>
      <c r="AM9" s="508"/>
      <c r="AN9" s="508"/>
      <c r="AO9" s="484" t="s">
        <v>1028</v>
      </c>
      <c r="AP9" s="507"/>
      <c r="AQ9" s="508"/>
      <c r="AR9" s="508"/>
      <c r="AS9" s="508"/>
      <c r="AT9" s="508"/>
      <c r="AU9" s="508"/>
      <c r="AV9" s="511" t="s">
        <v>1028</v>
      </c>
      <c r="AW9" s="512" t="s">
        <v>1028</v>
      </c>
      <c r="AX9" s="506"/>
      <c r="AY9" s="513" t="s">
        <v>1028</v>
      </c>
      <c r="AZ9" s="514" t="s">
        <v>222</v>
      </c>
      <c r="BA9" s="515" t="s">
        <v>177</v>
      </c>
      <c r="BB9" s="516" t="s">
        <v>223</v>
      </c>
      <c r="BC9" s="517" t="s">
        <v>224</v>
      </c>
      <c r="BD9" s="518">
        <v>11</v>
      </c>
      <c r="BE9" s="518" t="str">
        <f>I9</f>
        <v>VU-LD091</v>
      </c>
      <c r="BF9" s="519">
        <f>P9</f>
        <v>46115</v>
      </c>
      <c r="BG9" s="518">
        <f>A9</f>
        <v>21393</v>
      </c>
      <c r="BH9" s="491">
        <f>COUNTA(R9:Z9)</f>
        <v>4</v>
      </c>
      <c r="BI9" s="492">
        <f>COUNTA(AB9:AO9)</f>
        <v>4</v>
      </c>
      <c r="BJ9" s="520"/>
    </row>
    <row r="10" spans="1:64" s="521" customFormat="1" ht="12" customHeight="1" x14ac:dyDescent="0.15">
      <c r="A10" s="495">
        <v>21394</v>
      </c>
      <c r="B10" s="496"/>
      <c r="C10" s="496"/>
      <c r="D10" s="496"/>
      <c r="E10" s="496"/>
      <c r="F10" s="496"/>
      <c r="G10" s="496"/>
      <c r="H10" s="497">
        <v>3539</v>
      </c>
      <c r="I10" s="498" t="s">
        <v>162</v>
      </c>
      <c r="J10" s="499">
        <v>46098</v>
      </c>
      <c r="K10" s="500">
        <v>46118</v>
      </c>
      <c r="L10" s="500"/>
      <c r="M10" s="501" t="s">
        <v>1028</v>
      </c>
      <c r="N10" s="499">
        <v>46115</v>
      </c>
      <c r="O10" s="502">
        <v>46107</v>
      </c>
      <c r="P10" s="477">
        <v>46118</v>
      </c>
      <c r="Q10" s="503"/>
      <c r="R10" s="504" t="s">
        <v>1028</v>
      </c>
      <c r="S10" s="504" t="s">
        <v>1028</v>
      </c>
      <c r="T10" s="505"/>
      <c r="U10" s="506"/>
      <c r="V10" s="504" t="s">
        <v>1028</v>
      </c>
      <c r="W10" s="506"/>
      <c r="X10" s="507"/>
      <c r="Y10" s="508"/>
      <c r="Z10" s="509" t="s">
        <v>1028</v>
      </c>
      <c r="AA10" s="476">
        <v>46113</v>
      </c>
      <c r="AB10" s="507"/>
      <c r="AC10" s="484" t="s">
        <v>1028</v>
      </c>
      <c r="AD10" s="510"/>
      <c r="AE10" s="507"/>
      <c r="AF10" s="508"/>
      <c r="AG10" s="484" t="s">
        <v>1028</v>
      </c>
      <c r="AH10" s="505"/>
      <c r="AI10" s="508"/>
      <c r="AJ10" s="508"/>
      <c r="AK10" s="484" t="s">
        <v>1028</v>
      </c>
      <c r="AL10" s="507"/>
      <c r="AM10" s="508"/>
      <c r="AN10" s="508"/>
      <c r="AO10" s="484" t="s">
        <v>1028</v>
      </c>
      <c r="AP10" s="507"/>
      <c r="AQ10" s="508"/>
      <c r="AR10" s="508"/>
      <c r="AS10" s="508"/>
      <c r="AT10" s="508"/>
      <c r="AU10" s="508"/>
      <c r="AV10" s="511" t="s">
        <v>1028</v>
      </c>
      <c r="AW10" s="512" t="s">
        <v>1028</v>
      </c>
      <c r="AX10" s="506"/>
      <c r="AY10" s="513" t="s">
        <v>1028</v>
      </c>
      <c r="AZ10" s="514" t="s">
        <v>225</v>
      </c>
      <c r="BA10" s="515" t="s">
        <v>177</v>
      </c>
      <c r="BB10" s="516" t="s">
        <v>223</v>
      </c>
      <c r="BC10" s="517" t="s">
        <v>226</v>
      </c>
      <c r="BD10" s="518">
        <v>11</v>
      </c>
      <c r="BE10" s="518" t="str">
        <f>I10</f>
        <v>VU-LD091</v>
      </c>
      <c r="BF10" s="519">
        <f>P10</f>
        <v>46118</v>
      </c>
      <c r="BG10" s="518">
        <f>A10</f>
        <v>21394</v>
      </c>
      <c r="BH10" s="491">
        <f>COUNTA(R10:Z10)</f>
        <v>4</v>
      </c>
      <c r="BI10" s="492">
        <f>COUNTA(AB10:AO10)</f>
        <v>4</v>
      </c>
      <c r="BJ10" s="520"/>
    </row>
    <row r="11" spans="1:64" s="521" customFormat="1" ht="12" customHeight="1" x14ac:dyDescent="0.15">
      <c r="A11" s="495">
        <v>21395</v>
      </c>
      <c r="B11" s="496"/>
      <c r="C11" s="496"/>
      <c r="D11" s="496"/>
      <c r="E11" s="496"/>
      <c r="F11" s="496"/>
      <c r="G11" s="496"/>
      <c r="H11" s="497">
        <v>3540</v>
      </c>
      <c r="I11" s="498" t="s">
        <v>162</v>
      </c>
      <c r="J11" s="499">
        <v>46112</v>
      </c>
      <c r="K11" s="500">
        <v>46127</v>
      </c>
      <c r="L11" s="500"/>
      <c r="M11" s="501" t="s">
        <v>1028</v>
      </c>
      <c r="N11" s="499">
        <v>46121</v>
      </c>
      <c r="O11" s="502">
        <v>46115</v>
      </c>
      <c r="P11" s="477">
        <v>46127</v>
      </c>
      <c r="Q11" s="503"/>
      <c r="R11" s="504" t="s">
        <v>1028</v>
      </c>
      <c r="S11" s="504" t="s">
        <v>1028</v>
      </c>
      <c r="T11" s="505"/>
      <c r="U11" s="506"/>
      <c r="V11" s="504" t="s">
        <v>1028</v>
      </c>
      <c r="W11" s="506"/>
      <c r="X11" s="507"/>
      <c r="Y11" s="508"/>
      <c r="Z11" s="509" t="s">
        <v>1028</v>
      </c>
      <c r="AA11" s="476">
        <v>46122</v>
      </c>
      <c r="AB11" s="507"/>
      <c r="AC11" s="484" t="s">
        <v>1028</v>
      </c>
      <c r="AD11" s="510"/>
      <c r="AE11" s="507"/>
      <c r="AF11" s="508"/>
      <c r="AG11" s="484" t="s">
        <v>1028</v>
      </c>
      <c r="AH11" s="505"/>
      <c r="AI11" s="508"/>
      <c r="AJ11" s="508"/>
      <c r="AK11" s="484" t="s">
        <v>1028</v>
      </c>
      <c r="AL11" s="507"/>
      <c r="AM11" s="508"/>
      <c r="AN11" s="508"/>
      <c r="AO11" s="484" t="s">
        <v>1028</v>
      </c>
      <c r="AP11" s="507"/>
      <c r="AQ11" s="508"/>
      <c r="AR11" s="508"/>
      <c r="AS11" s="508"/>
      <c r="AT11" s="508"/>
      <c r="AU11" s="508"/>
      <c r="AV11" s="511" t="s">
        <v>1028</v>
      </c>
      <c r="AW11" s="512" t="s">
        <v>1028</v>
      </c>
      <c r="AX11" s="506"/>
      <c r="AY11" s="513" t="s">
        <v>1028</v>
      </c>
      <c r="AZ11" s="514" t="s">
        <v>227</v>
      </c>
      <c r="BA11" s="515" t="s">
        <v>177</v>
      </c>
      <c r="BB11" s="516" t="s">
        <v>228</v>
      </c>
      <c r="BC11" s="517" t="s">
        <v>224</v>
      </c>
      <c r="BD11" s="518">
        <v>11</v>
      </c>
      <c r="BE11" s="518" t="str">
        <f>I11</f>
        <v>VU-LD091</v>
      </c>
      <c r="BF11" s="519">
        <f>P11</f>
        <v>46127</v>
      </c>
      <c r="BG11" s="518">
        <f>A11</f>
        <v>21395</v>
      </c>
      <c r="BH11" s="491">
        <f>COUNTA(R11:Z11)</f>
        <v>4</v>
      </c>
      <c r="BI11" s="492">
        <f>COUNTA(AB11:AO11)</f>
        <v>4</v>
      </c>
      <c r="BJ11" s="520"/>
    </row>
    <row r="12" spans="1:64" s="521" customFormat="1" ht="12" customHeight="1" x14ac:dyDescent="0.15">
      <c r="A12" s="503"/>
      <c r="B12" s="496"/>
      <c r="C12" s="496"/>
      <c r="D12" s="496"/>
      <c r="E12" s="496"/>
      <c r="F12" s="496"/>
      <c r="G12" s="496"/>
      <c r="H12" s="496"/>
      <c r="I12" s="522"/>
      <c r="J12" s="499">
        <v>46098</v>
      </c>
      <c r="K12" s="500">
        <v>46127</v>
      </c>
      <c r="L12" s="500"/>
      <c r="M12" s="501" t="s">
        <v>1028</v>
      </c>
      <c r="N12" s="523"/>
      <c r="O12" s="523"/>
      <c r="P12" s="477">
        <v>46127</v>
      </c>
      <c r="Q12" s="478" t="s">
        <v>1006</v>
      </c>
      <c r="R12" s="507"/>
      <c r="S12" s="507"/>
      <c r="T12" s="505"/>
      <c r="U12" s="506"/>
      <c r="V12" s="507"/>
      <c r="W12" s="506"/>
      <c r="X12" s="507"/>
      <c r="Y12" s="508"/>
      <c r="Z12" s="506"/>
      <c r="AA12" s="476">
        <v>46122</v>
      </c>
      <c r="AB12" s="507"/>
      <c r="AC12" s="506"/>
      <c r="AD12" s="510"/>
      <c r="AE12" s="507"/>
      <c r="AF12" s="508"/>
      <c r="AG12" s="484" t="s">
        <v>1012</v>
      </c>
      <c r="AH12" s="505"/>
      <c r="AI12" s="508"/>
      <c r="AJ12" s="508"/>
      <c r="AK12" s="506"/>
      <c r="AL12" s="507"/>
      <c r="AM12" s="508"/>
      <c r="AN12" s="508"/>
      <c r="AO12" s="506"/>
      <c r="AP12" s="507"/>
      <c r="AQ12" s="508"/>
      <c r="AR12" s="508"/>
      <c r="AS12" s="508"/>
      <c r="AT12" s="508"/>
      <c r="AU12" s="508"/>
      <c r="AV12" s="506"/>
      <c r="AW12" s="507"/>
      <c r="AX12" s="506"/>
      <c r="AY12" s="510"/>
      <c r="AZ12" s="524" t="s">
        <v>491</v>
      </c>
      <c r="BA12" s="525" t="s">
        <v>1008</v>
      </c>
      <c r="BB12" s="526" t="s">
        <v>1029</v>
      </c>
      <c r="BC12" s="527" t="s">
        <v>1010</v>
      </c>
      <c r="BD12" s="518">
        <v>1</v>
      </c>
      <c r="BE12" s="518">
        <v>0</v>
      </c>
      <c r="BF12" s="519">
        <v>46091</v>
      </c>
      <c r="BG12" s="518">
        <v>0</v>
      </c>
      <c r="BH12" s="491">
        <f>COUNTA(R12:Z12)</f>
        <v>0</v>
      </c>
      <c r="BI12" s="492">
        <f>COUNTA(AB12:AO12)</f>
        <v>1</v>
      </c>
      <c r="BJ12" s="520" t="s">
        <v>1030</v>
      </c>
    </row>
    <row r="13" spans="1:64" s="521" customFormat="1" ht="12" customHeight="1" x14ac:dyDescent="0.15">
      <c r="A13" s="503"/>
      <c r="B13" s="496"/>
      <c r="C13" s="496"/>
      <c r="D13" s="496"/>
      <c r="E13" s="496"/>
      <c r="F13" s="496"/>
      <c r="G13" s="496"/>
      <c r="H13" s="496"/>
      <c r="I13" s="522"/>
      <c r="J13" s="499">
        <v>46098</v>
      </c>
      <c r="K13" s="500">
        <v>46127</v>
      </c>
      <c r="L13" s="500"/>
      <c r="M13" s="501" t="s">
        <v>1028</v>
      </c>
      <c r="N13" s="523"/>
      <c r="O13" s="523"/>
      <c r="P13" s="477">
        <v>46127</v>
      </c>
      <c r="Q13" s="478" t="s">
        <v>1006</v>
      </c>
      <c r="R13" s="507"/>
      <c r="S13" s="507"/>
      <c r="T13" s="505"/>
      <c r="U13" s="506"/>
      <c r="V13" s="507"/>
      <c r="W13" s="506"/>
      <c r="X13" s="507"/>
      <c r="Y13" s="508"/>
      <c r="Z13" s="506"/>
      <c r="AA13" s="476">
        <v>46122</v>
      </c>
      <c r="AB13" s="507"/>
      <c r="AC13" s="506"/>
      <c r="AD13" s="510"/>
      <c r="AE13" s="507"/>
      <c r="AF13" s="508"/>
      <c r="AG13" s="506"/>
      <c r="AH13" s="505"/>
      <c r="AI13" s="508"/>
      <c r="AJ13" s="508"/>
      <c r="AK13" s="484" t="s">
        <v>1031</v>
      </c>
      <c r="AL13" s="507"/>
      <c r="AM13" s="508"/>
      <c r="AN13" s="508"/>
      <c r="AO13" s="506"/>
      <c r="AP13" s="507"/>
      <c r="AQ13" s="508"/>
      <c r="AR13" s="508"/>
      <c r="AS13" s="508"/>
      <c r="AT13" s="508"/>
      <c r="AU13" s="508"/>
      <c r="AV13" s="506"/>
      <c r="AW13" s="507"/>
      <c r="AX13" s="506"/>
      <c r="AY13" s="510"/>
      <c r="AZ13" s="524" t="s">
        <v>511</v>
      </c>
      <c r="BA13" s="525" t="s">
        <v>1008</v>
      </c>
      <c r="BB13" s="526" t="s">
        <v>1032</v>
      </c>
      <c r="BC13" s="527" t="s">
        <v>1010</v>
      </c>
      <c r="BD13" s="518">
        <v>1</v>
      </c>
      <c r="BE13" s="518">
        <v>0</v>
      </c>
      <c r="BF13" s="519">
        <v>46091</v>
      </c>
      <c r="BG13" s="518">
        <v>0</v>
      </c>
      <c r="BH13" s="491">
        <f>COUNTA(R13:Z13)</f>
        <v>0</v>
      </c>
      <c r="BI13" s="492">
        <f>COUNTA(AB13:AO13)</f>
        <v>1</v>
      </c>
      <c r="BJ13" s="520" t="s">
        <v>1033</v>
      </c>
    </row>
    <row r="14" spans="1:64" s="521" customFormat="1" ht="12" customHeight="1" x14ac:dyDescent="0.15">
      <c r="A14" s="503"/>
      <c r="B14" s="496"/>
      <c r="C14" s="496"/>
      <c r="D14" s="496"/>
      <c r="E14" s="496"/>
      <c r="F14" s="496"/>
      <c r="G14" s="496"/>
      <c r="H14" s="496"/>
      <c r="I14" s="522"/>
      <c r="J14" s="499">
        <v>46098</v>
      </c>
      <c r="K14" s="500">
        <v>46127</v>
      </c>
      <c r="L14" s="500"/>
      <c r="M14" s="501" t="s">
        <v>1028</v>
      </c>
      <c r="N14" s="523"/>
      <c r="O14" s="523"/>
      <c r="P14" s="477">
        <v>46127</v>
      </c>
      <c r="Q14" s="478" t="s">
        <v>1006</v>
      </c>
      <c r="R14" s="507"/>
      <c r="S14" s="507"/>
      <c r="T14" s="505"/>
      <c r="U14" s="506"/>
      <c r="V14" s="507"/>
      <c r="W14" s="506"/>
      <c r="X14" s="507"/>
      <c r="Y14" s="508"/>
      <c r="Z14" s="506"/>
      <c r="AA14" s="476">
        <v>46122</v>
      </c>
      <c r="AB14" s="507"/>
      <c r="AC14" s="506"/>
      <c r="AD14" s="510"/>
      <c r="AE14" s="507"/>
      <c r="AF14" s="508"/>
      <c r="AG14" s="506"/>
      <c r="AH14" s="505"/>
      <c r="AI14" s="508"/>
      <c r="AJ14" s="508"/>
      <c r="AK14" s="506"/>
      <c r="AL14" s="507"/>
      <c r="AM14" s="508"/>
      <c r="AN14" s="508"/>
      <c r="AO14" s="484" t="s">
        <v>1034</v>
      </c>
      <c r="AP14" s="507"/>
      <c r="AQ14" s="508"/>
      <c r="AR14" s="508"/>
      <c r="AS14" s="508"/>
      <c r="AT14" s="508"/>
      <c r="AU14" s="508"/>
      <c r="AV14" s="506"/>
      <c r="AW14" s="507"/>
      <c r="AX14" s="506"/>
      <c r="AY14" s="510"/>
      <c r="AZ14" s="524" t="s">
        <v>504</v>
      </c>
      <c r="BA14" s="525" t="s">
        <v>1008</v>
      </c>
      <c r="BB14" s="526" t="s">
        <v>1035</v>
      </c>
      <c r="BC14" s="527" t="s">
        <v>1010</v>
      </c>
      <c r="BD14" s="518">
        <v>1</v>
      </c>
      <c r="BE14" s="518">
        <v>0</v>
      </c>
      <c r="BF14" s="519">
        <v>46091</v>
      </c>
      <c r="BG14" s="518">
        <v>0</v>
      </c>
      <c r="BH14" s="491">
        <f>COUNTA(R14:Z14)</f>
        <v>0</v>
      </c>
      <c r="BI14" s="492">
        <f>COUNTA(AB14:AO14)</f>
        <v>1</v>
      </c>
      <c r="BJ14" s="520" t="s">
        <v>1027</v>
      </c>
    </row>
    <row r="15" spans="1:64" s="521" customFormat="1" ht="12" customHeight="1" x14ac:dyDescent="0.15">
      <c r="A15" s="495">
        <v>21396</v>
      </c>
      <c r="B15" s="496"/>
      <c r="C15" s="496"/>
      <c r="D15" s="496"/>
      <c r="E15" s="496"/>
      <c r="F15" s="497">
        <v>1262</v>
      </c>
      <c r="G15" s="496"/>
      <c r="H15" s="496"/>
      <c r="I15" s="498" t="s">
        <v>199</v>
      </c>
      <c r="J15" s="499">
        <v>46118</v>
      </c>
      <c r="K15" s="500">
        <v>46128</v>
      </c>
      <c r="L15" s="500"/>
      <c r="M15" s="501" t="s">
        <v>1028</v>
      </c>
      <c r="N15" s="499">
        <v>46122</v>
      </c>
      <c r="O15" s="502">
        <v>46118</v>
      </c>
      <c r="P15" s="477">
        <v>46128</v>
      </c>
      <c r="Q15" s="503"/>
      <c r="R15" s="504" t="s">
        <v>1028</v>
      </c>
      <c r="S15" s="504" t="s">
        <v>1028</v>
      </c>
      <c r="T15" s="505"/>
      <c r="U15" s="506"/>
      <c r="V15" s="504" t="s">
        <v>1028</v>
      </c>
      <c r="W15" s="506"/>
      <c r="X15" s="507"/>
      <c r="Y15" s="528" t="s">
        <v>1028</v>
      </c>
      <c r="Z15" s="506"/>
      <c r="AA15" s="476">
        <v>46125</v>
      </c>
      <c r="AB15" s="507"/>
      <c r="AC15" s="484" t="s">
        <v>1028</v>
      </c>
      <c r="AD15" s="510"/>
      <c r="AE15" s="529" t="s">
        <v>1028</v>
      </c>
      <c r="AF15" s="508"/>
      <c r="AG15" s="506"/>
      <c r="AH15" s="530" t="s">
        <v>1028</v>
      </c>
      <c r="AI15" s="508"/>
      <c r="AJ15" s="508"/>
      <c r="AK15" s="506"/>
      <c r="AL15" s="529" t="s">
        <v>1028</v>
      </c>
      <c r="AM15" s="508"/>
      <c r="AN15" s="508"/>
      <c r="AO15" s="506"/>
      <c r="AP15" s="507"/>
      <c r="AQ15" s="508"/>
      <c r="AR15" s="508"/>
      <c r="AS15" s="508"/>
      <c r="AT15" s="531" t="s">
        <v>1028</v>
      </c>
      <c r="AU15" s="508"/>
      <c r="AV15" s="506"/>
      <c r="AW15" s="512" t="s">
        <v>1028</v>
      </c>
      <c r="AX15" s="506"/>
      <c r="AY15" s="513" t="s">
        <v>1028</v>
      </c>
      <c r="AZ15" s="514" t="s">
        <v>229</v>
      </c>
      <c r="BA15" s="515" t="s">
        <v>197</v>
      </c>
      <c r="BB15" s="516" t="s">
        <v>230</v>
      </c>
      <c r="BC15" s="517" t="s">
        <v>212</v>
      </c>
      <c r="BD15" s="518">
        <v>11</v>
      </c>
      <c r="BE15" s="518" t="str">
        <f>I15</f>
        <v>VU-LB112</v>
      </c>
      <c r="BF15" s="519">
        <f>P15</f>
        <v>46128</v>
      </c>
      <c r="BG15" s="518">
        <f>A15</f>
        <v>21396</v>
      </c>
      <c r="BH15" s="491">
        <f>COUNTA(R15:Z15)</f>
        <v>4</v>
      </c>
      <c r="BI15" s="492">
        <f>COUNTA(AB15:AO15)</f>
        <v>4</v>
      </c>
      <c r="BJ15" s="520"/>
    </row>
    <row r="16" spans="1:64" s="521" customFormat="1" ht="12" customHeight="1" x14ac:dyDescent="0.15">
      <c r="A16" s="495">
        <v>21397</v>
      </c>
      <c r="B16" s="496"/>
      <c r="C16" s="496"/>
      <c r="D16" s="496"/>
      <c r="E16" s="496"/>
      <c r="F16" s="497">
        <v>1263</v>
      </c>
      <c r="G16" s="496"/>
      <c r="H16" s="496"/>
      <c r="I16" s="498" t="s">
        <v>199</v>
      </c>
      <c r="J16" s="499">
        <v>46119</v>
      </c>
      <c r="K16" s="500">
        <v>46129</v>
      </c>
      <c r="L16" s="500"/>
      <c r="M16" s="501" t="s">
        <v>1028</v>
      </c>
      <c r="N16" s="499">
        <v>46125</v>
      </c>
      <c r="O16" s="502">
        <v>46119</v>
      </c>
      <c r="P16" s="477">
        <v>46129</v>
      </c>
      <c r="Q16" s="503"/>
      <c r="R16" s="504" t="s">
        <v>1028</v>
      </c>
      <c r="S16" s="504" t="s">
        <v>1028</v>
      </c>
      <c r="T16" s="505"/>
      <c r="U16" s="506"/>
      <c r="V16" s="504" t="s">
        <v>1028</v>
      </c>
      <c r="W16" s="506"/>
      <c r="X16" s="507"/>
      <c r="Y16" s="528" t="s">
        <v>1028</v>
      </c>
      <c r="Z16" s="506"/>
      <c r="AA16" s="476">
        <v>46126</v>
      </c>
      <c r="AB16" s="507"/>
      <c r="AC16" s="484" t="s">
        <v>1028</v>
      </c>
      <c r="AD16" s="510"/>
      <c r="AE16" s="529" t="s">
        <v>1028</v>
      </c>
      <c r="AF16" s="508"/>
      <c r="AG16" s="506"/>
      <c r="AH16" s="530" t="s">
        <v>1028</v>
      </c>
      <c r="AI16" s="508"/>
      <c r="AJ16" s="508"/>
      <c r="AK16" s="506"/>
      <c r="AL16" s="529" t="s">
        <v>1028</v>
      </c>
      <c r="AM16" s="508"/>
      <c r="AN16" s="508"/>
      <c r="AO16" s="506"/>
      <c r="AP16" s="507"/>
      <c r="AQ16" s="508"/>
      <c r="AR16" s="508"/>
      <c r="AS16" s="508"/>
      <c r="AT16" s="531" t="s">
        <v>1028</v>
      </c>
      <c r="AU16" s="508"/>
      <c r="AV16" s="506"/>
      <c r="AW16" s="512" t="s">
        <v>1028</v>
      </c>
      <c r="AX16" s="506"/>
      <c r="AY16" s="513" t="s">
        <v>1028</v>
      </c>
      <c r="AZ16" s="514" t="s">
        <v>232</v>
      </c>
      <c r="BA16" s="515" t="s">
        <v>197</v>
      </c>
      <c r="BB16" s="516" t="s">
        <v>230</v>
      </c>
      <c r="BC16" s="517" t="s">
        <v>214</v>
      </c>
      <c r="BD16" s="518">
        <v>11</v>
      </c>
      <c r="BE16" s="518" t="str">
        <f>I16</f>
        <v>VU-LB112</v>
      </c>
      <c r="BF16" s="519">
        <f>P16</f>
        <v>46129</v>
      </c>
      <c r="BG16" s="518">
        <f>A16</f>
        <v>21397</v>
      </c>
      <c r="BH16" s="491">
        <f>COUNTA(R16:Z16)</f>
        <v>4</v>
      </c>
      <c r="BI16" s="492">
        <f>COUNTA(AB16:AO16)</f>
        <v>4</v>
      </c>
      <c r="BJ16" s="520"/>
    </row>
    <row r="17" spans="1:62" s="521" customFormat="1" ht="12" customHeight="1" x14ac:dyDescent="0.15">
      <c r="A17" s="495">
        <v>21398</v>
      </c>
      <c r="B17" s="496"/>
      <c r="C17" s="496"/>
      <c r="D17" s="496"/>
      <c r="E17" s="496"/>
      <c r="F17" s="496"/>
      <c r="G17" s="496"/>
      <c r="H17" s="497">
        <v>3541</v>
      </c>
      <c r="I17" s="498" t="s">
        <v>162</v>
      </c>
      <c r="J17" s="499">
        <v>46114</v>
      </c>
      <c r="K17" s="500">
        <v>46129</v>
      </c>
      <c r="L17" s="500"/>
      <c r="M17" s="501" t="s">
        <v>1028</v>
      </c>
      <c r="N17" s="499">
        <v>46126</v>
      </c>
      <c r="O17" s="502">
        <v>46120</v>
      </c>
      <c r="P17" s="477">
        <v>46129</v>
      </c>
      <c r="Q17" s="503"/>
      <c r="R17" s="504" t="s">
        <v>1028</v>
      </c>
      <c r="S17" s="504" t="s">
        <v>1028</v>
      </c>
      <c r="T17" s="505"/>
      <c r="U17" s="506"/>
      <c r="V17" s="504" t="s">
        <v>1028</v>
      </c>
      <c r="W17" s="506"/>
      <c r="X17" s="507"/>
      <c r="Y17" s="508"/>
      <c r="Z17" s="509" t="s">
        <v>1028</v>
      </c>
      <c r="AA17" s="476">
        <v>46126</v>
      </c>
      <c r="AB17" s="507"/>
      <c r="AC17" s="484" t="s">
        <v>1028</v>
      </c>
      <c r="AD17" s="510"/>
      <c r="AE17" s="507"/>
      <c r="AF17" s="508"/>
      <c r="AG17" s="484" t="s">
        <v>1028</v>
      </c>
      <c r="AH17" s="505"/>
      <c r="AI17" s="508"/>
      <c r="AJ17" s="508"/>
      <c r="AK17" s="484" t="s">
        <v>1028</v>
      </c>
      <c r="AL17" s="507"/>
      <c r="AM17" s="508"/>
      <c r="AN17" s="508"/>
      <c r="AO17" s="484" t="s">
        <v>1028</v>
      </c>
      <c r="AP17" s="507"/>
      <c r="AQ17" s="508"/>
      <c r="AR17" s="508"/>
      <c r="AS17" s="508"/>
      <c r="AT17" s="508"/>
      <c r="AU17" s="508"/>
      <c r="AV17" s="511" t="s">
        <v>1028</v>
      </c>
      <c r="AW17" s="512" t="s">
        <v>1028</v>
      </c>
      <c r="AX17" s="506"/>
      <c r="AY17" s="513" t="s">
        <v>1028</v>
      </c>
      <c r="AZ17" s="514" t="s">
        <v>231</v>
      </c>
      <c r="BA17" s="515" t="s">
        <v>177</v>
      </c>
      <c r="BB17" s="516" t="s">
        <v>228</v>
      </c>
      <c r="BC17" s="517" t="s">
        <v>226</v>
      </c>
      <c r="BD17" s="518">
        <v>11</v>
      </c>
      <c r="BE17" s="518" t="str">
        <f>I17</f>
        <v>VU-LD091</v>
      </c>
      <c r="BF17" s="519">
        <f>P17</f>
        <v>46129</v>
      </c>
      <c r="BG17" s="518">
        <f>A17</f>
        <v>21398</v>
      </c>
      <c r="BH17" s="491">
        <f>COUNTA(R17:Z17)</f>
        <v>4</v>
      </c>
      <c r="BI17" s="492">
        <f>COUNTA(AB17:AO17)</f>
        <v>4</v>
      </c>
      <c r="BJ17" s="520"/>
    </row>
    <row r="18" spans="1:62" s="521" customFormat="1" ht="12" customHeight="1" x14ac:dyDescent="0.15">
      <c r="A18" s="495">
        <v>21399</v>
      </c>
      <c r="B18" s="496"/>
      <c r="C18" s="496"/>
      <c r="D18" s="496"/>
      <c r="E18" s="496"/>
      <c r="F18" s="497">
        <v>1264</v>
      </c>
      <c r="G18" s="496"/>
      <c r="H18" s="496"/>
      <c r="I18" s="498" t="s">
        <v>199</v>
      </c>
      <c r="J18" s="499">
        <v>46120</v>
      </c>
      <c r="K18" s="500">
        <v>46132</v>
      </c>
      <c r="L18" s="500"/>
      <c r="M18" s="501" t="s">
        <v>1028</v>
      </c>
      <c r="N18" s="499">
        <v>46127</v>
      </c>
      <c r="O18" s="502">
        <v>46121</v>
      </c>
      <c r="P18" s="477">
        <v>46132</v>
      </c>
      <c r="Q18" s="503"/>
      <c r="R18" s="504" t="s">
        <v>1028</v>
      </c>
      <c r="S18" s="504" t="s">
        <v>1028</v>
      </c>
      <c r="T18" s="505"/>
      <c r="U18" s="506"/>
      <c r="V18" s="504" t="s">
        <v>1028</v>
      </c>
      <c r="W18" s="506"/>
      <c r="X18" s="507"/>
      <c r="Y18" s="528" t="s">
        <v>1028</v>
      </c>
      <c r="Z18" s="506"/>
      <c r="AA18" s="476">
        <v>46127</v>
      </c>
      <c r="AB18" s="507"/>
      <c r="AC18" s="484" t="s">
        <v>1028</v>
      </c>
      <c r="AD18" s="510"/>
      <c r="AE18" s="529" t="s">
        <v>1028</v>
      </c>
      <c r="AF18" s="508"/>
      <c r="AG18" s="506"/>
      <c r="AH18" s="530" t="s">
        <v>1028</v>
      </c>
      <c r="AI18" s="508"/>
      <c r="AJ18" s="508"/>
      <c r="AK18" s="506"/>
      <c r="AL18" s="529" t="s">
        <v>1028</v>
      </c>
      <c r="AM18" s="508"/>
      <c r="AN18" s="508"/>
      <c r="AO18" s="506"/>
      <c r="AP18" s="507"/>
      <c r="AQ18" s="508"/>
      <c r="AR18" s="508"/>
      <c r="AS18" s="508"/>
      <c r="AT18" s="531" t="s">
        <v>1028</v>
      </c>
      <c r="AU18" s="508"/>
      <c r="AV18" s="506"/>
      <c r="AW18" s="512" t="s">
        <v>1028</v>
      </c>
      <c r="AX18" s="506"/>
      <c r="AY18" s="513" t="s">
        <v>1028</v>
      </c>
      <c r="AZ18" s="514" t="s">
        <v>241</v>
      </c>
      <c r="BA18" s="515" t="s">
        <v>197</v>
      </c>
      <c r="BB18" s="516" t="s">
        <v>242</v>
      </c>
      <c r="BC18" s="517"/>
      <c r="BD18" s="518">
        <v>11</v>
      </c>
      <c r="BE18" s="518" t="str">
        <f>I18</f>
        <v>VU-LB112</v>
      </c>
      <c r="BF18" s="519">
        <f>P18</f>
        <v>46132</v>
      </c>
      <c r="BG18" s="518">
        <f>A18</f>
        <v>21399</v>
      </c>
      <c r="BH18" s="491">
        <f>COUNTA(R18:Z18)</f>
        <v>4</v>
      </c>
      <c r="BI18" s="492">
        <f>COUNTA(AB18:AO18)</f>
        <v>4</v>
      </c>
      <c r="BJ18" s="520"/>
    </row>
    <row r="19" spans="1:62" s="521" customFormat="1" ht="12" customHeight="1" x14ac:dyDescent="0.15">
      <c r="A19" s="495">
        <v>21400</v>
      </c>
      <c r="B19" s="496"/>
      <c r="C19" s="496"/>
      <c r="D19" s="496"/>
      <c r="E19" s="496"/>
      <c r="F19" s="497">
        <v>1265</v>
      </c>
      <c r="G19" s="496"/>
      <c r="H19" s="496"/>
      <c r="I19" s="498" t="s">
        <v>199</v>
      </c>
      <c r="J19" s="499">
        <v>46115</v>
      </c>
      <c r="K19" s="500">
        <v>46132</v>
      </c>
      <c r="L19" s="500"/>
      <c r="M19" s="501" t="s">
        <v>1028</v>
      </c>
      <c r="N19" s="499">
        <v>46128</v>
      </c>
      <c r="O19" s="502">
        <v>46122</v>
      </c>
      <c r="P19" s="477">
        <v>46132</v>
      </c>
      <c r="Q19" s="503"/>
      <c r="R19" s="504" t="s">
        <v>1028</v>
      </c>
      <c r="S19" s="504" t="s">
        <v>1028</v>
      </c>
      <c r="T19" s="505"/>
      <c r="U19" s="506"/>
      <c r="V19" s="504" t="s">
        <v>1028</v>
      </c>
      <c r="W19" s="506"/>
      <c r="X19" s="507"/>
      <c r="Y19" s="528" t="s">
        <v>1028</v>
      </c>
      <c r="Z19" s="506"/>
      <c r="AA19" s="476">
        <v>46127</v>
      </c>
      <c r="AB19" s="507"/>
      <c r="AC19" s="484" t="s">
        <v>1028</v>
      </c>
      <c r="AD19" s="510"/>
      <c r="AE19" s="529" t="s">
        <v>1028</v>
      </c>
      <c r="AF19" s="508"/>
      <c r="AG19" s="506"/>
      <c r="AH19" s="530" t="s">
        <v>1028</v>
      </c>
      <c r="AI19" s="508"/>
      <c r="AJ19" s="508"/>
      <c r="AK19" s="506"/>
      <c r="AL19" s="529" t="s">
        <v>1028</v>
      </c>
      <c r="AM19" s="508"/>
      <c r="AN19" s="508"/>
      <c r="AO19" s="506"/>
      <c r="AP19" s="507"/>
      <c r="AQ19" s="508"/>
      <c r="AR19" s="508"/>
      <c r="AS19" s="508"/>
      <c r="AT19" s="531" t="s">
        <v>1028</v>
      </c>
      <c r="AU19" s="508"/>
      <c r="AV19" s="506"/>
      <c r="AW19" s="512" t="s">
        <v>1028</v>
      </c>
      <c r="AX19" s="506"/>
      <c r="AY19" s="513" t="s">
        <v>1028</v>
      </c>
      <c r="AZ19" s="514" t="s">
        <v>239</v>
      </c>
      <c r="BA19" s="515" t="s">
        <v>197</v>
      </c>
      <c r="BB19" s="516" t="s">
        <v>234</v>
      </c>
      <c r="BC19" s="517" t="s">
        <v>240</v>
      </c>
      <c r="BD19" s="518">
        <v>11</v>
      </c>
      <c r="BE19" s="518" t="str">
        <f>I19</f>
        <v>VU-LB112</v>
      </c>
      <c r="BF19" s="519">
        <f>P19</f>
        <v>46132</v>
      </c>
      <c r="BG19" s="518">
        <f>A19</f>
        <v>21400</v>
      </c>
      <c r="BH19" s="491">
        <f>COUNTA(R19:Z19)</f>
        <v>4</v>
      </c>
      <c r="BI19" s="492">
        <f>COUNTA(AB19:AO19)</f>
        <v>4</v>
      </c>
      <c r="BJ19" s="520"/>
    </row>
    <row r="20" spans="1:62" s="521" customFormat="1" ht="12" customHeight="1" x14ac:dyDescent="0.15">
      <c r="A20" s="495">
        <v>21401</v>
      </c>
      <c r="B20" s="496"/>
      <c r="C20" s="496"/>
      <c r="D20" s="496"/>
      <c r="E20" s="496"/>
      <c r="F20" s="497">
        <v>1266</v>
      </c>
      <c r="G20" s="496"/>
      <c r="H20" s="496"/>
      <c r="I20" s="498" t="s">
        <v>199</v>
      </c>
      <c r="J20" s="499">
        <v>46115</v>
      </c>
      <c r="K20" s="500">
        <v>46132</v>
      </c>
      <c r="L20" s="500"/>
      <c r="M20" s="501" t="s">
        <v>1028</v>
      </c>
      <c r="N20" s="499">
        <v>46129</v>
      </c>
      <c r="O20" s="502">
        <v>46125</v>
      </c>
      <c r="P20" s="477">
        <v>46132</v>
      </c>
      <c r="Q20" s="503"/>
      <c r="R20" s="504" t="s">
        <v>1028</v>
      </c>
      <c r="S20" s="504" t="s">
        <v>1028</v>
      </c>
      <c r="T20" s="505"/>
      <c r="U20" s="506"/>
      <c r="V20" s="504" t="s">
        <v>1028</v>
      </c>
      <c r="W20" s="506"/>
      <c r="X20" s="507"/>
      <c r="Y20" s="528" t="s">
        <v>1028</v>
      </c>
      <c r="Z20" s="506"/>
      <c r="AA20" s="476">
        <v>46127</v>
      </c>
      <c r="AB20" s="507"/>
      <c r="AC20" s="484" t="s">
        <v>1028</v>
      </c>
      <c r="AD20" s="510"/>
      <c r="AE20" s="529" t="s">
        <v>1028</v>
      </c>
      <c r="AF20" s="508"/>
      <c r="AG20" s="506"/>
      <c r="AH20" s="530" t="s">
        <v>1028</v>
      </c>
      <c r="AI20" s="508"/>
      <c r="AJ20" s="508"/>
      <c r="AK20" s="506"/>
      <c r="AL20" s="529" t="s">
        <v>1028</v>
      </c>
      <c r="AM20" s="508"/>
      <c r="AN20" s="508"/>
      <c r="AO20" s="506"/>
      <c r="AP20" s="507"/>
      <c r="AQ20" s="508"/>
      <c r="AR20" s="508"/>
      <c r="AS20" s="508"/>
      <c r="AT20" s="531" t="s">
        <v>1028</v>
      </c>
      <c r="AU20" s="508"/>
      <c r="AV20" s="506"/>
      <c r="AW20" s="512" t="s">
        <v>1028</v>
      </c>
      <c r="AX20" s="506"/>
      <c r="AY20" s="513" t="s">
        <v>1028</v>
      </c>
      <c r="AZ20" s="514" t="s">
        <v>233</v>
      </c>
      <c r="BA20" s="515" t="s">
        <v>197</v>
      </c>
      <c r="BB20" s="516" t="s">
        <v>234</v>
      </c>
      <c r="BC20" s="517" t="s">
        <v>235</v>
      </c>
      <c r="BD20" s="518">
        <v>11</v>
      </c>
      <c r="BE20" s="518" t="str">
        <f>I20</f>
        <v>VU-LB112</v>
      </c>
      <c r="BF20" s="519">
        <f>P20</f>
        <v>46132</v>
      </c>
      <c r="BG20" s="518">
        <f>A20</f>
        <v>21401</v>
      </c>
      <c r="BH20" s="491">
        <f>COUNTA(R20:Z20)</f>
        <v>4</v>
      </c>
      <c r="BI20" s="492">
        <f>COUNTA(AB20:AO20)</f>
        <v>4</v>
      </c>
      <c r="BJ20" s="520"/>
    </row>
    <row r="21" spans="1:62" s="521" customFormat="1" ht="12" customHeight="1" x14ac:dyDescent="0.15">
      <c r="A21" s="495">
        <v>21402</v>
      </c>
      <c r="B21" s="496"/>
      <c r="C21" s="496"/>
      <c r="D21" s="496"/>
      <c r="E21" s="496"/>
      <c r="F21" s="497">
        <v>1267</v>
      </c>
      <c r="G21" s="496"/>
      <c r="H21" s="496"/>
      <c r="I21" s="498" t="s">
        <v>199</v>
      </c>
      <c r="J21" s="499">
        <v>46121</v>
      </c>
      <c r="K21" s="500">
        <v>46133</v>
      </c>
      <c r="L21" s="500"/>
      <c r="M21" s="501" t="s">
        <v>1028</v>
      </c>
      <c r="N21" s="499">
        <v>46132</v>
      </c>
      <c r="O21" s="502">
        <v>46126</v>
      </c>
      <c r="P21" s="477">
        <v>46133</v>
      </c>
      <c r="Q21" s="503"/>
      <c r="R21" s="504" t="s">
        <v>1028</v>
      </c>
      <c r="S21" s="504" t="s">
        <v>1028</v>
      </c>
      <c r="T21" s="505"/>
      <c r="U21" s="506"/>
      <c r="V21" s="504" t="s">
        <v>1028</v>
      </c>
      <c r="W21" s="506"/>
      <c r="X21" s="507"/>
      <c r="Y21" s="528" t="s">
        <v>1028</v>
      </c>
      <c r="Z21" s="506"/>
      <c r="AA21" s="476">
        <v>46128</v>
      </c>
      <c r="AB21" s="507"/>
      <c r="AC21" s="484" t="s">
        <v>1028</v>
      </c>
      <c r="AD21" s="510"/>
      <c r="AE21" s="529" t="s">
        <v>1028</v>
      </c>
      <c r="AF21" s="508"/>
      <c r="AG21" s="506"/>
      <c r="AH21" s="530" t="s">
        <v>1028</v>
      </c>
      <c r="AI21" s="508"/>
      <c r="AJ21" s="508"/>
      <c r="AK21" s="506"/>
      <c r="AL21" s="529" t="s">
        <v>1028</v>
      </c>
      <c r="AM21" s="508"/>
      <c r="AN21" s="508"/>
      <c r="AO21" s="506"/>
      <c r="AP21" s="507"/>
      <c r="AQ21" s="508"/>
      <c r="AR21" s="508"/>
      <c r="AS21" s="508"/>
      <c r="AT21" s="531" t="s">
        <v>1028</v>
      </c>
      <c r="AU21" s="508"/>
      <c r="AV21" s="506"/>
      <c r="AW21" s="512" t="s">
        <v>1028</v>
      </c>
      <c r="AX21" s="506"/>
      <c r="AY21" s="513" t="s">
        <v>1028</v>
      </c>
      <c r="AZ21" s="514" t="s">
        <v>243</v>
      </c>
      <c r="BA21" s="515" t="s">
        <v>197</v>
      </c>
      <c r="BB21" s="516" t="s">
        <v>244</v>
      </c>
      <c r="BC21" s="517"/>
      <c r="BD21" s="518">
        <v>11</v>
      </c>
      <c r="BE21" s="518" t="str">
        <f>I21</f>
        <v>VU-LB112</v>
      </c>
      <c r="BF21" s="519">
        <f>P21</f>
        <v>46133</v>
      </c>
      <c r="BG21" s="518">
        <f>A21</f>
        <v>21402</v>
      </c>
      <c r="BH21" s="491">
        <f>COUNTA(R21:Z21)</f>
        <v>4</v>
      </c>
      <c r="BI21" s="492">
        <f>COUNTA(AB21:AO21)</f>
        <v>4</v>
      </c>
      <c r="BJ21" s="520"/>
    </row>
    <row r="22" spans="1:62" s="521" customFormat="1" ht="12" customHeight="1" x14ac:dyDescent="0.15">
      <c r="A22" s="495">
        <v>21403</v>
      </c>
      <c r="B22" s="496"/>
      <c r="C22" s="496"/>
      <c r="D22" s="496"/>
      <c r="E22" s="496"/>
      <c r="F22" s="497">
        <v>1268</v>
      </c>
      <c r="G22" s="496"/>
      <c r="H22" s="496"/>
      <c r="I22" s="498" t="s">
        <v>199</v>
      </c>
      <c r="J22" s="499">
        <v>46120</v>
      </c>
      <c r="K22" s="500">
        <v>46135</v>
      </c>
      <c r="L22" s="500"/>
      <c r="M22" s="501" t="s">
        <v>1028</v>
      </c>
      <c r="N22" s="499">
        <v>46133</v>
      </c>
      <c r="O22" s="502">
        <v>46127</v>
      </c>
      <c r="P22" s="477">
        <v>46135</v>
      </c>
      <c r="Q22" s="503"/>
      <c r="R22" s="504" t="s">
        <v>1028</v>
      </c>
      <c r="S22" s="504" t="s">
        <v>1028</v>
      </c>
      <c r="T22" s="505"/>
      <c r="U22" s="506"/>
      <c r="V22" s="504" t="s">
        <v>1028</v>
      </c>
      <c r="W22" s="506"/>
      <c r="X22" s="507"/>
      <c r="Y22" s="528" t="s">
        <v>1028</v>
      </c>
      <c r="Z22" s="506"/>
      <c r="AA22" s="476">
        <v>46132</v>
      </c>
      <c r="AB22" s="507"/>
      <c r="AC22" s="484" t="s">
        <v>1028</v>
      </c>
      <c r="AD22" s="510"/>
      <c r="AE22" s="529" t="s">
        <v>1028</v>
      </c>
      <c r="AF22" s="508"/>
      <c r="AG22" s="506"/>
      <c r="AH22" s="530" t="s">
        <v>1028</v>
      </c>
      <c r="AI22" s="508"/>
      <c r="AJ22" s="508"/>
      <c r="AK22" s="506"/>
      <c r="AL22" s="529" t="s">
        <v>1028</v>
      </c>
      <c r="AM22" s="508"/>
      <c r="AN22" s="508"/>
      <c r="AO22" s="506"/>
      <c r="AP22" s="507"/>
      <c r="AQ22" s="508"/>
      <c r="AR22" s="508"/>
      <c r="AS22" s="508"/>
      <c r="AT22" s="531" t="s">
        <v>1028</v>
      </c>
      <c r="AU22" s="508"/>
      <c r="AV22" s="506"/>
      <c r="AW22" s="512" t="s">
        <v>1028</v>
      </c>
      <c r="AX22" s="506"/>
      <c r="AY22" s="513" t="s">
        <v>1028</v>
      </c>
      <c r="AZ22" s="514" t="s">
        <v>245</v>
      </c>
      <c r="BA22" s="515" t="s">
        <v>197</v>
      </c>
      <c r="BB22" s="516" t="s">
        <v>246</v>
      </c>
      <c r="BC22" s="517"/>
      <c r="BD22" s="518">
        <v>11</v>
      </c>
      <c r="BE22" s="518" t="str">
        <f>I22</f>
        <v>VU-LB112</v>
      </c>
      <c r="BF22" s="519">
        <f>P22</f>
        <v>46135</v>
      </c>
      <c r="BG22" s="518">
        <f>A22</f>
        <v>21403</v>
      </c>
      <c r="BH22" s="491">
        <f>COUNTA(R22:Z22)</f>
        <v>4</v>
      </c>
      <c r="BI22" s="492">
        <f>COUNTA(AB22:AO22)</f>
        <v>4</v>
      </c>
      <c r="BJ22" s="520"/>
    </row>
    <row r="23" spans="1:62" s="521" customFormat="1" ht="12" customHeight="1" x14ac:dyDescent="0.15">
      <c r="A23" s="495">
        <v>21404</v>
      </c>
      <c r="B23" s="496"/>
      <c r="C23" s="496"/>
      <c r="D23" s="496"/>
      <c r="E23" s="496"/>
      <c r="F23" s="497">
        <v>1269</v>
      </c>
      <c r="G23" s="496"/>
      <c r="H23" s="496"/>
      <c r="I23" s="498" t="s">
        <v>199</v>
      </c>
      <c r="J23" s="499">
        <v>46132</v>
      </c>
      <c r="K23" s="500">
        <v>46150</v>
      </c>
      <c r="L23" s="500"/>
      <c r="M23" s="501" t="s">
        <v>1028</v>
      </c>
      <c r="N23" s="499">
        <v>46133</v>
      </c>
      <c r="O23" s="502">
        <v>46127</v>
      </c>
      <c r="P23" s="477">
        <v>46150</v>
      </c>
      <c r="Q23" s="503"/>
      <c r="R23" s="504" t="s">
        <v>1028</v>
      </c>
      <c r="S23" s="504" t="s">
        <v>1028</v>
      </c>
      <c r="T23" s="505"/>
      <c r="U23" s="506"/>
      <c r="V23" s="504" t="s">
        <v>1028</v>
      </c>
      <c r="W23" s="506"/>
      <c r="X23" s="507"/>
      <c r="Y23" s="528" t="s">
        <v>1028</v>
      </c>
      <c r="Z23" s="506"/>
      <c r="AA23" s="476">
        <v>46139</v>
      </c>
      <c r="AB23" s="507"/>
      <c r="AC23" s="484" t="s">
        <v>1028</v>
      </c>
      <c r="AD23" s="510"/>
      <c r="AE23" s="529" t="s">
        <v>1028</v>
      </c>
      <c r="AF23" s="508"/>
      <c r="AG23" s="506"/>
      <c r="AH23" s="530" t="s">
        <v>1028</v>
      </c>
      <c r="AI23" s="508"/>
      <c r="AJ23" s="508"/>
      <c r="AK23" s="506"/>
      <c r="AL23" s="529" t="s">
        <v>1028</v>
      </c>
      <c r="AM23" s="508"/>
      <c r="AN23" s="508"/>
      <c r="AO23" s="506"/>
      <c r="AP23" s="507"/>
      <c r="AQ23" s="508"/>
      <c r="AR23" s="508"/>
      <c r="AS23" s="508"/>
      <c r="AT23" s="531" t="s">
        <v>1028</v>
      </c>
      <c r="AU23" s="508"/>
      <c r="AV23" s="506"/>
      <c r="AW23" s="512" t="s">
        <v>1028</v>
      </c>
      <c r="AX23" s="506"/>
      <c r="AY23" s="513" t="s">
        <v>1028</v>
      </c>
      <c r="AZ23" s="514" t="s">
        <v>249</v>
      </c>
      <c r="BA23" s="515" t="s">
        <v>197</v>
      </c>
      <c r="BB23" s="516" t="s">
        <v>250</v>
      </c>
      <c r="BC23" s="517"/>
      <c r="BD23" s="518">
        <v>11</v>
      </c>
      <c r="BE23" s="518" t="str">
        <f>I23</f>
        <v>VU-LB112</v>
      </c>
      <c r="BF23" s="519">
        <f>P23</f>
        <v>46150</v>
      </c>
      <c r="BG23" s="518">
        <f>A23</f>
        <v>21404</v>
      </c>
      <c r="BH23" s="491">
        <f>COUNTA(R23:Z23)</f>
        <v>4</v>
      </c>
      <c r="BI23" s="492">
        <f>COUNTA(AB23:AO23)</f>
        <v>4</v>
      </c>
      <c r="BJ23" s="520"/>
    </row>
    <row r="24" spans="1:62" s="521" customFormat="1" ht="12" customHeight="1" x14ac:dyDescent="0.15">
      <c r="A24" s="495">
        <v>21405</v>
      </c>
      <c r="B24" s="496"/>
      <c r="C24" s="496"/>
      <c r="D24" s="496"/>
      <c r="E24" s="496"/>
      <c r="F24" s="497">
        <v>1270</v>
      </c>
      <c r="G24" s="496"/>
      <c r="H24" s="496"/>
      <c r="I24" s="498" t="s">
        <v>199</v>
      </c>
      <c r="J24" s="499">
        <v>46132</v>
      </c>
      <c r="K24" s="500">
        <v>46150</v>
      </c>
      <c r="L24" s="500"/>
      <c r="M24" s="501" t="s">
        <v>1028</v>
      </c>
      <c r="N24" s="499">
        <v>46134</v>
      </c>
      <c r="O24" s="502">
        <v>46128</v>
      </c>
      <c r="P24" s="477">
        <v>46150</v>
      </c>
      <c r="Q24" s="503"/>
      <c r="R24" s="504" t="s">
        <v>1028</v>
      </c>
      <c r="S24" s="504" t="s">
        <v>1028</v>
      </c>
      <c r="T24" s="505"/>
      <c r="U24" s="506"/>
      <c r="V24" s="504" t="s">
        <v>1028</v>
      </c>
      <c r="W24" s="506"/>
      <c r="X24" s="507"/>
      <c r="Y24" s="528" t="s">
        <v>1028</v>
      </c>
      <c r="Z24" s="506"/>
      <c r="AA24" s="476">
        <v>46139</v>
      </c>
      <c r="AB24" s="507"/>
      <c r="AC24" s="484" t="s">
        <v>1028</v>
      </c>
      <c r="AD24" s="510"/>
      <c r="AE24" s="529" t="s">
        <v>1028</v>
      </c>
      <c r="AF24" s="508"/>
      <c r="AG24" s="506"/>
      <c r="AH24" s="530" t="s">
        <v>1028</v>
      </c>
      <c r="AI24" s="508"/>
      <c r="AJ24" s="508"/>
      <c r="AK24" s="506"/>
      <c r="AL24" s="529" t="s">
        <v>1028</v>
      </c>
      <c r="AM24" s="508"/>
      <c r="AN24" s="508"/>
      <c r="AO24" s="506"/>
      <c r="AP24" s="507"/>
      <c r="AQ24" s="508"/>
      <c r="AR24" s="508"/>
      <c r="AS24" s="508"/>
      <c r="AT24" s="531" t="s">
        <v>1028</v>
      </c>
      <c r="AU24" s="508"/>
      <c r="AV24" s="506"/>
      <c r="AW24" s="512" t="s">
        <v>1028</v>
      </c>
      <c r="AX24" s="506"/>
      <c r="AY24" s="513" t="s">
        <v>1028</v>
      </c>
      <c r="AZ24" s="514" t="s">
        <v>253</v>
      </c>
      <c r="BA24" s="515" t="s">
        <v>197</v>
      </c>
      <c r="BB24" s="516" t="s">
        <v>254</v>
      </c>
      <c r="BC24" s="517" t="s">
        <v>214</v>
      </c>
      <c r="BD24" s="518">
        <v>11</v>
      </c>
      <c r="BE24" s="518" t="str">
        <f>I24</f>
        <v>VU-LB112</v>
      </c>
      <c r="BF24" s="519">
        <f>P24</f>
        <v>46150</v>
      </c>
      <c r="BG24" s="518">
        <f>A24</f>
        <v>21405</v>
      </c>
      <c r="BH24" s="491">
        <f>COUNTA(R24:Z24)</f>
        <v>4</v>
      </c>
      <c r="BI24" s="492">
        <f>COUNTA(AB24:AO24)</f>
        <v>4</v>
      </c>
      <c r="BJ24" s="520"/>
    </row>
    <row r="25" spans="1:62" s="521" customFormat="1" ht="12" customHeight="1" x14ac:dyDescent="0.15">
      <c r="A25" s="495">
        <v>21406</v>
      </c>
      <c r="B25" s="496"/>
      <c r="C25" s="496"/>
      <c r="D25" s="496"/>
      <c r="E25" s="496"/>
      <c r="F25" s="497">
        <v>1271</v>
      </c>
      <c r="G25" s="496"/>
      <c r="H25" s="496"/>
      <c r="I25" s="498" t="s">
        <v>199</v>
      </c>
      <c r="J25" s="499">
        <v>46132</v>
      </c>
      <c r="K25" s="500">
        <v>46150</v>
      </c>
      <c r="L25" s="500"/>
      <c r="M25" s="501" t="s">
        <v>1028</v>
      </c>
      <c r="N25" s="499">
        <v>46134</v>
      </c>
      <c r="O25" s="502">
        <v>46128</v>
      </c>
      <c r="P25" s="477">
        <v>46150</v>
      </c>
      <c r="Q25" s="503"/>
      <c r="R25" s="504" t="s">
        <v>1028</v>
      </c>
      <c r="S25" s="504" t="s">
        <v>1028</v>
      </c>
      <c r="T25" s="505"/>
      <c r="U25" s="506"/>
      <c r="V25" s="504" t="s">
        <v>1028</v>
      </c>
      <c r="W25" s="506"/>
      <c r="X25" s="507"/>
      <c r="Y25" s="528" t="s">
        <v>1028</v>
      </c>
      <c r="Z25" s="506"/>
      <c r="AA25" s="476">
        <v>46139</v>
      </c>
      <c r="AB25" s="507"/>
      <c r="AC25" s="484" t="s">
        <v>1028</v>
      </c>
      <c r="AD25" s="510"/>
      <c r="AE25" s="529" t="s">
        <v>1028</v>
      </c>
      <c r="AF25" s="508"/>
      <c r="AG25" s="506"/>
      <c r="AH25" s="530" t="s">
        <v>1028</v>
      </c>
      <c r="AI25" s="508"/>
      <c r="AJ25" s="508"/>
      <c r="AK25" s="506"/>
      <c r="AL25" s="529" t="s">
        <v>1028</v>
      </c>
      <c r="AM25" s="508"/>
      <c r="AN25" s="508"/>
      <c r="AO25" s="506"/>
      <c r="AP25" s="507"/>
      <c r="AQ25" s="508"/>
      <c r="AR25" s="508"/>
      <c r="AS25" s="508"/>
      <c r="AT25" s="531" t="s">
        <v>1028</v>
      </c>
      <c r="AU25" s="508"/>
      <c r="AV25" s="506"/>
      <c r="AW25" s="512" t="s">
        <v>1028</v>
      </c>
      <c r="AX25" s="506"/>
      <c r="AY25" s="513" t="s">
        <v>1028</v>
      </c>
      <c r="AZ25" s="514" t="s">
        <v>251</v>
      </c>
      <c r="BA25" s="515" t="s">
        <v>197</v>
      </c>
      <c r="BB25" s="516" t="s">
        <v>252</v>
      </c>
      <c r="BC25" s="517" t="s">
        <v>214</v>
      </c>
      <c r="BD25" s="518">
        <v>11</v>
      </c>
      <c r="BE25" s="518" t="str">
        <f>I25</f>
        <v>VU-LB112</v>
      </c>
      <c r="BF25" s="519">
        <f>P25</f>
        <v>46150</v>
      </c>
      <c r="BG25" s="518">
        <f>A25</f>
        <v>21406</v>
      </c>
      <c r="BH25" s="491">
        <f>COUNTA(R25:Z25)</f>
        <v>4</v>
      </c>
      <c r="BI25" s="492">
        <f>COUNTA(AB25:AO25)</f>
        <v>4</v>
      </c>
      <c r="BJ25" s="520"/>
    </row>
    <row r="26" spans="1:62" s="521" customFormat="1" ht="12" customHeight="1" x14ac:dyDescent="0.15">
      <c r="A26" s="495">
        <v>21407</v>
      </c>
      <c r="B26" s="496"/>
      <c r="C26" s="496"/>
      <c r="D26" s="496"/>
      <c r="E26" s="497">
        <v>8234</v>
      </c>
      <c r="F26" s="496"/>
      <c r="G26" s="496"/>
      <c r="H26" s="496"/>
      <c r="I26" s="498" t="s">
        <v>256</v>
      </c>
      <c r="J26" s="499">
        <v>46133</v>
      </c>
      <c r="K26" s="500">
        <v>46153</v>
      </c>
      <c r="L26" s="500"/>
      <c r="M26" s="501" t="s">
        <v>1028</v>
      </c>
      <c r="N26" s="499">
        <v>46135</v>
      </c>
      <c r="O26" s="502">
        <v>46129</v>
      </c>
      <c r="P26" s="477">
        <v>46153</v>
      </c>
      <c r="Q26" s="503"/>
      <c r="R26" s="504" t="s">
        <v>1028</v>
      </c>
      <c r="S26" s="504" t="s">
        <v>1028</v>
      </c>
      <c r="T26" s="505"/>
      <c r="U26" s="506"/>
      <c r="V26" s="504" t="s">
        <v>1028</v>
      </c>
      <c r="W26" s="506"/>
      <c r="X26" s="504" t="s">
        <v>1028</v>
      </c>
      <c r="Y26" s="508"/>
      <c r="Z26" s="506"/>
      <c r="AA26" s="476">
        <v>46140</v>
      </c>
      <c r="AB26" s="507"/>
      <c r="AC26" s="506"/>
      <c r="AD26" s="532" t="s">
        <v>1028</v>
      </c>
      <c r="AE26" s="529" t="s">
        <v>1028</v>
      </c>
      <c r="AF26" s="508"/>
      <c r="AG26" s="506"/>
      <c r="AH26" s="530" t="s">
        <v>1028</v>
      </c>
      <c r="AI26" s="508"/>
      <c r="AJ26" s="508"/>
      <c r="AK26" s="506"/>
      <c r="AL26" s="529" t="s">
        <v>1028</v>
      </c>
      <c r="AM26" s="508"/>
      <c r="AN26" s="508"/>
      <c r="AO26" s="506"/>
      <c r="AP26" s="507"/>
      <c r="AQ26" s="508"/>
      <c r="AR26" s="508"/>
      <c r="AS26" s="531" t="s">
        <v>1028</v>
      </c>
      <c r="AT26" s="508"/>
      <c r="AU26" s="508"/>
      <c r="AV26" s="506"/>
      <c r="AW26" s="512" t="s">
        <v>1028</v>
      </c>
      <c r="AX26" s="506"/>
      <c r="AY26" s="513" t="s">
        <v>1028</v>
      </c>
      <c r="AZ26" s="514" t="s">
        <v>259</v>
      </c>
      <c r="BA26" s="515" t="s">
        <v>138</v>
      </c>
      <c r="BB26" s="516"/>
      <c r="BC26" s="517" t="s">
        <v>256</v>
      </c>
      <c r="BD26" s="518">
        <v>11</v>
      </c>
      <c r="BE26" s="518" t="str">
        <f>I26</f>
        <v>VU-LA004</v>
      </c>
      <c r="BF26" s="519">
        <f>P26</f>
        <v>46153</v>
      </c>
      <c r="BG26" s="518">
        <f>A26</f>
        <v>21407</v>
      </c>
      <c r="BH26" s="491">
        <f>COUNTA(R26:Z26)</f>
        <v>4</v>
      </c>
      <c r="BI26" s="492">
        <f>COUNTA(AB26:AO26)</f>
        <v>4</v>
      </c>
      <c r="BJ26" s="520"/>
    </row>
    <row r="27" spans="1:62" s="521" customFormat="1" ht="12" customHeight="1" x14ac:dyDescent="0.15">
      <c r="A27" s="495">
        <v>21408</v>
      </c>
      <c r="B27" s="496"/>
      <c r="C27" s="496"/>
      <c r="D27" s="496"/>
      <c r="E27" s="497">
        <v>8235</v>
      </c>
      <c r="F27" s="496"/>
      <c r="G27" s="496"/>
      <c r="H27" s="496"/>
      <c r="I27" s="498" t="s">
        <v>256</v>
      </c>
      <c r="J27" s="499">
        <v>46133</v>
      </c>
      <c r="K27" s="500">
        <v>46153</v>
      </c>
      <c r="L27" s="500"/>
      <c r="M27" s="501" t="s">
        <v>1028</v>
      </c>
      <c r="N27" s="499">
        <v>46135</v>
      </c>
      <c r="O27" s="502">
        <v>46129</v>
      </c>
      <c r="P27" s="477">
        <v>46153</v>
      </c>
      <c r="Q27" s="503"/>
      <c r="R27" s="504" t="s">
        <v>1028</v>
      </c>
      <c r="S27" s="504" t="s">
        <v>1028</v>
      </c>
      <c r="T27" s="505"/>
      <c r="U27" s="506"/>
      <c r="V27" s="504" t="s">
        <v>1028</v>
      </c>
      <c r="W27" s="506"/>
      <c r="X27" s="504" t="s">
        <v>1028</v>
      </c>
      <c r="Y27" s="508"/>
      <c r="Z27" s="506"/>
      <c r="AA27" s="476">
        <v>46140</v>
      </c>
      <c r="AB27" s="507"/>
      <c r="AC27" s="506"/>
      <c r="AD27" s="532" t="s">
        <v>1028</v>
      </c>
      <c r="AE27" s="529" t="s">
        <v>1028</v>
      </c>
      <c r="AF27" s="508"/>
      <c r="AG27" s="506"/>
      <c r="AH27" s="530" t="s">
        <v>1028</v>
      </c>
      <c r="AI27" s="508"/>
      <c r="AJ27" s="508"/>
      <c r="AK27" s="506"/>
      <c r="AL27" s="529" t="s">
        <v>1028</v>
      </c>
      <c r="AM27" s="508"/>
      <c r="AN27" s="508"/>
      <c r="AO27" s="506"/>
      <c r="AP27" s="507"/>
      <c r="AQ27" s="508"/>
      <c r="AR27" s="508"/>
      <c r="AS27" s="531" t="s">
        <v>1028</v>
      </c>
      <c r="AT27" s="508"/>
      <c r="AU27" s="508"/>
      <c r="AV27" s="506"/>
      <c r="AW27" s="512" t="s">
        <v>1028</v>
      </c>
      <c r="AX27" s="506"/>
      <c r="AY27" s="513" t="s">
        <v>1028</v>
      </c>
      <c r="AZ27" s="514" t="s">
        <v>255</v>
      </c>
      <c r="BA27" s="515" t="s">
        <v>138</v>
      </c>
      <c r="BB27" s="516"/>
      <c r="BC27" s="517" t="s">
        <v>256</v>
      </c>
      <c r="BD27" s="518">
        <v>11</v>
      </c>
      <c r="BE27" s="518" t="str">
        <f>I27</f>
        <v>VU-LA004</v>
      </c>
      <c r="BF27" s="519">
        <f>P27</f>
        <v>46153</v>
      </c>
      <c r="BG27" s="518">
        <f>A27</f>
        <v>21408</v>
      </c>
      <c r="BH27" s="491">
        <f>COUNTA(R27:Z27)</f>
        <v>4</v>
      </c>
      <c r="BI27" s="492">
        <f>COUNTA(AB27:AO27)</f>
        <v>4</v>
      </c>
      <c r="BJ27" s="520"/>
    </row>
    <row r="28" spans="1:62" s="521" customFormat="1" ht="12" customHeight="1" x14ac:dyDescent="0.15">
      <c r="A28" s="495">
        <v>21409</v>
      </c>
      <c r="B28" s="496"/>
      <c r="C28" s="496"/>
      <c r="D28" s="496"/>
      <c r="E28" s="497">
        <v>8236</v>
      </c>
      <c r="F28" s="496"/>
      <c r="G28" s="496"/>
      <c r="H28" s="496"/>
      <c r="I28" s="498" t="s">
        <v>256</v>
      </c>
      <c r="J28" s="499">
        <v>46133</v>
      </c>
      <c r="K28" s="500">
        <v>46153</v>
      </c>
      <c r="L28" s="500"/>
      <c r="M28" s="501" t="s">
        <v>1028</v>
      </c>
      <c r="N28" s="499">
        <v>46136</v>
      </c>
      <c r="O28" s="502">
        <v>46132</v>
      </c>
      <c r="P28" s="477">
        <v>46153</v>
      </c>
      <c r="Q28" s="503"/>
      <c r="R28" s="504" t="s">
        <v>1028</v>
      </c>
      <c r="S28" s="504" t="s">
        <v>1028</v>
      </c>
      <c r="T28" s="505"/>
      <c r="U28" s="506"/>
      <c r="V28" s="504" t="s">
        <v>1028</v>
      </c>
      <c r="W28" s="506"/>
      <c r="X28" s="504" t="s">
        <v>1028</v>
      </c>
      <c r="Y28" s="508"/>
      <c r="Z28" s="506"/>
      <c r="AA28" s="476">
        <v>46140</v>
      </c>
      <c r="AB28" s="507"/>
      <c r="AC28" s="506"/>
      <c r="AD28" s="532" t="s">
        <v>1028</v>
      </c>
      <c r="AE28" s="529" t="s">
        <v>1028</v>
      </c>
      <c r="AF28" s="508"/>
      <c r="AG28" s="506"/>
      <c r="AH28" s="530" t="s">
        <v>1028</v>
      </c>
      <c r="AI28" s="508"/>
      <c r="AJ28" s="508"/>
      <c r="AK28" s="506"/>
      <c r="AL28" s="529" t="s">
        <v>1028</v>
      </c>
      <c r="AM28" s="508"/>
      <c r="AN28" s="508"/>
      <c r="AO28" s="506"/>
      <c r="AP28" s="507"/>
      <c r="AQ28" s="508"/>
      <c r="AR28" s="508"/>
      <c r="AS28" s="531" t="s">
        <v>1028</v>
      </c>
      <c r="AT28" s="508"/>
      <c r="AU28" s="508"/>
      <c r="AV28" s="506"/>
      <c r="AW28" s="512" t="s">
        <v>1028</v>
      </c>
      <c r="AX28" s="506"/>
      <c r="AY28" s="513" t="s">
        <v>1028</v>
      </c>
      <c r="AZ28" s="514" t="s">
        <v>260</v>
      </c>
      <c r="BA28" s="515" t="s">
        <v>138</v>
      </c>
      <c r="BB28" s="516"/>
      <c r="BC28" s="517" t="s">
        <v>256</v>
      </c>
      <c r="BD28" s="518">
        <v>11</v>
      </c>
      <c r="BE28" s="518" t="str">
        <f>I28</f>
        <v>VU-LA004</v>
      </c>
      <c r="BF28" s="519">
        <f>P28</f>
        <v>46153</v>
      </c>
      <c r="BG28" s="518">
        <f>A28</f>
        <v>21409</v>
      </c>
      <c r="BH28" s="491">
        <f>COUNTA(R28:Z28)</f>
        <v>4</v>
      </c>
      <c r="BI28" s="492">
        <f>COUNTA(AB28:AO28)</f>
        <v>4</v>
      </c>
      <c r="BJ28" s="520"/>
    </row>
    <row r="29" spans="1:62" s="521" customFormat="1" ht="12" customHeight="1" x14ac:dyDescent="0.15">
      <c r="A29" s="495">
        <v>21410</v>
      </c>
      <c r="B29" s="496"/>
      <c r="C29" s="496"/>
      <c r="D29" s="496"/>
      <c r="E29" s="497">
        <v>8237</v>
      </c>
      <c r="F29" s="496"/>
      <c r="G29" s="496"/>
      <c r="H29" s="496"/>
      <c r="I29" s="498" t="s">
        <v>256</v>
      </c>
      <c r="J29" s="499">
        <v>46134</v>
      </c>
      <c r="K29" s="500">
        <v>46154</v>
      </c>
      <c r="L29" s="500"/>
      <c r="M29" s="501" t="s">
        <v>1028</v>
      </c>
      <c r="N29" s="499">
        <v>46136</v>
      </c>
      <c r="O29" s="502">
        <v>46132</v>
      </c>
      <c r="P29" s="477">
        <v>46154</v>
      </c>
      <c r="Q29" s="503"/>
      <c r="R29" s="504" t="s">
        <v>1028</v>
      </c>
      <c r="S29" s="504" t="s">
        <v>1028</v>
      </c>
      <c r="T29" s="505"/>
      <c r="U29" s="506"/>
      <c r="V29" s="504" t="s">
        <v>1028</v>
      </c>
      <c r="W29" s="506"/>
      <c r="X29" s="504" t="s">
        <v>1028</v>
      </c>
      <c r="Y29" s="508"/>
      <c r="Z29" s="506"/>
      <c r="AA29" s="476">
        <v>46149</v>
      </c>
      <c r="AB29" s="507"/>
      <c r="AC29" s="506"/>
      <c r="AD29" s="532" t="s">
        <v>1028</v>
      </c>
      <c r="AE29" s="529" t="s">
        <v>1028</v>
      </c>
      <c r="AF29" s="508"/>
      <c r="AG29" s="506"/>
      <c r="AH29" s="530" t="s">
        <v>1028</v>
      </c>
      <c r="AI29" s="508"/>
      <c r="AJ29" s="508"/>
      <c r="AK29" s="506"/>
      <c r="AL29" s="529" t="s">
        <v>1028</v>
      </c>
      <c r="AM29" s="508"/>
      <c r="AN29" s="508"/>
      <c r="AO29" s="506"/>
      <c r="AP29" s="507"/>
      <c r="AQ29" s="508"/>
      <c r="AR29" s="508"/>
      <c r="AS29" s="531" t="s">
        <v>1028</v>
      </c>
      <c r="AT29" s="508"/>
      <c r="AU29" s="508"/>
      <c r="AV29" s="506"/>
      <c r="AW29" s="512" t="s">
        <v>1028</v>
      </c>
      <c r="AX29" s="506"/>
      <c r="AY29" s="513" t="s">
        <v>1028</v>
      </c>
      <c r="AZ29" s="514" t="s">
        <v>261</v>
      </c>
      <c r="BA29" s="515" t="s">
        <v>138</v>
      </c>
      <c r="BB29" s="516"/>
      <c r="BC29" s="517" t="s">
        <v>256</v>
      </c>
      <c r="BD29" s="518">
        <v>11</v>
      </c>
      <c r="BE29" s="518" t="str">
        <f>I29</f>
        <v>VU-LA004</v>
      </c>
      <c r="BF29" s="519">
        <f>P29</f>
        <v>46154</v>
      </c>
      <c r="BG29" s="518">
        <f>A29</f>
        <v>21410</v>
      </c>
      <c r="BH29" s="491">
        <f>COUNTA(R29:Z29)</f>
        <v>4</v>
      </c>
      <c r="BI29" s="492">
        <f>COUNTA(AB29:AO29)</f>
        <v>4</v>
      </c>
      <c r="BJ29" s="520"/>
    </row>
    <row r="30" spans="1:62" s="521" customFormat="1" ht="12" customHeight="1" x14ac:dyDescent="0.15">
      <c r="A30" s="495">
        <v>21411</v>
      </c>
      <c r="B30" s="496"/>
      <c r="C30" s="496"/>
      <c r="D30" s="496"/>
      <c r="E30" s="497">
        <v>8238</v>
      </c>
      <c r="F30" s="496"/>
      <c r="G30" s="496"/>
      <c r="H30" s="496"/>
      <c r="I30" s="498" t="s">
        <v>256</v>
      </c>
      <c r="J30" s="499">
        <v>46134</v>
      </c>
      <c r="K30" s="500">
        <v>46154</v>
      </c>
      <c r="L30" s="500"/>
      <c r="M30" s="501" t="s">
        <v>1028</v>
      </c>
      <c r="N30" s="499">
        <v>46139</v>
      </c>
      <c r="O30" s="502">
        <v>46133</v>
      </c>
      <c r="P30" s="477">
        <v>46154</v>
      </c>
      <c r="Q30" s="503"/>
      <c r="R30" s="504" t="s">
        <v>1028</v>
      </c>
      <c r="S30" s="504" t="s">
        <v>1028</v>
      </c>
      <c r="T30" s="505"/>
      <c r="U30" s="506"/>
      <c r="V30" s="504" t="s">
        <v>1028</v>
      </c>
      <c r="W30" s="506"/>
      <c r="X30" s="504" t="s">
        <v>1028</v>
      </c>
      <c r="Y30" s="508"/>
      <c r="Z30" s="506"/>
      <c r="AA30" s="476">
        <v>46149</v>
      </c>
      <c r="AB30" s="507"/>
      <c r="AC30" s="506"/>
      <c r="AD30" s="532" t="s">
        <v>1028</v>
      </c>
      <c r="AE30" s="529" t="s">
        <v>1028</v>
      </c>
      <c r="AF30" s="508"/>
      <c r="AG30" s="506"/>
      <c r="AH30" s="530" t="s">
        <v>1028</v>
      </c>
      <c r="AI30" s="508"/>
      <c r="AJ30" s="508"/>
      <c r="AK30" s="506"/>
      <c r="AL30" s="529" t="s">
        <v>1028</v>
      </c>
      <c r="AM30" s="508"/>
      <c r="AN30" s="508"/>
      <c r="AO30" s="506"/>
      <c r="AP30" s="507"/>
      <c r="AQ30" s="508"/>
      <c r="AR30" s="508"/>
      <c r="AS30" s="531" t="s">
        <v>1028</v>
      </c>
      <c r="AT30" s="508"/>
      <c r="AU30" s="508"/>
      <c r="AV30" s="506"/>
      <c r="AW30" s="512" t="s">
        <v>1028</v>
      </c>
      <c r="AX30" s="506"/>
      <c r="AY30" s="513" t="s">
        <v>1028</v>
      </c>
      <c r="AZ30" s="514" t="s">
        <v>263</v>
      </c>
      <c r="BA30" s="515" t="s">
        <v>138</v>
      </c>
      <c r="BB30" s="516"/>
      <c r="BC30" s="517" t="s">
        <v>256</v>
      </c>
      <c r="BD30" s="518">
        <v>11</v>
      </c>
      <c r="BE30" s="518" t="str">
        <f>I30</f>
        <v>VU-LA004</v>
      </c>
      <c r="BF30" s="519">
        <f>P30</f>
        <v>46154</v>
      </c>
      <c r="BG30" s="518">
        <f>A30</f>
        <v>21411</v>
      </c>
      <c r="BH30" s="491">
        <f>COUNTA(R30:Z30)</f>
        <v>4</v>
      </c>
      <c r="BI30" s="492">
        <f>COUNTA(AB30:AO30)</f>
        <v>4</v>
      </c>
      <c r="BJ30" s="520"/>
    </row>
    <row r="31" spans="1:62" s="521" customFormat="1" ht="12" customHeight="1" x14ac:dyDescent="0.15">
      <c r="A31" s="495">
        <v>21412</v>
      </c>
      <c r="B31" s="496"/>
      <c r="C31" s="496"/>
      <c r="D31" s="496"/>
      <c r="E31" s="497">
        <v>8239</v>
      </c>
      <c r="F31" s="496"/>
      <c r="G31" s="496"/>
      <c r="H31" s="496"/>
      <c r="I31" s="498" t="s">
        <v>256</v>
      </c>
      <c r="J31" s="499">
        <v>46134</v>
      </c>
      <c r="K31" s="500">
        <v>46154</v>
      </c>
      <c r="L31" s="500"/>
      <c r="M31" s="501" t="s">
        <v>1028</v>
      </c>
      <c r="N31" s="499">
        <v>46139</v>
      </c>
      <c r="O31" s="502">
        <v>46133</v>
      </c>
      <c r="P31" s="477">
        <v>46154</v>
      </c>
      <c r="Q31" s="503"/>
      <c r="R31" s="504" t="s">
        <v>1028</v>
      </c>
      <c r="S31" s="504" t="s">
        <v>1028</v>
      </c>
      <c r="T31" s="505"/>
      <c r="U31" s="506"/>
      <c r="V31" s="504" t="s">
        <v>1028</v>
      </c>
      <c r="W31" s="506"/>
      <c r="X31" s="504" t="s">
        <v>1028</v>
      </c>
      <c r="Y31" s="508"/>
      <c r="Z31" s="506"/>
      <c r="AA31" s="476">
        <v>46149</v>
      </c>
      <c r="AB31" s="507"/>
      <c r="AC31" s="506"/>
      <c r="AD31" s="532" t="s">
        <v>1028</v>
      </c>
      <c r="AE31" s="529" t="s">
        <v>1028</v>
      </c>
      <c r="AF31" s="508"/>
      <c r="AG31" s="506"/>
      <c r="AH31" s="530" t="s">
        <v>1028</v>
      </c>
      <c r="AI31" s="508"/>
      <c r="AJ31" s="508"/>
      <c r="AK31" s="506"/>
      <c r="AL31" s="529" t="s">
        <v>1028</v>
      </c>
      <c r="AM31" s="508"/>
      <c r="AN31" s="508"/>
      <c r="AO31" s="506"/>
      <c r="AP31" s="507"/>
      <c r="AQ31" s="508"/>
      <c r="AR31" s="508"/>
      <c r="AS31" s="531" t="s">
        <v>1028</v>
      </c>
      <c r="AT31" s="508"/>
      <c r="AU31" s="508"/>
      <c r="AV31" s="506"/>
      <c r="AW31" s="512" t="s">
        <v>1028</v>
      </c>
      <c r="AX31" s="506"/>
      <c r="AY31" s="513" t="s">
        <v>1028</v>
      </c>
      <c r="AZ31" s="514" t="s">
        <v>262</v>
      </c>
      <c r="BA31" s="515" t="s">
        <v>138</v>
      </c>
      <c r="BB31" s="516"/>
      <c r="BC31" s="517" t="s">
        <v>256</v>
      </c>
      <c r="BD31" s="518">
        <v>11</v>
      </c>
      <c r="BE31" s="518" t="str">
        <f>I31</f>
        <v>VU-LA004</v>
      </c>
      <c r="BF31" s="519">
        <f>P31</f>
        <v>46154</v>
      </c>
      <c r="BG31" s="518">
        <f>A31</f>
        <v>21412</v>
      </c>
      <c r="BH31" s="491">
        <f>COUNTA(R31:Z31)</f>
        <v>4</v>
      </c>
      <c r="BI31" s="492">
        <f>COUNTA(AB31:AO31)</f>
        <v>4</v>
      </c>
      <c r="BJ31" s="520"/>
    </row>
    <row r="32" spans="1:62" s="521" customFormat="1" ht="12" customHeight="1" x14ac:dyDescent="0.15">
      <c r="A32" s="495">
        <v>21413</v>
      </c>
      <c r="B32" s="496"/>
      <c r="C32" s="496"/>
      <c r="D32" s="496"/>
      <c r="E32" s="497">
        <v>8240</v>
      </c>
      <c r="F32" s="496"/>
      <c r="G32" s="496"/>
      <c r="H32" s="496"/>
      <c r="I32" s="498" t="s">
        <v>256</v>
      </c>
      <c r="J32" s="499">
        <v>46135</v>
      </c>
      <c r="K32" s="500">
        <v>46155</v>
      </c>
      <c r="L32" s="500"/>
      <c r="M32" s="501" t="s">
        <v>1028</v>
      </c>
      <c r="N32" s="499">
        <v>46140</v>
      </c>
      <c r="O32" s="502">
        <v>46134</v>
      </c>
      <c r="P32" s="477">
        <v>46155</v>
      </c>
      <c r="Q32" s="503"/>
      <c r="R32" s="504" t="s">
        <v>1028</v>
      </c>
      <c r="S32" s="504" t="s">
        <v>1028</v>
      </c>
      <c r="T32" s="505"/>
      <c r="U32" s="506"/>
      <c r="V32" s="504" t="s">
        <v>1028</v>
      </c>
      <c r="W32" s="506"/>
      <c r="X32" s="504" t="s">
        <v>1028</v>
      </c>
      <c r="Y32" s="508"/>
      <c r="Z32" s="506"/>
      <c r="AA32" s="476">
        <v>46150</v>
      </c>
      <c r="AB32" s="507"/>
      <c r="AC32" s="506"/>
      <c r="AD32" s="532" t="s">
        <v>1028</v>
      </c>
      <c r="AE32" s="529" t="s">
        <v>1028</v>
      </c>
      <c r="AF32" s="508"/>
      <c r="AG32" s="506"/>
      <c r="AH32" s="530" t="s">
        <v>1028</v>
      </c>
      <c r="AI32" s="508"/>
      <c r="AJ32" s="508"/>
      <c r="AK32" s="506"/>
      <c r="AL32" s="529" t="s">
        <v>1028</v>
      </c>
      <c r="AM32" s="508"/>
      <c r="AN32" s="508"/>
      <c r="AO32" s="506"/>
      <c r="AP32" s="507"/>
      <c r="AQ32" s="508"/>
      <c r="AR32" s="508"/>
      <c r="AS32" s="531" t="s">
        <v>1028</v>
      </c>
      <c r="AT32" s="508"/>
      <c r="AU32" s="508"/>
      <c r="AV32" s="506"/>
      <c r="AW32" s="512" t="s">
        <v>1028</v>
      </c>
      <c r="AX32" s="506"/>
      <c r="AY32" s="513" t="s">
        <v>1028</v>
      </c>
      <c r="AZ32" s="514" t="s">
        <v>264</v>
      </c>
      <c r="BA32" s="515" t="s">
        <v>138</v>
      </c>
      <c r="BB32" s="516"/>
      <c r="BC32" s="517" t="s">
        <v>256</v>
      </c>
      <c r="BD32" s="518">
        <v>11</v>
      </c>
      <c r="BE32" s="518" t="str">
        <f>I32</f>
        <v>VU-LA004</v>
      </c>
      <c r="BF32" s="519">
        <f>P32</f>
        <v>46155</v>
      </c>
      <c r="BG32" s="518">
        <f>A32</f>
        <v>21413</v>
      </c>
      <c r="BH32" s="491">
        <f>COUNTA(R32:Z32)</f>
        <v>4</v>
      </c>
      <c r="BI32" s="492">
        <f>COUNTA(AB32:AO32)</f>
        <v>4</v>
      </c>
      <c r="BJ32" s="520"/>
    </row>
    <row r="33" spans="1:62" s="521" customFormat="1" ht="12" customHeight="1" x14ac:dyDescent="0.15">
      <c r="A33" s="495">
        <v>21414</v>
      </c>
      <c r="B33" s="497">
        <v>3227</v>
      </c>
      <c r="C33" s="496"/>
      <c r="D33" s="496"/>
      <c r="E33" s="496"/>
      <c r="F33" s="496"/>
      <c r="G33" s="496"/>
      <c r="H33" s="496"/>
      <c r="I33" s="498" t="s">
        <v>154</v>
      </c>
      <c r="J33" s="499">
        <v>46135</v>
      </c>
      <c r="K33" s="500">
        <v>46155</v>
      </c>
      <c r="L33" s="500"/>
      <c r="M33" s="501" t="s">
        <v>1028</v>
      </c>
      <c r="N33" s="499">
        <v>46140</v>
      </c>
      <c r="O33" s="502">
        <v>46134</v>
      </c>
      <c r="P33" s="477">
        <v>46155</v>
      </c>
      <c r="Q33" s="503"/>
      <c r="R33" s="504" t="s">
        <v>1028</v>
      </c>
      <c r="S33" s="504" t="s">
        <v>1028</v>
      </c>
      <c r="T33" s="505"/>
      <c r="U33" s="506"/>
      <c r="V33" s="504" t="s">
        <v>1028</v>
      </c>
      <c r="W33" s="506"/>
      <c r="X33" s="504" t="s">
        <v>1028</v>
      </c>
      <c r="Y33" s="508"/>
      <c r="Z33" s="506"/>
      <c r="AA33" s="476">
        <v>46150</v>
      </c>
      <c r="AB33" s="507"/>
      <c r="AC33" s="506"/>
      <c r="AD33" s="532" t="s">
        <v>1028</v>
      </c>
      <c r="AE33" s="529" t="s">
        <v>1028</v>
      </c>
      <c r="AF33" s="508"/>
      <c r="AG33" s="506"/>
      <c r="AH33" s="530" t="s">
        <v>1028</v>
      </c>
      <c r="AI33" s="508"/>
      <c r="AJ33" s="508"/>
      <c r="AK33" s="506"/>
      <c r="AL33" s="529" t="s">
        <v>1028</v>
      </c>
      <c r="AM33" s="508"/>
      <c r="AN33" s="508"/>
      <c r="AO33" s="506"/>
      <c r="AP33" s="512" t="s">
        <v>1028</v>
      </c>
      <c r="AQ33" s="508"/>
      <c r="AR33" s="508"/>
      <c r="AS33" s="508"/>
      <c r="AT33" s="508"/>
      <c r="AU33" s="508"/>
      <c r="AV33" s="506"/>
      <c r="AW33" s="507"/>
      <c r="AX33" s="511" t="s">
        <v>1028</v>
      </c>
      <c r="AY33" s="513" t="s">
        <v>1028</v>
      </c>
      <c r="AZ33" s="514" t="s">
        <v>265</v>
      </c>
      <c r="BA33" s="515" t="s">
        <v>153</v>
      </c>
      <c r="BB33" s="516"/>
      <c r="BC33" s="517" t="s">
        <v>154</v>
      </c>
      <c r="BD33" s="518">
        <v>11</v>
      </c>
      <c r="BE33" s="518" t="str">
        <f>I33</f>
        <v>VU-LA007</v>
      </c>
      <c r="BF33" s="519">
        <f>P33</f>
        <v>46155</v>
      </c>
      <c r="BG33" s="518">
        <f>A33</f>
        <v>21414</v>
      </c>
      <c r="BH33" s="491">
        <f>COUNTA(R33:Z33)</f>
        <v>4</v>
      </c>
      <c r="BI33" s="492">
        <f>COUNTA(AB33:AO33)</f>
        <v>4</v>
      </c>
      <c r="BJ33" s="520"/>
    </row>
    <row r="34" spans="1:62" s="521" customFormat="1" ht="12" customHeight="1" x14ac:dyDescent="0.15">
      <c r="A34" s="495">
        <v>21415</v>
      </c>
      <c r="B34" s="497">
        <v>3228</v>
      </c>
      <c r="C34" s="496"/>
      <c r="D34" s="496"/>
      <c r="E34" s="496"/>
      <c r="F34" s="496"/>
      <c r="G34" s="496"/>
      <c r="H34" s="496"/>
      <c r="I34" s="498" t="s">
        <v>154</v>
      </c>
      <c r="J34" s="499">
        <v>46135</v>
      </c>
      <c r="K34" s="500">
        <v>46155</v>
      </c>
      <c r="L34" s="500"/>
      <c r="M34" s="501" t="s">
        <v>1028</v>
      </c>
      <c r="N34" s="499">
        <v>46149</v>
      </c>
      <c r="O34" s="502">
        <v>46135</v>
      </c>
      <c r="P34" s="477">
        <v>46155</v>
      </c>
      <c r="Q34" s="503"/>
      <c r="R34" s="504" t="s">
        <v>1028</v>
      </c>
      <c r="S34" s="504" t="s">
        <v>1028</v>
      </c>
      <c r="T34" s="505"/>
      <c r="U34" s="506"/>
      <c r="V34" s="504" t="s">
        <v>1028</v>
      </c>
      <c r="W34" s="506"/>
      <c r="X34" s="504" t="s">
        <v>1028</v>
      </c>
      <c r="Y34" s="508"/>
      <c r="Z34" s="506"/>
      <c r="AA34" s="476">
        <v>46150</v>
      </c>
      <c r="AB34" s="507"/>
      <c r="AC34" s="506"/>
      <c r="AD34" s="532" t="s">
        <v>1028</v>
      </c>
      <c r="AE34" s="529" t="s">
        <v>1028</v>
      </c>
      <c r="AF34" s="508"/>
      <c r="AG34" s="506"/>
      <c r="AH34" s="530" t="s">
        <v>1028</v>
      </c>
      <c r="AI34" s="508"/>
      <c r="AJ34" s="508"/>
      <c r="AK34" s="506"/>
      <c r="AL34" s="529" t="s">
        <v>1028</v>
      </c>
      <c r="AM34" s="508"/>
      <c r="AN34" s="508"/>
      <c r="AO34" s="506"/>
      <c r="AP34" s="512" t="s">
        <v>1028</v>
      </c>
      <c r="AQ34" s="508"/>
      <c r="AR34" s="508"/>
      <c r="AS34" s="508"/>
      <c r="AT34" s="508"/>
      <c r="AU34" s="508"/>
      <c r="AV34" s="506"/>
      <c r="AW34" s="507"/>
      <c r="AX34" s="511" t="s">
        <v>1028</v>
      </c>
      <c r="AY34" s="513" t="s">
        <v>1028</v>
      </c>
      <c r="AZ34" s="514" t="s">
        <v>266</v>
      </c>
      <c r="BA34" s="515" t="s">
        <v>153</v>
      </c>
      <c r="BB34" s="516"/>
      <c r="BC34" s="517" t="s">
        <v>154</v>
      </c>
      <c r="BD34" s="518">
        <v>11</v>
      </c>
      <c r="BE34" s="518" t="str">
        <f>I34</f>
        <v>VU-LA007</v>
      </c>
      <c r="BF34" s="519">
        <f>P34</f>
        <v>46155</v>
      </c>
      <c r="BG34" s="518">
        <f>A34</f>
        <v>21415</v>
      </c>
      <c r="BH34" s="491">
        <f>COUNTA(R34:Z34)</f>
        <v>4</v>
      </c>
      <c r="BI34" s="492">
        <f>COUNTA(AB34:AO34)</f>
        <v>4</v>
      </c>
      <c r="BJ34" s="520"/>
    </row>
    <row r="35" spans="1:62" s="521" customFormat="1" ht="12" customHeight="1" x14ac:dyDescent="0.15">
      <c r="A35" s="495">
        <v>21416</v>
      </c>
      <c r="B35" s="497">
        <v>3229</v>
      </c>
      <c r="C35" s="496"/>
      <c r="D35" s="496"/>
      <c r="E35" s="496"/>
      <c r="F35" s="496"/>
      <c r="G35" s="496"/>
      <c r="H35" s="496"/>
      <c r="I35" s="498" t="s">
        <v>154</v>
      </c>
      <c r="J35" s="499">
        <v>46136</v>
      </c>
      <c r="K35" s="500">
        <v>46156</v>
      </c>
      <c r="L35" s="500"/>
      <c r="M35" s="501" t="s">
        <v>1028</v>
      </c>
      <c r="N35" s="499">
        <v>46149</v>
      </c>
      <c r="O35" s="502">
        <v>46135</v>
      </c>
      <c r="P35" s="477">
        <v>46156</v>
      </c>
      <c r="Q35" s="503"/>
      <c r="R35" s="504" t="s">
        <v>1028</v>
      </c>
      <c r="S35" s="504" t="s">
        <v>1028</v>
      </c>
      <c r="T35" s="505"/>
      <c r="U35" s="506"/>
      <c r="V35" s="504" t="s">
        <v>1028</v>
      </c>
      <c r="W35" s="506"/>
      <c r="X35" s="504" t="s">
        <v>1028</v>
      </c>
      <c r="Y35" s="508"/>
      <c r="Z35" s="506"/>
      <c r="AA35" s="476">
        <v>46153</v>
      </c>
      <c r="AB35" s="507"/>
      <c r="AC35" s="506"/>
      <c r="AD35" s="532" t="s">
        <v>1028</v>
      </c>
      <c r="AE35" s="529" t="s">
        <v>1028</v>
      </c>
      <c r="AF35" s="508"/>
      <c r="AG35" s="506"/>
      <c r="AH35" s="530" t="s">
        <v>1028</v>
      </c>
      <c r="AI35" s="508"/>
      <c r="AJ35" s="508"/>
      <c r="AK35" s="506"/>
      <c r="AL35" s="529" t="s">
        <v>1028</v>
      </c>
      <c r="AM35" s="508"/>
      <c r="AN35" s="508"/>
      <c r="AO35" s="506"/>
      <c r="AP35" s="512" t="s">
        <v>1028</v>
      </c>
      <c r="AQ35" s="508"/>
      <c r="AR35" s="508"/>
      <c r="AS35" s="508"/>
      <c r="AT35" s="508"/>
      <c r="AU35" s="508"/>
      <c r="AV35" s="506"/>
      <c r="AW35" s="507"/>
      <c r="AX35" s="511" t="s">
        <v>1028</v>
      </c>
      <c r="AY35" s="513" t="s">
        <v>1028</v>
      </c>
      <c r="AZ35" s="514" t="s">
        <v>269</v>
      </c>
      <c r="BA35" s="515" t="s">
        <v>153</v>
      </c>
      <c r="BB35" s="516"/>
      <c r="BC35" s="517" t="s">
        <v>154</v>
      </c>
      <c r="BD35" s="518">
        <v>11</v>
      </c>
      <c r="BE35" s="518" t="str">
        <f>I35</f>
        <v>VU-LA007</v>
      </c>
      <c r="BF35" s="519">
        <f>P35</f>
        <v>46156</v>
      </c>
      <c r="BG35" s="518">
        <f>A35</f>
        <v>21416</v>
      </c>
      <c r="BH35" s="491">
        <f>COUNTA(R35:Z35)</f>
        <v>4</v>
      </c>
      <c r="BI35" s="492">
        <f>COUNTA(AB35:AO35)</f>
        <v>4</v>
      </c>
      <c r="BJ35" s="520"/>
    </row>
    <row r="36" spans="1:62" s="521" customFormat="1" ht="12" customHeight="1" x14ac:dyDescent="0.15">
      <c r="A36" s="495">
        <v>21417</v>
      </c>
      <c r="B36" s="497">
        <v>3230</v>
      </c>
      <c r="C36" s="496"/>
      <c r="D36" s="496"/>
      <c r="E36" s="496"/>
      <c r="F36" s="496"/>
      <c r="G36" s="496"/>
      <c r="H36" s="496"/>
      <c r="I36" s="498" t="s">
        <v>154</v>
      </c>
      <c r="J36" s="499">
        <v>46136</v>
      </c>
      <c r="K36" s="500">
        <v>46156</v>
      </c>
      <c r="L36" s="500"/>
      <c r="M36" s="501" t="s">
        <v>1028</v>
      </c>
      <c r="N36" s="499">
        <v>46150</v>
      </c>
      <c r="O36" s="502">
        <v>46136</v>
      </c>
      <c r="P36" s="477">
        <v>46156</v>
      </c>
      <c r="Q36" s="503"/>
      <c r="R36" s="504" t="s">
        <v>1028</v>
      </c>
      <c r="S36" s="504" t="s">
        <v>1028</v>
      </c>
      <c r="T36" s="505"/>
      <c r="U36" s="506"/>
      <c r="V36" s="504" t="s">
        <v>1028</v>
      </c>
      <c r="W36" s="506"/>
      <c r="X36" s="504" t="s">
        <v>1028</v>
      </c>
      <c r="Y36" s="508"/>
      <c r="Z36" s="506"/>
      <c r="AA36" s="476">
        <v>46153</v>
      </c>
      <c r="AB36" s="507"/>
      <c r="AC36" s="506"/>
      <c r="AD36" s="532" t="s">
        <v>1028</v>
      </c>
      <c r="AE36" s="529" t="s">
        <v>1028</v>
      </c>
      <c r="AF36" s="508"/>
      <c r="AG36" s="506"/>
      <c r="AH36" s="530" t="s">
        <v>1028</v>
      </c>
      <c r="AI36" s="508"/>
      <c r="AJ36" s="508"/>
      <c r="AK36" s="506"/>
      <c r="AL36" s="529" t="s">
        <v>1028</v>
      </c>
      <c r="AM36" s="508"/>
      <c r="AN36" s="508"/>
      <c r="AO36" s="506"/>
      <c r="AP36" s="512" t="s">
        <v>1028</v>
      </c>
      <c r="AQ36" s="508"/>
      <c r="AR36" s="508"/>
      <c r="AS36" s="508"/>
      <c r="AT36" s="508"/>
      <c r="AU36" s="508"/>
      <c r="AV36" s="506"/>
      <c r="AW36" s="507"/>
      <c r="AX36" s="511" t="s">
        <v>1028</v>
      </c>
      <c r="AY36" s="513" t="s">
        <v>1028</v>
      </c>
      <c r="AZ36" s="514" t="s">
        <v>267</v>
      </c>
      <c r="BA36" s="515" t="s">
        <v>153</v>
      </c>
      <c r="BB36" s="516"/>
      <c r="BC36" s="517" t="s">
        <v>154</v>
      </c>
      <c r="BD36" s="518">
        <v>11</v>
      </c>
      <c r="BE36" s="518" t="str">
        <f>I36</f>
        <v>VU-LA007</v>
      </c>
      <c r="BF36" s="519">
        <f>P36</f>
        <v>46156</v>
      </c>
      <c r="BG36" s="518">
        <f>A36</f>
        <v>21417</v>
      </c>
      <c r="BH36" s="491">
        <f>COUNTA(R36:Z36)</f>
        <v>4</v>
      </c>
      <c r="BI36" s="492">
        <f>COUNTA(AB36:AO36)</f>
        <v>4</v>
      </c>
      <c r="BJ36" s="520"/>
    </row>
    <row r="37" spans="1:62" s="521" customFormat="1" ht="12" customHeight="1" x14ac:dyDescent="0.15">
      <c r="A37" s="495">
        <v>21418</v>
      </c>
      <c r="B37" s="497">
        <v>3231</v>
      </c>
      <c r="C37" s="496"/>
      <c r="D37" s="496"/>
      <c r="E37" s="496"/>
      <c r="F37" s="496"/>
      <c r="G37" s="496"/>
      <c r="H37" s="496"/>
      <c r="I37" s="498" t="s">
        <v>154</v>
      </c>
      <c r="J37" s="499">
        <v>46136</v>
      </c>
      <c r="K37" s="500">
        <v>46156</v>
      </c>
      <c r="L37" s="500"/>
      <c r="M37" s="501" t="s">
        <v>1028</v>
      </c>
      <c r="N37" s="499">
        <v>46150</v>
      </c>
      <c r="O37" s="502">
        <v>46136</v>
      </c>
      <c r="P37" s="477">
        <v>46156</v>
      </c>
      <c r="Q37" s="503"/>
      <c r="R37" s="504" t="s">
        <v>1028</v>
      </c>
      <c r="S37" s="504" t="s">
        <v>1028</v>
      </c>
      <c r="T37" s="505"/>
      <c r="U37" s="506"/>
      <c r="V37" s="504" t="s">
        <v>1028</v>
      </c>
      <c r="W37" s="506"/>
      <c r="X37" s="504" t="s">
        <v>1028</v>
      </c>
      <c r="Y37" s="508"/>
      <c r="Z37" s="506"/>
      <c r="AA37" s="476">
        <v>46153</v>
      </c>
      <c r="AB37" s="507"/>
      <c r="AC37" s="506"/>
      <c r="AD37" s="532" t="s">
        <v>1028</v>
      </c>
      <c r="AE37" s="529" t="s">
        <v>1028</v>
      </c>
      <c r="AF37" s="508"/>
      <c r="AG37" s="506"/>
      <c r="AH37" s="530" t="s">
        <v>1028</v>
      </c>
      <c r="AI37" s="508"/>
      <c r="AJ37" s="508"/>
      <c r="AK37" s="506"/>
      <c r="AL37" s="529" t="s">
        <v>1028</v>
      </c>
      <c r="AM37" s="508"/>
      <c r="AN37" s="508"/>
      <c r="AO37" s="506"/>
      <c r="AP37" s="512" t="s">
        <v>1028</v>
      </c>
      <c r="AQ37" s="508"/>
      <c r="AR37" s="508"/>
      <c r="AS37" s="508"/>
      <c r="AT37" s="508"/>
      <c r="AU37" s="508"/>
      <c r="AV37" s="506"/>
      <c r="AW37" s="507"/>
      <c r="AX37" s="511" t="s">
        <v>1028</v>
      </c>
      <c r="AY37" s="513" t="s">
        <v>1028</v>
      </c>
      <c r="AZ37" s="514" t="s">
        <v>268</v>
      </c>
      <c r="BA37" s="515" t="s">
        <v>153</v>
      </c>
      <c r="BB37" s="516"/>
      <c r="BC37" s="517" t="s">
        <v>154</v>
      </c>
      <c r="BD37" s="518">
        <v>11</v>
      </c>
      <c r="BE37" s="518" t="str">
        <f>I37</f>
        <v>VU-LA007</v>
      </c>
      <c r="BF37" s="519">
        <f>P37</f>
        <v>46156</v>
      </c>
      <c r="BG37" s="518">
        <f>A37</f>
        <v>21418</v>
      </c>
      <c r="BH37" s="491">
        <f>COUNTA(R37:Z37)</f>
        <v>4</v>
      </c>
      <c r="BI37" s="492">
        <f>COUNTA(AB37:AO37)</f>
        <v>4</v>
      </c>
      <c r="BJ37" s="520"/>
    </row>
    <row r="38" spans="1:62" s="521" customFormat="1" ht="12" customHeight="1" x14ac:dyDescent="0.15">
      <c r="A38" s="495">
        <v>21419</v>
      </c>
      <c r="B38" s="497">
        <v>3232</v>
      </c>
      <c r="C38" s="496"/>
      <c r="D38" s="496"/>
      <c r="E38" s="496"/>
      <c r="F38" s="496"/>
      <c r="G38" s="496"/>
      <c r="H38" s="496"/>
      <c r="I38" s="498" t="s">
        <v>154</v>
      </c>
      <c r="J38" s="499">
        <v>46139</v>
      </c>
      <c r="K38" s="500">
        <v>46157</v>
      </c>
      <c r="L38" s="500"/>
      <c r="M38" s="501" t="s">
        <v>1028</v>
      </c>
      <c r="N38" s="499">
        <v>46153</v>
      </c>
      <c r="O38" s="502">
        <v>46139</v>
      </c>
      <c r="P38" s="477">
        <v>46157</v>
      </c>
      <c r="Q38" s="503"/>
      <c r="R38" s="504" t="s">
        <v>1028</v>
      </c>
      <c r="S38" s="504" t="s">
        <v>1028</v>
      </c>
      <c r="T38" s="505"/>
      <c r="U38" s="506"/>
      <c r="V38" s="504" t="s">
        <v>1028</v>
      </c>
      <c r="W38" s="506"/>
      <c r="X38" s="504" t="s">
        <v>1028</v>
      </c>
      <c r="Y38" s="508"/>
      <c r="Z38" s="506"/>
      <c r="AA38" s="476">
        <v>46154</v>
      </c>
      <c r="AB38" s="507"/>
      <c r="AC38" s="506"/>
      <c r="AD38" s="532" t="s">
        <v>1028</v>
      </c>
      <c r="AE38" s="529" t="s">
        <v>1028</v>
      </c>
      <c r="AF38" s="508"/>
      <c r="AG38" s="506"/>
      <c r="AH38" s="530" t="s">
        <v>1028</v>
      </c>
      <c r="AI38" s="508"/>
      <c r="AJ38" s="508"/>
      <c r="AK38" s="506"/>
      <c r="AL38" s="529" t="s">
        <v>1028</v>
      </c>
      <c r="AM38" s="508"/>
      <c r="AN38" s="508"/>
      <c r="AO38" s="506"/>
      <c r="AP38" s="512" t="s">
        <v>1028</v>
      </c>
      <c r="AQ38" s="508"/>
      <c r="AR38" s="508"/>
      <c r="AS38" s="508"/>
      <c r="AT38" s="508"/>
      <c r="AU38" s="508"/>
      <c r="AV38" s="506"/>
      <c r="AW38" s="507"/>
      <c r="AX38" s="511" t="s">
        <v>1028</v>
      </c>
      <c r="AY38" s="513" t="s">
        <v>1028</v>
      </c>
      <c r="AZ38" s="514" t="s">
        <v>270</v>
      </c>
      <c r="BA38" s="515" t="s">
        <v>153</v>
      </c>
      <c r="BB38" s="516"/>
      <c r="BC38" s="517" t="s">
        <v>154</v>
      </c>
      <c r="BD38" s="518">
        <v>11</v>
      </c>
      <c r="BE38" s="518" t="str">
        <f>I38</f>
        <v>VU-LA007</v>
      </c>
      <c r="BF38" s="519">
        <f>P38</f>
        <v>46157</v>
      </c>
      <c r="BG38" s="518">
        <f>A38</f>
        <v>21419</v>
      </c>
      <c r="BH38" s="491">
        <f>COUNTA(R38:Z38)</f>
        <v>4</v>
      </c>
      <c r="BI38" s="492">
        <f>COUNTA(AB38:AO38)</f>
        <v>4</v>
      </c>
      <c r="BJ38" s="520"/>
    </row>
    <row r="39" spans="1:62" s="521" customFormat="1" ht="12" customHeight="1" x14ac:dyDescent="0.15">
      <c r="A39" s="495">
        <v>21420</v>
      </c>
      <c r="B39" s="497">
        <v>3233</v>
      </c>
      <c r="C39" s="496"/>
      <c r="D39" s="496"/>
      <c r="E39" s="496"/>
      <c r="F39" s="496"/>
      <c r="G39" s="496"/>
      <c r="H39" s="496"/>
      <c r="I39" s="498" t="s">
        <v>154</v>
      </c>
      <c r="J39" s="499">
        <v>46139</v>
      </c>
      <c r="K39" s="500">
        <v>46157</v>
      </c>
      <c r="L39" s="500"/>
      <c r="M39" s="501" t="s">
        <v>1028</v>
      </c>
      <c r="N39" s="499">
        <v>46153</v>
      </c>
      <c r="O39" s="502">
        <v>46139</v>
      </c>
      <c r="P39" s="477">
        <v>46157</v>
      </c>
      <c r="Q39" s="503"/>
      <c r="R39" s="504" t="s">
        <v>1028</v>
      </c>
      <c r="S39" s="504" t="s">
        <v>1028</v>
      </c>
      <c r="T39" s="505"/>
      <c r="U39" s="506"/>
      <c r="V39" s="504" t="s">
        <v>1028</v>
      </c>
      <c r="W39" s="506"/>
      <c r="X39" s="504" t="s">
        <v>1028</v>
      </c>
      <c r="Y39" s="508"/>
      <c r="Z39" s="506"/>
      <c r="AA39" s="476">
        <v>46154</v>
      </c>
      <c r="AB39" s="507"/>
      <c r="AC39" s="506"/>
      <c r="AD39" s="532" t="s">
        <v>1028</v>
      </c>
      <c r="AE39" s="529" t="s">
        <v>1028</v>
      </c>
      <c r="AF39" s="508"/>
      <c r="AG39" s="506"/>
      <c r="AH39" s="530" t="s">
        <v>1028</v>
      </c>
      <c r="AI39" s="508"/>
      <c r="AJ39" s="508"/>
      <c r="AK39" s="506"/>
      <c r="AL39" s="529" t="s">
        <v>1028</v>
      </c>
      <c r="AM39" s="508"/>
      <c r="AN39" s="508"/>
      <c r="AO39" s="506"/>
      <c r="AP39" s="512" t="s">
        <v>1028</v>
      </c>
      <c r="AQ39" s="508"/>
      <c r="AR39" s="508"/>
      <c r="AS39" s="508"/>
      <c r="AT39" s="508"/>
      <c r="AU39" s="508"/>
      <c r="AV39" s="506"/>
      <c r="AW39" s="507"/>
      <c r="AX39" s="511" t="s">
        <v>1028</v>
      </c>
      <c r="AY39" s="513" t="s">
        <v>1028</v>
      </c>
      <c r="AZ39" s="514" t="s">
        <v>272</v>
      </c>
      <c r="BA39" s="515" t="s">
        <v>153</v>
      </c>
      <c r="BB39" s="516"/>
      <c r="BC39" s="517" t="s">
        <v>154</v>
      </c>
      <c r="BD39" s="518">
        <v>11</v>
      </c>
      <c r="BE39" s="518" t="str">
        <f>I39</f>
        <v>VU-LA007</v>
      </c>
      <c r="BF39" s="519">
        <f>P39</f>
        <v>46157</v>
      </c>
      <c r="BG39" s="518">
        <f>A39</f>
        <v>21420</v>
      </c>
      <c r="BH39" s="491">
        <f>COUNTA(R39:Z39)</f>
        <v>4</v>
      </c>
      <c r="BI39" s="492">
        <f>COUNTA(AB39:AO39)</f>
        <v>4</v>
      </c>
      <c r="BJ39" s="520"/>
    </row>
    <row r="40" spans="1:62" s="521" customFormat="1" ht="12" customHeight="1" x14ac:dyDescent="0.15">
      <c r="A40" s="495">
        <v>21421</v>
      </c>
      <c r="B40" s="497">
        <v>3234</v>
      </c>
      <c r="C40" s="496"/>
      <c r="D40" s="496"/>
      <c r="E40" s="496"/>
      <c r="F40" s="496"/>
      <c r="G40" s="496"/>
      <c r="H40" s="496"/>
      <c r="I40" s="498" t="s">
        <v>154</v>
      </c>
      <c r="J40" s="499">
        <v>46139</v>
      </c>
      <c r="K40" s="500">
        <v>46157</v>
      </c>
      <c r="L40" s="500"/>
      <c r="M40" s="501" t="s">
        <v>1028</v>
      </c>
      <c r="N40" s="499">
        <v>46154</v>
      </c>
      <c r="O40" s="502">
        <v>46140</v>
      </c>
      <c r="P40" s="477">
        <v>46157</v>
      </c>
      <c r="Q40" s="503"/>
      <c r="R40" s="504" t="s">
        <v>1028</v>
      </c>
      <c r="S40" s="504" t="s">
        <v>1028</v>
      </c>
      <c r="T40" s="505"/>
      <c r="U40" s="506"/>
      <c r="V40" s="504" t="s">
        <v>1028</v>
      </c>
      <c r="W40" s="506"/>
      <c r="X40" s="504" t="s">
        <v>1028</v>
      </c>
      <c r="Y40" s="508"/>
      <c r="Z40" s="506"/>
      <c r="AA40" s="476">
        <v>46154</v>
      </c>
      <c r="AB40" s="507"/>
      <c r="AC40" s="506"/>
      <c r="AD40" s="532" t="s">
        <v>1028</v>
      </c>
      <c r="AE40" s="529" t="s">
        <v>1028</v>
      </c>
      <c r="AF40" s="508"/>
      <c r="AG40" s="506"/>
      <c r="AH40" s="530" t="s">
        <v>1028</v>
      </c>
      <c r="AI40" s="508"/>
      <c r="AJ40" s="508"/>
      <c r="AK40" s="506"/>
      <c r="AL40" s="529" t="s">
        <v>1028</v>
      </c>
      <c r="AM40" s="508"/>
      <c r="AN40" s="508"/>
      <c r="AO40" s="506"/>
      <c r="AP40" s="512" t="s">
        <v>1028</v>
      </c>
      <c r="AQ40" s="508"/>
      <c r="AR40" s="508"/>
      <c r="AS40" s="508"/>
      <c r="AT40" s="508"/>
      <c r="AU40" s="508"/>
      <c r="AV40" s="506"/>
      <c r="AW40" s="507"/>
      <c r="AX40" s="511" t="s">
        <v>1028</v>
      </c>
      <c r="AY40" s="513" t="s">
        <v>1028</v>
      </c>
      <c r="AZ40" s="514" t="s">
        <v>271</v>
      </c>
      <c r="BA40" s="515" t="s">
        <v>153</v>
      </c>
      <c r="BB40" s="516"/>
      <c r="BC40" s="517" t="s">
        <v>154</v>
      </c>
      <c r="BD40" s="518">
        <v>11</v>
      </c>
      <c r="BE40" s="518" t="str">
        <f>I40</f>
        <v>VU-LA007</v>
      </c>
      <c r="BF40" s="519">
        <f>P40</f>
        <v>46157</v>
      </c>
      <c r="BG40" s="518">
        <f>A40</f>
        <v>21421</v>
      </c>
      <c r="BH40" s="491">
        <f>COUNTA(R40:Z40)</f>
        <v>4</v>
      </c>
      <c r="BI40" s="492">
        <f>COUNTA(AB40:AO40)</f>
        <v>4</v>
      </c>
      <c r="BJ40" s="520"/>
    </row>
    <row r="41" spans="1:62" s="521" customFormat="1" ht="12" customHeight="1" x14ac:dyDescent="0.15">
      <c r="A41" s="495">
        <v>21422</v>
      </c>
      <c r="B41" s="497">
        <v>3235</v>
      </c>
      <c r="C41" s="496"/>
      <c r="D41" s="496"/>
      <c r="E41" s="496"/>
      <c r="F41" s="496"/>
      <c r="G41" s="496"/>
      <c r="H41" s="496"/>
      <c r="I41" s="498" t="s">
        <v>275</v>
      </c>
      <c r="J41" s="499">
        <v>46140</v>
      </c>
      <c r="K41" s="500">
        <v>46160</v>
      </c>
      <c r="L41" s="500"/>
      <c r="M41" s="501" t="s">
        <v>1028</v>
      </c>
      <c r="N41" s="499">
        <v>46154</v>
      </c>
      <c r="O41" s="502">
        <v>46140</v>
      </c>
      <c r="P41" s="477">
        <v>46160</v>
      </c>
      <c r="Q41" s="503"/>
      <c r="R41" s="504" t="s">
        <v>1028</v>
      </c>
      <c r="S41" s="504" t="s">
        <v>1028</v>
      </c>
      <c r="T41" s="505"/>
      <c r="U41" s="506"/>
      <c r="V41" s="504" t="s">
        <v>1028</v>
      </c>
      <c r="W41" s="506"/>
      <c r="X41" s="504" t="s">
        <v>1028</v>
      </c>
      <c r="Y41" s="508"/>
      <c r="Z41" s="506"/>
      <c r="AA41" s="476">
        <v>46155</v>
      </c>
      <c r="AB41" s="529" t="s">
        <v>1028</v>
      </c>
      <c r="AC41" s="506"/>
      <c r="AD41" s="510"/>
      <c r="AE41" s="529" t="s">
        <v>1028</v>
      </c>
      <c r="AF41" s="508"/>
      <c r="AG41" s="506"/>
      <c r="AH41" s="530" t="s">
        <v>1028</v>
      </c>
      <c r="AI41" s="508"/>
      <c r="AJ41" s="508"/>
      <c r="AK41" s="506"/>
      <c r="AL41" s="529" t="s">
        <v>1028</v>
      </c>
      <c r="AM41" s="508"/>
      <c r="AN41" s="508"/>
      <c r="AO41" s="506"/>
      <c r="AP41" s="512" t="s">
        <v>1028</v>
      </c>
      <c r="AQ41" s="508"/>
      <c r="AR41" s="508"/>
      <c r="AS41" s="508"/>
      <c r="AT41" s="508"/>
      <c r="AU41" s="508"/>
      <c r="AV41" s="506"/>
      <c r="AW41" s="507"/>
      <c r="AX41" s="511" t="s">
        <v>1028</v>
      </c>
      <c r="AY41" s="513" t="s">
        <v>1028</v>
      </c>
      <c r="AZ41" s="514" t="s">
        <v>274</v>
      </c>
      <c r="BA41" s="515" t="s">
        <v>153</v>
      </c>
      <c r="BB41" s="516"/>
      <c r="BC41" s="517" t="s">
        <v>275</v>
      </c>
      <c r="BD41" s="518">
        <v>11</v>
      </c>
      <c r="BE41" s="518" t="str">
        <f>I41</f>
        <v>VU-LB006</v>
      </c>
      <c r="BF41" s="519">
        <f>P41</f>
        <v>46160</v>
      </c>
      <c r="BG41" s="518">
        <f>A41</f>
        <v>21422</v>
      </c>
      <c r="BH41" s="491">
        <f>COUNTA(R41:Z41)</f>
        <v>4</v>
      </c>
      <c r="BI41" s="492">
        <f>COUNTA(AB41:AO41)</f>
        <v>4</v>
      </c>
      <c r="BJ41" s="520"/>
    </row>
    <row r="42" spans="1:62" s="521" customFormat="1" ht="12" customHeight="1" x14ac:dyDescent="0.15">
      <c r="A42" s="495">
        <v>21423</v>
      </c>
      <c r="B42" s="497">
        <v>3236</v>
      </c>
      <c r="C42" s="496"/>
      <c r="D42" s="496"/>
      <c r="E42" s="496"/>
      <c r="F42" s="496"/>
      <c r="G42" s="496"/>
      <c r="H42" s="496"/>
      <c r="I42" s="498" t="s">
        <v>154</v>
      </c>
      <c r="J42" s="499">
        <v>46140</v>
      </c>
      <c r="K42" s="500">
        <v>46160</v>
      </c>
      <c r="L42" s="500"/>
      <c r="M42" s="501" t="s">
        <v>1028</v>
      </c>
      <c r="N42" s="499">
        <v>46155</v>
      </c>
      <c r="O42" s="502">
        <v>46149</v>
      </c>
      <c r="P42" s="477">
        <v>46160</v>
      </c>
      <c r="Q42" s="503"/>
      <c r="R42" s="504" t="s">
        <v>1028</v>
      </c>
      <c r="S42" s="504" t="s">
        <v>1028</v>
      </c>
      <c r="T42" s="505"/>
      <c r="U42" s="506"/>
      <c r="V42" s="504" t="s">
        <v>1028</v>
      </c>
      <c r="W42" s="506"/>
      <c r="X42" s="504" t="s">
        <v>1028</v>
      </c>
      <c r="Y42" s="508"/>
      <c r="Z42" s="506"/>
      <c r="AA42" s="476">
        <v>46155</v>
      </c>
      <c r="AB42" s="507"/>
      <c r="AC42" s="506"/>
      <c r="AD42" s="532" t="s">
        <v>1028</v>
      </c>
      <c r="AE42" s="529" t="s">
        <v>1028</v>
      </c>
      <c r="AF42" s="508"/>
      <c r="AG42" s="506"/>
      <c r="AH42" s="530" t="s">
        <v>1028</v>
      </c>
      <c r="AI42" s="508"/>
      <c r="AJ42" s="508"/>
      <c r="AK42" s="506"/>
      <c r="AL42" s="529" t="s">
        <v>1028</v>
      </c>
      <c r="AM42" s="508"/>
      <c r="AN42" s="508"/>
      <c r="AO42" s="506"/>
      <c r="AP42" s="512" t="s">
        <v>1028</v>
      </c>
      <c r="AQ42" s="508"/>
      <c r="AR42" s="508"/>
      <c r="AS42" s="508"/>
      <c r="AT42" s="508"/>
      <c r="AU42" s="508"/>
      <c r="AV42" s="506"/>
      <c r="AW42" s="507"/>
      <c r="AX42" s="511" t="s">
        <v>1028</v>
      </c>
      <c r="AY42" s="513" t="s">
        <v>1028</v>
      </c>
      <c r="AZ42" s="514" t="s">
        <v>273</v>
      </c>
      <c r="BA42" s="515" t="s">
        <v>153</v>
      </c>
      <c r="BB42" s="516"/>
      <c r="BC42" s="517" t="s">
        <v>154</v>
      </c>
      <c r="BD42" s="518">
        <v>11</v>
      </c>
      <c r="BE42" s="518" t="str">
        <f>I42</f>
        <v>VU-LA007</v>
      </c>
      <c r="BF42" s="519">
        <f>P42</f>
        <v>46160</v>
      </c>
      <c r="BG42" s="518">
        <f>A42</f>
        <v>21423</v>
      </c>
      <c r="BH42" s="491">
        <f>COUNTA(R42:Z42)</f>
        <v>4</v>
      </c>
      <c r="BI42" s="492">
        <f>COUNTA(AB42:AO42)</f>
        <v>4</v>
      </c>
      <c r="BJ42" s="520"/>
    </row>
    <row r="43" spans="1:62" s="521" customFormat="1" ht="12" customHeight="1" x14ac:dyDescent="0.15">
      <c r="A43" s="495">
        <v>21424</v>
      </c>
      <c r="B43" s="497">
        <v>3237</v>
      </c>
      <c r="C43" s="496"/>
      <c r="D43" s="496"/>
      <c r="E43" s="496"/>
      <c r="F43" s="496"/>
      <c r="G43" s="496"/>
      <c r="H43" s="496"/>
      <c r="I43" s="498" t="s">
        <v>275</v>
      </c>
      <c r="J43" s="499">
        <v>46140</v>
      </c>
      <c r="K43" s="500">
        <v>46160</v>
      </c>
      <c r="L43" s="500"/>
      <c r="M43" s="501" t="s">
        <v>1028</v>
      </c>
      <c r="N43" s="499">
        <v>46155</v>
      </c>
      <c r="O43" s="502">
        <v>46149</v>
      </c>
      <c r="P43" s="477">
        <v>46160</v>
      </c>
      <c r="Q43" s="503"/>
      <c r="R43" s="504" t="s">
        <v>1028</v>
      </c>
      <c r="S43" s="504" t="s">
        <v>1028</v>
      </c>
      <c r="T43" s="505"/>
      <c r="U43" s="506"/>
      <c r="V43" s="504" t="s">
        <v>1028</v>
      </c>
      <c r="W43" s="506"/>
      <c r="X43" s="504" t="s">
        <v>1028</v>
      </c>
      <c r="Y43" s="508"/>
      <c r="Z43" s="506"/>
      <c r="AA43" s="476">
        <v>46155</v>
      </c>
      <c r="AB43" s="529" t="s">
        <v>1028</v>
      </c>
      <c r="AC43" s="506"/>
      <c r="AD43" s="510"/>
      <c r="AE43" s="529" t="s">
        <v>1028</v>
      </c>
      <c r="AF43" s="508"/>
      <c r="AG43" s="506"/>
      <c r="AH43" s="530" t="s">
        <v>1028</v>
      </c>
      <c r="AI43" s="508"/>
      <c r="AJ43" s="508"/>
      <c r="AK43" s="506"/>
      <c r="AL43" s="529" t="s">
        <v>1028</v>
      </c>
      <c r="AM43" s="508"/>
      <c r="AN43" s="508"/>
      <c r="AO43" s="506"/>
      <c r="AP43" s="512" t="s">
        <v>1028</v>
      </c>
      <c r="AQ43" s="508"/>
      <c r="AR43" s="508"/>
      <c r="AS43" s="508"/>
      <c r="AT43" s="508"/>
      <c r="AU43" s="508"/>
      <c r="AV43" s="506"/>
      <c r="AW43" s="507"/>
      <c r="AX43" s="511" t="s">
        <v>1028</v>
      </c>
      <c r="AY43" s="513" t="s">
        <v>1028</v>
      </c>
      <c r="AZ43" s="514" t="s">
        <v>277</v>
      </c>
      <c r="BA43" s="515" t="s">
        <v>153</v>
      </c>
      <c r="BB43" s="516"/>
      <c r="BC43" s="517" t="s">
        <v>275</v>
      </c>
      <c r="BD43" s="518">
        <v>11</v>
      </c>
      <c r="BE43" s="518" t="str">
        <f>I43</f>
        <v>VU-LB006</v>
      </c>
      <c r="BF43" s="519">
        <f>P43</f>
        <v>46160</v>
      </c>
      <c r="BG43" s="518">
        <f>A43</f>
        <v>21424</v>
      </c>
      <c r="BH43" s="491">
        <f>COUNTA(R43:Z43)</f>
        <v>4</v>
      </c>
      <c r="BI43" s="492">
        <f>COUNTA(AB43:AO43)</f>
        <v>4</v>
      </c>
      <c r="BJ43" s="520"/>
    </row>
    <row r="44" spans="1:62" s="521" customFormat="1" ht="12" customHeight="1" x14ac:dyDescent="0.15">
      <c r="A44" s="495">
        <v>21425</v>
      </c>
      <c r="B44" s="497">
        <v>3238</v>
      </c>
      <c r="C44" s="496"/>
      <c r="D44" s="496"/>
      <c r="E44" s="496"/>
      <c r="F44" s="496"/>
      <c r="G44" s="496"/>
      <c r="H44" s="496"/>
      <c r="I44" s="498" t="s">
        <v>275</v>
      </c>
      <c r="J44" s="499">
        <v>46149</v>
      </c>
      <c r="K44" s="500">
        <v>46161</v>
      </c>
      <c r="L44" s="500"/>
      <c r="M44" s="501" t="s">
        <v>1028</v>
      </c>
      <c r="N44" s="499">
        <v>46156</v>
      </c>
      <c r="O44" s="502">
        <v>46150</v>
      </c>
      <c r="P44" s="477">
        <v>46161</v>
      </c>
      <c r="Q44" s="503"/>
      <c r="R44" s="504" t="s">
        <v>1028</v>
      </c>
      <c r="S44" s="504" t="s">
        <v>1028</v>
      </c>
      <c r="T44" s="505"/>
      <c r="U44" s="506"/>
      <c r="V44" s="504" t="s">
        <v>1028</v>
      </c>
      <c r="W44" s="506"/>
      <c r="X44" s="504" t="s">
        <v>1028</v>
      </c>
      <c r="Y44" s="508"/>
      <c r="Z44" s="506"/>
      <c r="AA44" s="476">
        <v>46156</v>
      </c>
      <c r="AB44" s="529" t="s">
        <v>1028</v>
      </c>
      <c r="AC44" s="506"/>
      <c r="AD44" s="510"/>
      <c r="AE44" s="529" t="s">
        <v>1028</v>
      </c>
      <c r="AF44" s="508"/>
      <c r="AG44" s="506"/>
      <c r="AH44" s="530" t="s">
        <v>1028</v>
      </c>
      <c r="AI44" s="508"/>
      <c r="AJ44" s="508"/>
      <c r="AK44" s="506"/>
      <c r="AL44" s="529" t="s">
        <v>1028</v>
      </c>
      <c r="AM44" s="508"/>
      <c r="AN44" s="508"/>
      <c r="AO44" s="506"/>
      <c r="AP44" s="512" t="s">
        <v>1028</v>
      </c>
      <c r="AQ44" s="508"/>
      <c r="AR44" s="508"/>
      <c r="AS44" s="508"/>
      <c r="AT44" s="508"/>
      <c r="AU44" s="508"/>
      <c r="AV44" s="506"/>
      <c r="AW44" s="507"/>
      <c r="AX44" s="511" t="s">
        <v>1028</v>
      </c>
      <c r="AY44" s="513" t="s">
        <v>1028</v>
      </c>
      <c r="AZ44" s="514" t="s">
        <v>280</v>
      </c>
      <c r="BA44" s="515" t="s">
        <v>153</v>
      </c>
      <c r="BB44" s="516"/>
      <c r="BC44" s="517" t="s">
        <v>275</v>
      </c>
      <c r="BD44" s="518">
        <v>11</v>
      </c>
      <c r="BE44" s="518" t="str">
        <f>I44</f>
        <v>VU-LB006</v>
      </c>
      <c r="BF44" s="519">
        <f>P44</f>
        <v>46161</v>
      </c>
      <c r="BG44" s="518">
        <f>A44</f>
        <v>21425</v>
      </c>
      <c r="BH44" s="491">
        <f>COUNTA(R44:Z44)</f>
        <v>4</v>
      </c>
      <c r="BI44" s="492">
        <f>COUNTA(AB44:AO44)</f>
        <v>4</v>
      </c>
      <c r="BJ44" s="520"/>
    </row>
    <row r="45" spans="1:62" s="521" customFormat="1" ht="12" customHeight="1" x14ac:dyDescent="0.15">
      <c r="A45" s="495">
        <v>21426</v>
      </c>
      <c r="B45" s="497">
        <v>3239</v>
      </c>
      <c r="C45" s="496"/>
      <c r="D45" s="496"/>
      <c r="E45" s="496"/>
      <c r="F45" s="496"/>
      <c r="G45" s="496"/>
      <c r="H45" s="496"/>
      <c r="I45" s="498" t="s">
        <v>275</v>
      </c>
      <c r="J45" s="499">
        <v>46149</v>
      </c>
      <c r="K45" s="500">
        <v>46161</v>
      </c>
      <c r="L45" s="500"/>
      <c r="M45" s="501" t="s">
        <v>1028</v>
      </c>
      <c r="N45" s="499">
        <v>46156</v>
      </c>
      <c r="O45" s="502">
        <v>46150</v>
      </c>
      <c r="P45" s="477">
        <v>46161</v>
      </c>
      <c r="Q45" s="503"/>
      <c r="R45" s="504" t="s">
        <v>1028</v>
      </c>
      <c r="S45" s="504" t="s">
        <v>1028</v>
      </c>
      <c r="T45" s="505"/>
      <c r="U45" s="506"/>
      <c r="V45" s="504" t="s">
        <v>1028</v>
      </c>
      <c r="W45" s="506"/>
      <c r="X45" s="504" t="s">
        <v>1028</v>
      </c>
      <c r="Y45" s="508"/>
      <c r="Z45" s="506"/>
      <c r="AA45" s="476">
        <v>46156</v>
      </c>
      <c r="AB45" s="529" t="s">
        <v>1028</v>
      </c>
      <c r="AC45" s="506"/>
      <c r="AD45" s="510"/>
      <c r="AE45" s="529" t="s">
        <v>1028</v>
      </c>
      <c r="AF45" s="508"/>
      <c r="AG45" s="506"/>
      <c r="AH45" s="530" t="s">
        <v>1028</v>
      </c>
      <c r="AI45" s="508"/>
      <c r="AJ45" s="508"/>
      <c r="AK45" s="506"/>
      <c r="AL45" s="529" t="s">
        <v>1028</v>
      </c>
      <c r="AM45" s="508"/>
      <c r="AN45" s="508"/>
      <c r="AO45" s="506"/>
      <c r="AP45" s="512" t="s">
        <v>1028</v>
      </c>
      <c r="AQ45" s="508"/>
      <c r="AR45" s="508"/>
      <c r="AS45" s="508"/>
      <c r="AT45" s="508"/>
      <c r="AU45" s="508"/>
      <c r="AV45" s="506"/>
      <c r="AW45" s="507"/>
      <c r="AX45" s="511" t="s">
        <v>1028</v>
      </c>
      <c r="AY45" s="513" t="s">
        <v>1028</v>
      </c>
      <c r="AZ45" s="514" t="s">
        <v>279</v>
      </c>
      <c r="BA45" s="515" t="s">
        <v>153</v>
      </c>
      <c r="BB45" s="516"/>
      <c r="BC45" s="517" t="s">
        <v>275</v>
      </c>
      <c r="BD45" s="518">
        <v>11</v>
      </c>
      <c r="BE45" s="518" t="str">
        <f>I45</f>
        <v>VU-LB006</v>
      </c>
      <c r="BF45" s="519">
        <f>P45</f>
        <v>46161</v>
      </c>
      <c r="BG45" s="518">
        <f>A45</f>
        <v>21426</v>
      </c>
      <c r="BH45" s="491">
        <f>COUNTA(R45:Z45)</f>
        <v>4</v>
      </c>
      <c r="BI45" s="492">
        <f>COUNTA(AB45:AO45)</f>
        <v>4</v>
      </c>
      <c r="BJ45" s="520"/>
    </row>
    <row r="46" spans="1:62" s="521" customFormat="1" ht="12" customHeight="1" x14ac:dyDescent="0.15">
      <c r="A46" s="495">
        <v>21427</v>
      </c>
      <c r="B46" s="497">
        <v>3240</v>
      </c>
      <c r="C46" s="496"/>
      <c r="D46" s="496"/>
      <c r="E46" s="496"/>
      <c r="F46" s="496"/>
      <c r="G46" s="496"/>
      <c r="H46" s="496"/>
      <c r="I46" s="498" t="s">
        <v>275</v>
      </c>
      <c r="J46" s="499">
        <v>46149</v>
      </c>
      <c r="K46" s="500">
        <v>46161</v>
      </c>
      <c r="L46" s="500"/>
      <c r="M46" s="501" t="s">
        <v>1028</v>
      </c>
      <c r="N46" s="499">
        <v>46157</v>
      </c>
      <c r="O46" s="502">
        <v>46153</v>
      </c>
      <c r="P46" s="477">
        <v>46161</v>
      </c>
      <c r="Q46" s="503"/>
      <c r="R46" s="504" t="s">
        <v>1028</v>
      </c>
      <c r="S46" s="504" t="s">
        <v>1028</v>
      </c>
      <c r="T46" s="505"/>
      <c r="U46" s="506"/>
      <c r="V46" s="504" t="s">
        <v>1028</v>
      </c>
      <c r="W46" s="506"/>
      <c r="X46" s="504" t="s">
        <v>1028</v>
      </c>
      <c r="Y46" s="508"/>
      <c r="Z46" s="506"/>
      <c r="AA46" s="476">
        <v>46156</v>
      </c>
      <c r="AB46" s="529" t="s">
        <v>1028</v>
      </c>
      <c r="AC46" s="506"/>
      <c r="AD46" s="510"/>
      <c r="AE46" s="529" t="s">
        <v>1028</v>
      </c>
      <c r="AF46" s="508"/>
      <c r="AG46" s="506"/>
      <c r="AH46" s="530" t="s">
        <v>1028</v>
      </c>
      <c r="AI46" s="508"/>
      <c r="AJ46" s="508"/>
      <c r="AK46" s="506"/>
      <c r="AL46" s="529" t="s">
        <v>1028</v>
      </c>
      <c r="AM46" s="508"/>
      <c r="AN46" s="508"/>
      <c r="AO46" s="506"/>
      <c r="AP46" s="512" t="s">
        <v>1028</v>
      </c>
      <c r="AQ46" s="508"/>
      <c r="AR46" s="508"/>
      <c r="AS46" s="508"/>
      <c r="AT46" s="508"/>
      <c r="AU46" s="508"/>
      <c r="AV46" s="506"/>
      <c r="AW46" s="507"/>
      <c r="AX46" s="511" t="s">
        <v>1028</v>
      </c>
      <c r="AY46" s="513" t="s">
        <v>1028</v>
      </c>
      <c r="AZ46" s="514" t="s">
        <v>278</v>
      </c>
      <c r="BA46" s="515" t="s">
        <v>153</v>
      </c>
      <c r="BB46" s="516"/>
      <c r="BC46" s="517" t="s">
        <v>275</v>
      </c>
      <c r="BD46" s="518">
        <v>11</v>
      </c>
      <c r="BE46" s="518" t="str">
        <f>I46</f>
        <v>VU-LB006</v>
      </c>
      <c r="BF46" s="519">
        <f>P46</f>
        <v>46161</v>
      </c>
      <c r="BG46" s="518">
        <f>A46</f>
        <v>21427</v>
      </c>
      <c r="BH46" s="491">
        <f>COUNTA(R46:Z46)</f>
        <v>4</v>
      </c>
      <c r="BI46" s="492">
        <f>COUNTA(AB46:AO46)</f>
        <v>4</v>
      </c>
      <c r="BJ46" s="520"/>
    </row>
    <row r="47" spans="1:62" s="521" customFormat="1" ht="12" customHeight="1" x14ac:dyDescent="0.15">
      <c r="A47" s="495">
        <v>21428</v>
      </c>
      <c r="B47" s="497">
        <v>3241</v>
      </c>
      <c r="C47" s="496"/>
      <c r="D47" s="496"/>
      <c r="E47" s="496"/>
      <c r="F47" s="496"/>
      <c r="G47" s="496"/>
      <c r="H47" s="496"/>
      <c r="I47" s="498" t="s">
        <v>275</v>
      </c>
      <c r="J47" s="499">
        <v>46150</v>
      </c>
      <c r="K47" s="500">
        <v>46162</v>
      </c>
      <c r="L47" s="500"/>
      <c r="M47" s="501" t="s">
        <v>1028</v>
      </c>
      <c r="N47" s="499">
        <v>46157</v>
      </c>
      <c r="O47" s="502">
        <v>46153</v>
      </c>
      <c r="P47" s="477">
        <v>46162</v>
      </c>
      <c r="Q47" s="503"/>
      <c r="R47" s="504" t="s">
        <v>1028</v>
      </c>
      <c r="S47" s="504" t="s">
        <v>1028</v>
      </c>
      <c r="T47" s="505"/>
      <c r="U47" s="506"/>
      <c r="V47" s="504" t="s">
        <v>1028</v>
      </c>
      <c r="W47" s="506"/>
      <c r="X47" s="504" t="s">
        <v>1028</v>
      </c>
      <c r="Y47" s="508"/>
      <c r="Z47" s="506"/>
      <c r="AA47" s="476">
        <v>46157</v>
      </c>
      <c r="AB47" s="529" t="s">
        <v>1028</v>
      </c>
      <c r="AC47" s="506"/>
      <c r="AD47" s="510"/>
      <c r="AE47" s="529" t="s">
        <v>1028</v>
      </c>
      <c r="AF47" s="508"/>
      <c r="AG47" s="506"/>
      <c r="AH47" s="530" t="s">
        <v>1028</v>
      </c>
      <c r="AI47" s="508"/>
      <c r="AJ47" s="508"/>
      <c r="AK47" s="506"/>
      <c r="AL47" s="529" t="s">
        <v>1028</v>
      </c>
      <c r="AM47" s="508"/>
      <c r="AN47" s="508"/>
      <c r="AO47" s="506"/>
      <c r="AP47" s="512" t="s">
        <v>1028</v>
      </c>
      <c r="AQ47" s="508"/>
      <c r="AR47" s="508"/>
      <c r="AS47" s="508"/>
      <c r="AT47" s="508"/>
      <c r="AU47" s="508"/>
      <c r="AV47" s="506"/>
      <c r="AW47" s="507"/>
      <c r="AX47" s="511" t="s">
        <v>1028</v>
      </c>
      <c r="AY47" s="513" t="s">
        <v>1028</v>
      </c>
      <c r="AZ47" s="514" t="s">
        <v>281</v>
      </c>
      <c r="BA47" s="515" t="s">
        <v>153</v>
      </c>
      <c r="BB47" s="516"/>
      <c r="BC47" s="517" t="s">
        <v>275</v>
      </c>
      <c r="BD47" s="518">
        <v>11</v>
      </c>
      <c r="BE47" s="518" t="str">
        <f>I47</f>
        <v>VU-LB006</v>
      </c>
      <c r="BF47" s="519">
        <f>P47</f>
        <v>46162</v>
      </c>
      <c r="BG47" s="518">
        <f>A47</f>
        <v>21428</v>
      </c>
      <c r="BH47" s="491">
        <f>COUNTA(R47:Z47)</f>
        <v>4</v>
      </c>
      <c r="BI47" s="492">
        <f>COUNTA(AB47:AO47)</f>
        <v>4</v>
      </c>
      <c r="BJ47" s="520"/>
    </row>
    <row r="48" spans="1:62" s="521" customFormat="1" ht="12" customHeight="1" x14ac:dyDescent="0.15">
      <c r="A48" s="495">
        <v>21429</v>
      </c>
      <c r="B48" s="497">
        <v>3242</v>
      </c>
      <c r="C48" s="496"/>
      <c r="D48" s="496"/>
      <c r="E48" s="496"/>
      <c r="F48" s="496"/>
      <c r="G48" s="496"/>
      <c r="H48" s="496"/>
      <c r="I48" s="498" t="s">
        <v>275</v>
      </c>
      <c r="J48" s="499">
        <v>46150</v>
      </c>
      <c r="K48" s="500">
        <v>46162</v>
      </c>
      <c r="L48" s="500"/>
      <c r="M48" s="501" t="s">
        <v>1028</v>
      </c>
      <c r="N48" s="499">
        <v>46160</v>
      </c>
      <c r="O48" s="502">
        <v>46154</v>
      </c>
      <c r="P48" s="477">
        <v>46162</v>
      </c>
      <c r="Q48" s="503"/>
      <c r="R48" s="504" t="s">
        <v>1028</v>
      </c>
      <c r="S48" s="504" t="s">
        <v>1028</v>
      </c>
      <c r="T48" s="505"/>
      <c r="U48" s="506"/>
      <c r="V48" s="504" t="s">
        <v>1028</v>
      </c>
      <c r="W48" s="506"/>
      <c r="X48" s="504" t="s">
        <v>1028</v>
      </c>
      <c r="Y48" s="508"/>
      <c r="Z48" s="506"/>
      <c r="AA48" s="476">
        <v>46157</v>
      </c>
      <c r="AB48" s="529" t="s">
        <v>1028</v>
      </c>
      <c r="AC48" s="506"/>
      <c r="AD48" s="510"/>
      <c r="AE48" s="529" t="s">
        <v>1028</v>
      </c>
      <c r="AF48" s="508"/>
      <c r="AG48" s="506"/>
      <c r="AH48" s="530" t="s">
        <v>1028</v>
      </c>
      <c r="AI48" s="508"/>
      <c r="AJ48" s="508"/>
      <c r="AK48" s="506"/>
      <c r="AL48" s="529" t="s">
        <v>1028</v>
      </c>
      <c r="AM48" s="508"/>
      <c r="AN48" s="508"/>
      <c r="AO48" s="506"/>
      <c r="AP48" s="512" t="s">
        <v>1028</v>
      </c>
      <c r="AQ48" s="508"/>
      <c r="AR48" s="508"/>
      <c r="AS48" s="508"/>
      <c r="AT48" s="508"/>
      <c r="AU48" s="508"/>
      <c r="AV48" s="506"/>
      <c r="AW48" s="507"/>
      <c r="AX48" s="511" t="s">
        <v>1028</v>
      </c>
      <c r="AY48" s="513" t="s">
        <v>1028</v>
      </c>
      <c r="AZ48" s="514" t="s">
        <v>283</v>
      </c>
      <c r="BA48" s="515" t="s">
        <v>153</v>
      </c>
      <c r="BB48" s="516"/>
      <c r="BC48" s="517" t="s">
        <v>275</v>
      </c>
      <c r="BD48" s="518">
        <v>11</v>
      </c>
      <c r="BE48" s="518" t="str">
        <f>I48</f>
        <v>VU-LB006</v>
      </c>
      <c r="BF48" s="519">
        <f>P48</f>
        <v>46162</v>
      </c>
      <c r="BG48" s="518">
        <f>A48</f>
        <v>21429</v>
      </c>
      <c r="BH48" s="491">
        <f>COUNTA(R48:Z48)</f>
        <v>4</v>
      </c>
      <c r="BI48" s="492">
        <f>COUNTA(AB48:AO48)</f>
        <v>4</v>
      </c>
      <c r="BJ48" s="520"/>
    </row>
    <row r="49" spans="1:62" s="521" customFormat="1" ht="12" customHeight="1" x14ac:dyDescent="0.15">
      <c r="A49" s="495">
        <v>21430</v>
      </c>
      <c r="B49" s="497">
        <v>3243</v>
      </c>
      <c r="C49" s="496"/>
      <c r="D49" s="496"/>
      <c r="E49" s="496"/>
      <c r="F49" s="496"/>
      <c r="G49" s="496"/>
      <c r="H49" s="496"/>
      <c r="I49" s="498" t="s">
        <v>275</v>
      </c>
      <c r="J49" s="499">
        <v>46150</v>
      </c>
      <c r="K49" s="500">
        <v>46162</v>
      </c>
      <c r="L49" s="500"/>
      <c r="M49" s="501" t="s">
        <v>1028</v>
      </c>
      <c r="N49" s="499">
        <v>46160</v>
      </c>
      <c r="O49" s="502">
        <v>46154</v>
      </c>
      <c r="P49" s="477">
        <v>46162</v>
      </c>
      <c r="Q49" s="503"/>
      <c r="R49" s="504" t="s">
        <v>1028</v>
      </c>
      <c r="S49" s="504" t="s">
        <v>1028</v>
      </c>
      <c r="T49" s="505"/>
      <c r="U49" s="506"/>
      <c r="V49" s="504" t="s">
        <v>1028</v>
      </c>
      <c r="W49" s="506"/>
      <c r="X49" s="504" t="s">
        <v>1028</v>
      </c>
      <c r="Y49" s="508"/>
      <c r="Z49" s="506"/>
      <c r="AA49" s="476">
        <v>46157</v>
      </c>
      <c r="AB49" s="529" t="s">
        <v>1028</v>
      </c>
      <c r="AC49" s="506"/>
      <c r="AD49" s="510"/>
      <c r="AE49" s="529" t="s">
        <v>1028</v>
      </c>
      <c r="AF49" s="508"/>
      <c r="AG49" s="506"/>
      <c r="AH49" s="530" t="s">
        <v>1028</v>
      </c>
      <c r="AI49" s="508"/>
      <c r="AJ49" s="508"/>
      <c r="AK49" s="506"/>
      <c r="AL49" s="529" t="s">
        <v>1028</v>
      </c>
      <c r="AM49" s="508"/>
      <c r="AN49" s="508"/>
      <c r="AO49" s="506"/>
      <c r="AP49" s="512" t="s">
        <v>1028</v>
      </c>
      <c r="AQ49" s="508"/>
      <c r="AR49" s="508"/>
      <c r="AS49" s="508"/>
      <c r="AT49" s="508"/>
      <c r="AU49" s="508"/>
      <c r="AV49" s="506"/>
      <c r="AW49" s="507"/>
      <c r="AX49" s="511" t="s">
        <v>1028</v>
      </c>
      <c r="AY49" s="513" t="s">
        <v>1028</v>
      </c>
      <c r="AZ49" s="514" t="s">
        <v>282</v>
      </c>
      <c r="BA49" s="515" t="s">
        <v>153</v>
      </c>
      <c r="BB49" s="516"/>
      <c r="BC49" s="517" t="s">
        <v>275</v>
      </c>
      <c r="BD49" s="518">
        <v>11</v>
      </c>
      <c r="BE49" s="518" t="str">
        <f>I49</f>
        <v>VU-LB006</v>
      </c>
      <c r="BF49" s="519">
        <f>P49</f>
        <v>46162</v>
      </c>
      <c r="BG49" s="518">
        <f>A49</f>
        <v>21430</v>
      </c>
      <c r="BH49" s="491">
        <f>COUNTA(R49:Z49)</f>
        <v>4</v>
      </c>
      <c r="BI49" s="492">
        <f>COUNTA(AB49:AO49)</f>
        <v>4</v>
      </c>
      <c r="BJ49" s="520"/>
    </row>
    <row r="50" spans="1:62" s="521" customFormat="1" ht="12" customHeight="1" x14ac:dyDescent="0.15">
      <c r="A50" s="495">
        <v>21431</v>
      </c>
      <c r="B50" s="497">
        <v>3244</v>
      </c>
      <c r="C50" s="496"/>
      <c r="D50" s="496"/>
      <c r="E50" s="496"/>
      <c r="F50" s="496"/>
      <c r="G50" s="496"/>
      <c r="H50" s="496"/>
      <c r="I50" s="498" t="s">
        <v>275</v>
      </c>
      <c r="J50" s="499">
        <v>46153</v>
      </c>
      <c r="K50" s="500">
        <v>46163</v>
      </c>
      <c r="L50" s="500"/>
      <c r="M50" s="501" t="s">
        <v>1028</v>
      </c>
      <c r="N50" s="499">
        <v>46161</v>
      </c>
      <c r="O50" s="502">
        <v>46155</v>
      </c>
      <c r="P50" s="477">
        <v>46163</v>
      </c>
      <c r="Q50" s="503"/>
      <c r="R50" s="504" t="s">
        <v>1028</v>
      </c>
      <c r="S50" s="504" t="s">
        <v>1028</v>
      </c>
      <c r="T50" s="505"/>
      <c r="U50" s="506"/>
      <c r="V50" s="504" t="s">
        <v>1028</v>
      </c>
      <c r="W50" s="506"/>
      <c r="X50" s="504" t="s">
        <v>1028</v>
      </c>
      <c r="Y50" s="508"/>
      <c r="Z50" s="506"/>
      <c r="AA50" s="476">
        <v>46160</v>
      </c>
      <c r="AB50" s="529" t="s">
        <v>1028</v>
      </c>
      <c r="AC50" s="506"/>
      <c r="AD50" s="510"/>
      <c r="AE50" s="529" t="s">
        <v>1028</v>
      </c>
      <c r="AF50" s="508"/>
      <c r="AG50" s="506"/>
      <c r="AH50" s="530" t="s">
        <v>1028</v>
      </c>
      <c r="AI50" s="508"/>
      <c r="AJ50" s="508"/>
      <c r="AK50" s="506"/>
      <c r="AL50" s="529" t="s">
        <v>1028</v>
      </c>
      <c r="AM50" s="508"/>
      <c r="AN50" s="508"/>
      <c r="AO50" s="506"/>
      <c r="AP50" s="512" t="s">
        <v>1028</v>
      </c>
      <c r="AQ50" s="508"/>
      <c r="AR50" s="508"/>
      <c r="AS50" s="508"/>
      <c r="AT50" s="508"/>
      <c r="AU50" s="508"/>
      <c r="AV50" s="506"/>
      <c r="AW50" s="507"/>
      <c r="AX50" s="511" t="s">
        <v>1028</v>
      </c>
      <c r="AY50" s="513" t="s">
        <v>1028</v>
      </c>
      <c r="AZ50" s="514" t="s">
        <v>284</v>
      </c>
      <c r="BA50" s="515" t="s">
        <v>153</v>
      </c>
      <c r="BB50" s="516"/>
      <c r="BC50" s="517" t="s">
        <v>275</v>
      </c>
      <c r="BD50" s="518">
        <v>11</v>
      </c>
      <c r="BE50" s="518" t="str">
        <f>I50</f>
        <v>VU-LB006</v>
      </c>
      <c r="BF50" s="519">
        <f>P50</f>
        <v>46163</v>
      </c>
      <c r="BG50" s="518">
        <f>A50</f>
        <v>21431</v>
      </c>
      <c r="BH50" s="491">
        <f>COUNTA(R50:Z50)</f>
        <v>4</v>
      </c>
      <c r="BI50" s="492">
        <f>COUNTA(AB50:AO50)</f>
        <v>4</v>
      </c>
      <c r="BJ50" s="520"/>
    </row>
    <row r="51" spans="1:62" s="521" customFormat="1" ht="12" customHeight="1" x14ac:dyDescent="0.15">
      <c r="A51" s="495">
        <v>21432</v>
      </c>
      <c r="B51" s="497">
        <v>3245</v>
      </c>
      <c r="C51" s="496"/>
      <c r="D51" s="496"/>
      <c r="E51" s="496"/>
      <c r="F51" s="496"/>
      <c r="G51" s="496"/>
      <c r="H51" s="496"/>
      <c r="I51" s="498" t="s">
        <v>286</v>
      </c>
      <c r="J51" s="499">
        <v>46153</v>
      </c>
      <c r="K51" s="500">
        <v>46163</v>
      </c>
      <c r="L51" s="500"/>
      <c r="M51" s="501" t="s">
        <v>1028</v>
      </c>
      <c r="N51" s="499">
        <v>46161</v>
      </c>
      <c r="O51" s="502">
        <v>46155</v>
      </c>
      <c r="P51" s="477">
        <v>46163</v>
      </c>
      <c r="Q51" s="503"/>
      <c r="R51" s="504" t="s">
        <v>1028</v>
      </c>
      <c r="S51" s="504" t="s">
        <v>1028</v>
      </c>
      <c r="T51" s="505"/>
      <c r="U51" s="506"/>
      <c r="V51" s="504" t="s">
        <v>1028</v>
      </c>
      <c r="W51" s="506"/>
      <c r="X51" s="504" t="s">
        <v>1028</v>
      </c>
      <c r="Y51" s="508"/>
      <c r="Z51" s="506"/>
      <c r="AA51" s="476">
        <v>46160</v>
      </c>
      <c r="AB51" s="507"/>
      <c r="AC51" s="506"/>
      <c r="AD51" s="532" t="s">
        <v>1028</v>
      </c>
      <c r="AE51" s="507"/>
      <c r="AF51" s="508"/>
      <c r="AG51" s="484" t="s">
        <v>1028</v>
      </c>
      <c r="AH51" s="505"/>
      <c r="AI51" s="508"/>
      <c r="AJ51" s="508"/>
      <c r="AK51" s="484" t="s">
        <v>1028</v>
      </c>
      <c r="AL51" s="507"/>
      <c r="AM51" s="508"/>
      <c r="AN51" s="508"/>
      <c r="AO51" s="484" t="s">
        <v>1028</v>
      </c>
      <c r="AP51" s="512" t="s">
        <v>1028</v>
      </c>
      <c r="AQ51" s="508"/>
      <c r="AR51" s="508"/>
      <c r="AS51" s="508"/>
      <c r="AT51" s="508"/>
      <c r="AU51" s="508"/>
      <c r="AV51" s="506"/>
      <c r="AW51" s="507"/>
      <c r="AX51" s="511" t="s">
        <v>1028</v>
      </c>
      <c r="AY51" s="513" t="s">
        <v>1028</v>
      </c>
      <c r="AZ51" s="514" t="s">
        <v>288</v>
      </c>
      <c r="BA51" s="515" t="s">
        <v>153</v>
      </c>
      <c r="BB51" s="516"/>
      <c r="BC51" s="517" t="s">
        <v>286</v>
      </c>
      <c r="BD51" s="518">
        <v>11</v>
      </c>
      <c r="BE51" s="518" t="str">
        <f>I51</f>
        <v>VU-LC002</v>
      </c>
      <c r="BF51" s="519">
        <f>P51</f>
        <v>46163</v>
      </c>
      <c r="BG51" s="518">
        <f>A51</f>
        <v>21432</v>
      </c>
      <c r="BH51" s="491">
        <f>COUNTA(R51:Z51)</f>
        <v>4</v>
      </c>
      <c r="BI51" s="492">
        <f>COUNTA(AB51:AO51)</f>
        <v>4</v>
      </c>
      <c r="BJ51" s="520"/>
    </row>
    <row r="52" spans="1:62" s="521" customFormat="1" ht="12" customHeight="1" x14ac:dyDescent="0.15">
      <c r="A52" s="495">
        <v>21433</v>
      </c>
      <c r="B52" s="497">
        <v>3246</v>
      </c>
      <c r="C52" s="496"/>
      <c r="D52" s="496"/>
      <c r="E52" s="496"/>
      <c r="F52" s="496"/>
      <c r="G52" s="496"/>
      <c r="H52" s="496"/>
      <c r="I52" s="498" t="s">
        <v>286</v>
      </c>
      <c r="J52" s="499">
        <v>46153</v>
      </c>
      <c r="K52" s="500">
        <v>46163</v>
      </c>
      <c r="L52" s="500"/>
      <c r="M52" s="501" t="s">
        <v>1028</v>
      </c>
      <c r="N52" s="499">
        <v>46162</v>
      </c>
      <c r="O52" s="502">
        <v>46156</v>
      </c>
      <c r="P52" s="477">
        <v>46163</v>
      </c>
      <c r="Q52" s="503"/>
      <c r="R52" s="504" t="s">
        <v>1028</v>
      </c>
      <c r="S52" s="504" t="s">
        <v>1028</v>
      </c>
      <c r="T52" s="505"/>
      <c r="U52" s="506"/>
      <c r="V52" s="504" t="s">
        <v>1028</v>
      </c>
      <c r="W52" s="506"/>
      <c r="X52" s="504" t="s">
        <v>1028</v>
      </c>
      <c r="Y52" s="508"/>
      <c r="Z52" s="506"/>
      <c r="AA52" s="476">
        <v>46160</v>
      </c>
      <c r="AB52" s="507"/>
      <c r="AC52" s="506"/>
      <c r="AD52" s="532" t="s">
        <v>1028</v>
      </c>
      <c r="AE52" s="507"/>
      <c r="AF52" s="508"/>
      <c r="AG52" s="484" t="s">
        <v>1028</v>
      </c>
      <c r="AH52" s="505"/>
      <c r="AI52" s="508"/>
      <c r="AJ52" s="508"/>
      <c r="AK52" s="484" t="s">
        <v>1028</v>
      </c>
      <c r="AL52" s="507"/>
      <c r="AM52" s="508"/>
      <c r="AN52" s="508"/>
      <c r="AO52" s="484" t="s">
        <v>1028</v>
      </c>
      <c r="AP52" s="512" t="s">
        <v>1028</v>
      </c>
      <c r="AQ52" s="508"/>
      <c r="AR52" s="508"/>
      <c r="AS52" s="508"/>
      <c r="AT52" s="508"/>
      <c r="AU52" s="508"/>
      <c r="AV52" s="506"/>
      <c r="AW52" s="507"/>
      <c r="AX52" s="511" t="s">
        <v>1028</v>
      </c>
      <c r="AY52" s="513" t="s">
        <v>1028</v>
      </c>
      <c r="AZ52" s="514" t="s">
        <v>285</v>
      </c>
      <c r="BA52" s="515" t="s">
        <v>153</v>
      </c>
      <c r="BB52" s="516"/>
      <c r="BC52" s="517" t="s">
        <v>286</v>
      </c>
      <c r="BD52" s="518">
        <v>11</v>
      </c>
      <c r="BE52" s="518" t="str">
        <f>I52</f>
        <v>VU-LC002</v>
      </c>
      <c r="BF52" s="519">
        <f>P52</f>
        <v>46163</v>
      </c>
      <c r="BG52" s="518">
        <f>A52</f>
        <v>21433</v>
      </c>
      <c r="BH52" s="491">
        <f>COUNTA(R52:Z52)</f>
        <v>4</v>
      </c>
      <c r="BI52" s="492">
        <f>COUNTA(AB52:AO52)</f>
        <v>4</v>
      </c>
      <c r="BJ52" s="520"/>
    </row>
    <row r="53" spans="1:62" s="521" customFormat="1" ht="12" customHeight="1" x14ac:dyDescent="0.15">
      <c r="A53" s="495">
        <v>21434</v>
      </c>
      <c r="B53" s="497">
        <v>3247</v>
      </c>
      <c r="C53" s="496"/>
      <c r="D53" s="496"/>
      <c r="E53" s="496"/>
      <c r="F53" s="496"/>
      <c r="G53" s="496"/>
      <c r="H53" s="496"/>
      <c r="I53" s="498" t="s">
        <v>286</v>
      </c>
      <c r="J53" s="499">
        <v>46154</v>
      </c>
      <c r="K53" s="500">
        <v>46164</v>
      </c>
      <c r="L53" s="500"/>
      <c r="M53" s="501" t="s">
        <v>1028</v>
      </c>
      <c r="N53" s="499">
        <v>46162</v>
      </c>
      <c r="O53" s="502">
        <v>46156</v>
      </c>
      <c r="P53" s="477">
        <v>46164</v>
      </c>
      <c r="Q53" s="503"/>
      <c r="R53" s="504" t="s">
        <v>1028</v>
      </c>
      <c r="S53" s="504" t="s">
        <v>1028</v>
      </c>
      <c r="T53" s="505"/>
      <c r="U53" s="506"/>
      <c r="V53" s="504" t="s">
        <v>1028</v>
      </c>
      <c r="W53" s="506"/>
      <c r="X53" s="504" t="s">
        <v>1028</v>
      </c>
      <c r="Y53" s="508"/>
      <c r="Z53" s="506"/>
      <c r="AA53" s="476">
        <v>46161</v>
      </c>
      <c r="AB53" s="507"/>
      <c r="AC53" s="506"/>
      <c r="AD53" s="532" t="s">
        <v>1028</v>
      </c>
      <c r="AE53" s="507"/>
      <c r="AF53" s="508"/>
      <c r="AG53" s="484" t="s">
        <v>1028</v>
      </c>
      <c r="AH53" s="505"/>
      <c r="AI53" s="508"/>
      <c r="AJ53" s="508"/>
      <c r="AK53" s="484" t="s">
        <v>1028</v>
      </c>
      <c r="AL53" s="507"/>
      <c r="AM53" s="508"/>
      <c r="AN53" s="508"/>
      <c r="AO53" s="484" t="s">
        <v>1028</v>
      </c>
      <c r="AP53" s="512" t="s">
        <v>1028</v>
      </c>
      <c r="AQ53" s="508"/>
      <c r="AR53" s="508"/>
      <c r="AS53" s="508"/>
      <c r="AT53" s="508"/>
      <c r="AU53" s="508"/>
      <c r="AV53" s="506"/>
      <c r="AW53" s="507"/>
      <c r="AX53" s="511" t="s">
        <v>1028</v>
      </c>
      <c r="AY53" s="513" t="s">
        <v>1028</v>
      </c>
      <c r="AZ53" s="514" t="s">
        <v>290</v>
      </c>
      <c r="BA53" s="515" t="s">
        <v>153</v>
      </c>
      <c r="BB53" s="516"/>
      <c r="BC53" s="517" t="s">
        <v>286</v>
      </c>
      <c r="BD53" s="518">
        <v>11</v>
      </c>
      <c r="BE53" s="518" t="str">
        <f>I53</f>
        <v>VU-LC002</v>
      </c>
      <c r="BF53" s="519">
        <f>P53</f>
        <v>46164</v>
      </c>
      <c r="BG53" s="518">
        <f>A53</f>
        <v>21434</v>
      </c>
      <c r="BH53" s="491">
        <f>COUNTA(R53:Z53)</f>
        <v>4</v>
      </c>
      <c r="BI53" s="492">
        <f>COUNTA(AB53:AO53)</f>
        <v>4</v>
      </c>
      <c r="BJ53" s="520"/>
    </row>
    <row r="54" spans="1:62" s="521" customFormat="1" ht="12" customHeight="1" x14ac:dyDescent="0.15">
      <c r="A54" s="495">
        <v>21435</v>
      </c>
      <c r="B54" s="497">
        <v>3248</v>
      </c>
      <c r="C54" s="496"/>
      <c r="D54" s="496"/>
      <c r="E54" s="496"/>
      <c r="F54" s="496"/>
      <c r="G54" s="496"/>
      <c r="H54" s="496"/>
      <c r="I54" s="498" t="s">
        <v>286</v>
      </c>
      <c r="J54" s="499">
        <v>46154</v>
      </c>
      <c r="K54" s="500">
        <v>46164</v>
      </c>
      <c r="L54" s="500"/>
      <c r="M54" s="501" t="s">
        <v>1028</v>
      </c>
      <c r="N54" s="499">
        <v>46163</v>
      </c>
      <c r="O54" s="502">
        <v>46157</v>
      </c>
      <c r="P54" s="477">
        <v>46164</v>
      </c>
      <c r="Q54" s="503"/>
      <c r="R54" s="504" t="s">
        <v>1028</v>
      </c>
      <c r="S54" s="504" t="s">
        <v>1028</v>
      </c>
      <c r="T54" s="505"/>
      <c r="U54" s="506"/>
      <c r="V54" s="504" t="s">
        <v>1028</v>
      </c>
      <c r="W54" s="506"/>
      <c r="X54" s="504" t="s">
        <v>1028</v>
      </c>
      <c r="Y54" s="508"/>
      <c r="Z54" s="506"/>
      <c r="AA54" s="476">
        <v>46161</v>
      </c>
      <c r="AB54" s="507"/>
      <c r="AC54" s="506"/>
      <c r="AD54" s="532" t="s">
        <v>1028</v>
      </c>
      <c r="AE54" s="507"/>
      <c r="AF54" s="508"/>
      <c r="AG54" s="484" t="s">
        <v>1028</v>
      </c>
      <c r="AH54" s="505"/>
      <c r="AI54" s="508"/>
      <c r="AJ54" s="508"/>
      <c r="AK54" s="484" t="s">
        <v>1028</v>
      </c>
      <c r="AL54" s="507"/>
      <c r="AM54" s="508"/>
      <c r="AN54" s="508"/>
      <c r="AO54" s="484" t="s">
        <v>1028</v>
      </c>
      <c r="AP54" s="512" t="s">
        <v>1028</v>
      </c>
      <c r="AQ54" s="508"/>
      <c r="AR54" s="508"/>
      <c r="AS54" s="508"/>
      <c r="AT54" s="508"/>
      <c r="AU54" s="508"/>
      <c r="AV54" s="506"/>
      <c r="AW54" s="507"/>
      <c r="AX54" s="511" t="s">
        <v>1028</v>
      </c>
      <c r="AY54" s="513" t="s">
        <v>1028</v>
      </c>
      <c r="AZ54" s="514" t="s">
        <v>291</v>
      </c>
      <c r="BA54" s="515" t="s">
        <v>153</v>
      </c>
      <c r="BB54" s="516"/>
      <c r="BC54" s="517" t="s">
        <v>286</v>
      </c>
      <c r="BD54" s="518">
        <v>11</v>
      </c>
      <c r="BE54" s="518" t="str">
        <f>I54</f>
        <v>VU-LC002</v>
      </c>
      <c r="BF54" s="519">
        <f>P54</f>
        <v>46164</v>
      </c>
      <c r="BG54" s="518">
        <f>A54</f>
        <v>21435</v>
      </c>
      <c r="BH54" s="491">
        <f>COUNTA(R54:Z54)</f>
        <v>4</v>
      </c>
      <c r="BI54" s="492">
        <f>COUNTA(AB54:AO54)</f>
        <v>4</v>
      </c>
      <c r="BJ54" s="520"/>
    </row>
    <row r="55" spans="1:62" s="521" customFormat="1" ht="12" customHeight="1" x14ac:dyDescent="0.15">
      <c r="A55" s="495">
        <v>21436</v>
      </c>
      <c r="B55" s="497">
        <v>3249</v>
      </c>
      <c r="C55" s="496"/>
      <c r="D55" s="496"/>
      <c r="E55" s="496"/>
      <c r="F55" s="496"/>
      <c r="G55" s="496"/>
      <c r="H55" s="496"/>
      <c r="I55" s="498" t="s">
        <v>286</v>
      </c>
      <c r="J55" s="499">
        <v>46154</v>
      </c>
      <c r="K55" s="500">
        <v>46164</v>
      </c>
      <c r="L55" s="500"/>
      <c r="M55" s="501" t="s">
        <v>1028</v>
      </c>
      <c r="N55" s="499">
        <v>46163</v>
      </c>
      <c r="O55" s="502">
        <v>46157</v>
      </c>
      <c r="P55" s="477">
        <v>46164</v>
      </c>
      <c r="Q55" s="503"/>
      <c r="R55" s="504" t="s">
        <v>1028</v>
      </c>
      <c r="S55" s="504" t="s">
        <v>1028</v>
      </c>
      <c r="T55" s="505"/>
      <c r="U55" s="506"/>
      <c r="V55" s="504" t="s">
        <v>1028</v>
      </c>
      <c r="W55" s="506"/>
      <c r="X55" s="504" t="s">
        <v>1028</v>
      </c>
      <c r="Y55" s="508"/>
      <c r="Z55" s="506"/>
      <c r="AA55" s="476">
        <v>46161</v>
      </c>
      <c r="AB55" s="507"/>
      <c r="AC55" s="506"/>
      <c r="AD55" s="532" t="s">
        <v>1028</v>
      </c>
      <c r="AE55" s="507"/>
      <c r="AF55" s="508"/>
      <c r="AG55" s="484" t="s">
        <v>1028</v>
      </c>
      <c r="AH55" s="505"/>
      <c r="AI55" s="508"/>
      <c r="AJ55" s="508"/>
      <c r="AK55" s="484" t="s">
        <v>1028</v>
      </c>
      <c r="AL55" s="507"/>
      <c r="AM55" s="508"/>
      <c r="AN55" s="508"/>
      <c r="AO55" s="484" t="s">
        <v>1028</v>
      </c>
      <c r="AP55" s="512" t="s">
        <v>1028</v>
      </c>
      <c r="AQ55" s="508"/>
      <c r="AR55" s="508"/>
      <c r="AS55" s="508"/>
      <c r="AT55" s="508"/>
      <c r="AU55" s="508"/>
      <c r="AV55" s="506"/>
      <c r="AW55" s="507"/>
      <c r="AX55" s="511" t="s">
        <v>1028</v>
      </c>
      <c r="AY55" s="513" t="s">
        <v>1028</v>
      </c>
      <c r="AZ55" s="514" t="s">
        <v>289</v>
      </c>
      <c r="BA55" s="515" t="s">
        <v>153</v>
      </c>
      <c r="BB55" s="516"/>
      <c r="BC55" s="517" t="s">
        <v>286</v>
      </c>
      <c r="BD55" s="518">
        <v>11</v>
      </c>
      <c r="BE55" s="518" t="str">
        <f>I55</f>
        <v>VU-LC002</v>
      </c>
      <c r="BF55" s="519">
        <f>P55</f>
        <v>46164</v>
      </c>
      <c r="BG55" s="518">
        <f>A55</f>
        <v>21436</v>
      </c>
      <c r="BH55" s="491">
        <f>COUNTA(R55:Z55)</f>
        <v>4</v>
      </c>
      <c r="BI55" s="492">
        <f>COUNTA(AB55:AO55)</f>
        <v>4</v>
      </c>
      <c r="BJ55" s="520"/>
    </row>
    <row r="56" spans="1:62" s="494" customFormat="1" ht="12" customHeight="1" x14ac:dyDescent="0.15">
      <c r="A56" s="495">
        <v>21437</v>
      </c>
      <c r="B56" s="496"/>
      <c r="C56" s="496"/>
      <c r="D56" s="496"/>
      <c r="E56" s="496"/>
      <c r="F56" s="497">
        <v>1272</v>
      </c>
      <c r="G56" s="496"/>
      <c r="H56" s="496"/>
      <c r="I56" s="498" t="s">
        <v>199</v>
      </c>
      <c r="J56" s="499">
        <v>46163</v>
      </c>
      <c r="K56" s="500">
        <v>46175</v>
      </c>
      <c r="L56" s="500"/>
      <c r="M56" s="501" t="s">
        <v>1028</v>
      </c>
      <c r="N56" s="499">
        <v>46174</v>
      </c>
      <c r="O56" s="502">
        <v>46168</v>
      </c>
      <c r="P56" s="477">
        <v>46175</v>
      </c>
      <c r="Q56" s="503"/>
      <c r="R56" s="504" t="s">
        <v>1028</v>
      </c>
      <c r="S56" s="504" t="s">
        <v>1028</v>
      </c>
      <c r="T56" s="505"/>
      <c r="U56" s="506"/>
      <c r="V56" s="504" t="s">
        <v>1028</v>
      </c>
      <c r="W56" s="506"/>
      <c r="X56" s="507"/>
      <c r="Y56" s="528" t="s">
        <v>1028</v>
      </c>
      <c r="Z56" s="506"/>
      <c r="AA56" s="476">
        <v>46170</v>
      </c>
      <c r="AB56" s="507"/>
      <c r="AC56" s="484" t="s">
        <v>1028</v>
      </c>
      <c r="AD56" s="510"/>
      <c r="AE56" s="529" t="s">
        <v>1028</v>
      </c>
      <c r="AF56" s="508"/>
      <c r="AG56" s="506"/>
      <c r="AH56" s="530" t="s">
        <v>1028</v>
      </c>
      <c r="AI56" s="508"/>
      <c r="AJ56" s="508"/>
      <c r="AK56" s="506"/>
      <c r="AL56" s="529" t="s">
        <v>1028</v>
      </c>
      <c r="AM56" s="508"/>
      <c r="AN56" s="508"/>
      <c r="AO56" s="506"/>
      <c r="AP56" s="507"/>
      <c r="AQ56" s="508"/>
      <c r="AR56" s="508"/>
      <c r="AS56" s="508"/>
      <c r="AT56" s="531" t="s">
        <v>1028</v>
      </c>
      <c r="AU56" s="508"/>
      <c r="AV56" s="506"/>
      <c r="AW56" s="512" t="s">
        <v>1028</v>
      </c>
      <c r="AX56" s="506"/>
      <c r="AY56" s="513" t="s">
        <v>1028</v>
      </c>
      <c r="AZ56" s="514" t="s">
        <v>292</v>
      </c>
      <c r="BA56" s="515" t="s">
        <v>197</v>
      </c>
      <c r="BB56" s="516" t="s">
        <v>293</v>
      </c>
      <c r="BC56" s="517" t="s">
        <v>212</v>
      </c>
      <c r="BD56" s="518">
        <v>11</v>
      </c>
      <c r="BE56" s="518" t="str">
        <f>I56</f>
        <v>VU-LB112</v>
      </c>
      <c r="BF56" s="519">
        <f>P56</f>
        <v>46175</v>
      </c>
      <c r="BG56" s="518">
        <f>A56</f>
        <v>21437</v>
      </c>
      <c r="BH56" s="491">
        <f>COUNTA(R56:Z56)</f>
        <v>4</v>
      </c>
      <c r="BI56" s="492">
        <f>COUNTA(AB56:AO56)</f>
        <v>4</v>
      </c>
      <c r="BJ56" s="520"/>
    </row>
    <row r="57" spans="1:62" s="494" customFormat="1" ht="12" customHeight="1" x14ac:dyDescent="0.15">
      <c r="A57" s="495">
        <v>21438</v>
      </c>
      <c r="B57" s="496"/>
      <c r="C57" s="496"/>
      <c r="D57" s="496"/>
      <c r="E57" s="496"/>
      <c r="F57" s="497">
        <v>1273</v>
      </c>
      <c r="G57" s="496"/>
      <c r="H57" s="496"/>
      <c r="I57" s="498" t="s">
        <v>199</v>
      </c>
      <c r="J57" s="499">
        <v>46164</v>
      </c>
      <c r="K57" s="500">
        <v>46176</v>
      </c>
      <c r="L57" s="500"/>
      <c r="M57" s="501" t="s">
        <v>1028</v>
      </c>
      <c r="N57" s="499">
        <v>46175</v>
      </c>
      <c r="O57" s="502">
        <v>46169</v>
      </c>
      <c r="P57" s="477">
        <v>46176</v>
      </c>
      <c r="Q57" s="503"/>
      <c r="R57" s="504" t="s">
        <v>1028</v>
      </c>
      <c r="S57" s="504" t="s">
        <v>1028</v>
      </c>
      <c r="T57" s="505"/>
      <c r="U57" s="506"/>
      <c r="V57" s="504" t="s">
        <v>1028</v>
      </c>
      <c r="W57" s="506"/>
      <c r="X57" s="507"/>
      <c r="Y57" s="528" t="s">
        <v>1028</v>
      </c>
      <c r="Z57" s="506"/>
      <c r="AA57" s="476">
        <v>46171</v>
      </c>
      <c r="AB57" s="507"/>
      <c r="AC57" s="484" t="s">
        <v>1028</v>
      </c>
      <c r="AD57" s="510"/>
      <c r="AE57" s="529" t="s">
        <v>1028</v>
      </c>
      <c r="AF57" s="508"/>
      <c r="AG57" s="506"/>
      <c r="AH57" s="530" t="s">
        <v>1028</v>
      </c>
      <c r="AI57" s="508"/>
      <c r="AJ57" s="508"/>
      <c r="AK57" s="506"/>
      <c r="AL57" s="529" t="s">
        <v>1028</v>
      </c>
      <c r="AM57" s="508"/>
      <c r="AN57" s="508"/>
      <c r="AO57" s="506"/>
      <c r="AP57" s="507"/>
      <c r="AQ57" s="508"/>
      <c r="AR57" s="508"/>
      <c r="AS57" s="508"/>
      <c r="AT57" s="531" t="s">
        <v>1028</v>
      </c>
      <c r="AU57" s="508"/>
      <c r="AV57" s="506"/>
      <c r="AW57" s="512" t="s">
        <v>1028</v>
      </c>
      <c r="AX57" s="506"/>
      <c r="AY57" s="513" t="s">
        <v>1028</v>
      </c>
      <c r="AZ57" s="514" t="s">
        <v>294</v>
      </c>
      <c r="BA57" s="515" t="s">
        <v>197</v>
      </c>
      <c r="BB57" s="516" t="s">
        <v>254</v>
      </c>
      <c r="BC57" s="517" t="s">
        <v>212</v>
      </c>
      <c r="BD57" s="518">
        <v>11</v>
      </c>
      <c r="BE57" s="518" t="str">
        <f>I57</f>
        <v>VU-LB112</v>
      </c>
      <c r="BF57" s="519">
        <f>P57</f>
        <v>46176</v>
      </c>
      <c r="BG57" s="518">
        <f>A57</f>
        <v>21438</v>
      </c>
      <c r="BH57" s="491">
        <f>COUNTA(R57:Z57)</f>
        <v>4</v>
      </c>
      <c r="BI57" s="492">
        <f>COUNTA(AB57:AO57)</f>
        <v>4</v>
      </c>
      <c r="BJ57" s="520"/>
    </row>
    <row r="58" spans="1:62" s="494" customFormat="1" ht="12" customHeight="1" x14ac:dyDescent="0.15">
      <c r="A58" s="495">
        <v>21439</v>
      </c>
      <c r="B58" s="497">
        <v>3250</v>
      </c>
      <c r="C58" s="496"/>
      <c r="D58" s="496"/>
      <c r="E58" s="496"/>
      <c r="F58" s="496"/>
      <c r="G58" s="496"/>
      <c r="H58" s="496"/>
      <c r="I58" s="498" t="s">
        <v>154</v>
      </c>
      <c r="J58" s="499">
        <v>46167</v>
      </c>
      <c r="K58" s="500">
        <v>46177</v>
      </c>
      <c r="L58" s="500"/>
      <c r="M58" s="501" t="s">
        <v>1028</v>
      </c>
      <c r="N58" s="499">
        <v>46176</v>
      </c>
      <c r="O58" s="502">
        <v>46170</v>
      </c>
      <c r="P58" s="477">
        <v>46177</v>
      </c>
      <c r="Q58" s="503"/>
      <c r="R58" s="504" t="s">
        <v>1028</v>
      </c>
      <c r="S58" s="504" t="s">
        <v>1028</v>
      </c>
      <c r="T58" s="505"/>
      <c r="U58" s="506"/>
      <c r="V58" s="504" t="s">
        <v>1028</v>
      </c>
      <c r="W58" s="506"/>
      <c r="X58" s="504" t="s">
        <v>1028</v>
      </c>
      <c r="Y58" s="508"/>
      <c r="Z58" s="506"/>
      <c r="AA58" s="476">
        <v>46174</v>
      </c>
      <c r="AB58" s="507"/>
      <c r="AC58" s="506"/>
      <c r="AD58" s="532" t="s">
        <v>1028</v>
      </c>
      <c r="AE58" s="529" t="s">
        <v>1028</v>
      </c>
      <c r="AF58" s="508"/>
      <c r="AG58" s="506"/>
      <c r="AH58" s="530" t="s">
        <v>1028</v>
      </c>
      <c r="AI58" s="508"/>
      <c r="AJ58" s="508"/>
      <c r="AK58" s="506"/>
      <c r="AL58" s="529" t="s">
        <v>1028</v>
      </c>
      <c r="AM58" s="508"/>
      <c r="AN58" s="508"/>
      <c r="AO58" s="506"/>
      <c r="AP58" s="512" t="s">
        <v>1028</v>
      </c>
      <c r="AQ58" s="508"/>
      <c r="AR58" s="508"/>
      <c r="AS58" s="508"/>
      <c r="AT58" s="508"/>
      <c r="AU58" s="508"/>
      <c r="AV58" s="506"/>
      <c r="AW58" s="507"/>
      <c r="AX58" s="511" t="s">
        <v>1028</v>
      </c>
      <c r="AY58" s="513" t="s">
        <v>1028</v>
      </c>
      <c r="AZ58" s="514" t="s">
        <v>295</v>
      </c>
      <c r="BA58" s="515" t="s">
        <v>153</v>
      </c>
      <c r="BB58" s="516"/>
      <c r="BC58" s="517" t="s">
        <v>154</v>
      </c>
      <c r="BD58" s="518">
        <v>11</v>
      </c>
      <c r="BE58" s="518" t="str">
        <f>I58</f>
        <v>VU-LA007</v>
      </c>
      <c r="BF58" s="519">
        <f>P58</f>
        <v>46177</v>
      </c>
      <c r="BG58" s="518">
        <f>A58</f>
        <v>21439</v>
      </c>
      <c r="BH58" s="491">
        <f>COUNTA(R58:Z58)</f>
        <v>4</v>
      </c>
      <c r="BI58" s="492">
        <f>COUNTA(AB58:AO58)</f>
        <v>4</v>
      </c>
      <c r="BJ58" s="520"/>
    </row>
    <row r="59" spans="1:62" s="494" customFormat="1" ht="12" customHeight="1" x14ac:dyDescent="0.15">
      <c r="A59" s="495">
        <v>21440</v>
      </c>
      <c r="B59" s="497">
        <v>3251</v>
      </c>
      <c r="C59" s="496"/>
      <c r="D59" s="496"/>
      <c r="E59" s="496"/>
      <c r="F59" s="496"/>
      <c r="G59" s="496"/>
      <c r="H59" s="496"/>
      <c r="I59" s="498" t="s">
        <v>154</v>
      </c>
      <c r="J59" s="499">
        <v>46168</v>
      </c>
      <c r="K59" s="500">
        <v>46178</v>
      </c>
      <c r="L59" s="500"/>
      <c r="M59" s="501" t="s">
        <v>1028</v>
      </c>
      <c r="N59" s="499">
        <v>46177</v>
      </c>
      <c r="O59" s="502">
        <v>46171</v>
      </c>
      <c r="P59" s="477">
        <v>46178</v>
      </c>
      <c r="Q59" s="503"/>
      <c r="R59" s="504" t="s">
        <v>1028</v>
      </c>
      <c r="S59" s="504" t="s">
        <v>1028</v>
      </c>
      <c r="T59" s="505"/>
      <c r="U59" s="506"/>
      <c r="V59" s="504" t="s">
        <v>1028</v>
      </c>
      <c r="W59" s="506"/>
      <c r="X59" s="504" t="s">
        <v>1028</v>
      </c>
      <c r="Y59" s="508"/>
      <c r="Z59" s="506"/>
      <c r="AA59" s="476">
        <v>46175</v>
      </c>
      <c r="AB59" s="507"/>
      <c r="AC59" s="506"/>
      <c r="AD59" s="532" t="s">
        <v>1028</v>
      </c>
      <c r="AE59" s="529" t="s">
        <v>1028</v>
      </c>
      <c r="AF59" s="508"/>
      <c r="AG59" s="506"/>
      <c r="AH59" s="530" t="s">
        <v>1028</v>
      </c>
      <c r="AI59" s="508"/>
      <c r="AJ59" s="508"/>
      <c r="AK59" s="506"/>
      <c r="AL59" s="529" t="s">
        <v>1028</v>
      </c>
      <c r="AM59" s="508"/>
      <c r="AN59" s="508"/>
      <c r="AO59" s="506"/>
      <c r="AP59" s="512" t="s">
        <v>1028</v>
      </c>
      <c r="AQ59" s="508"/>
      <c r="AR59" s="508"/>
      <c r="AS59" s="508"/>
      <c r="AT59" s="508"/>
      <c r="AU59" s="508"/>
      <c r="AV59" s="506"/>
      <c r="AW59" s="507"/>
      <c r="AX59" s="511" t="s">
        <v>1028</v>
      </c>
      <c r="AY59" s="513" t="s">
        <v>1028</v>
      </c>
      <c r="AZ59" s="514" t="s">
        <v>296</v>
      </c>
      <c r="BA59" s="515" t="s">
        <v>153</v>
      </c>
      <c r="BB59" s="516"/>
      <c r="BC59" s="517" t="s">
        <v>154</v>
      </c>
      <c r="BD59" s="518">
        <v>11</v>
      </c>
      <c r="BE59" s="518" t="str">
        <f>I59</f>
        <v>VU-LA007</v>
      </c>
      <c r="BF59" s="519">
        <f>P59</f>
        <v>46178</v>
      </c>
      <c r="BG59" s="518">
        <f>A59</f>
        <v>21440</v>
      </c>
      <c r="BH59" s="491">
        <f>COUNTA(R59:Z59)</f>
        <v>4</v>
      </c>
      <c r="BI59" s="492">
        <f>COUNTA(AB59:AO59)</f>
        <v>4</v>
      </c>
      <c r="BJ59" s="520"/>
    </row>
    <row r="60" spans="1:62" s="494" customFormat="1" ht="12" customHeight="1" x14ac:dyDescent="0.15">
      <c r="A60" s="495">
        <v>21441</v>
      </c>
      <c r="B60" s="497">
        <v>3252</v>
      </c>
      <c r="C60" s="496"/>
      <c r="D60" s="496"/>
      <c r="E60" s="496"/>
      <c r="F60" s="496"/>
      <c r="G60" s="496"/>
      <c r="H60" s="496"/>
      <c r="I60" s="498" t="s">
        <v>154</v>
      </c>
      <c r="J60" s="499">
        <v>46169</v>
      </c>
      <c r="K60" s="500">
        <v>46181</v>
      </c>
      <c r="L60" s="500"/>
      <c r="M60" s="501" t="s">
        <v>1028</v>
      </c>
      <c r="N60" s="499">
        <v>46178</v>
      </c>
      <c r="O60" s="502">
        <v>46174</v>
      </c>
      <c r="P60" s="477">
        <v>46181</v>
      </c>
      <c r="Q60" s="503"/>
      <c r="R60" s="504" t="s">
        <v>1028</v>
      </c>
      <c r="S60" s="504" t="s">
        <v>1028</v>
      </c>
      <c r="T60" s="505"/>
      <c r="U60" s="506"/>
      <c r="V60" s="504" t="s">
        <v>1028</v>
      </c>
      <c r="W60" s="506"/>
      <c r="X60" s="504" t="s">
        <v>1028</v>
      </c>
      <c r="Y60" s="508"/>
      <c r="Z60" s="506"/>
      <c r="AA60" s="476">
        <v>46176</v>
      </c>
      <c r="AB60" s="507"/>
      <c r="AC60" s="506"/>
      <c r="AD60" s="532" t="s">
        <v>1028</v>
      </c>
      <c r="AE60" s="529" t="s">
        <v>1028</v>
      </c>
      <c r="AF60" s="508"/>
      <c r="AG60" s="506"/>
      <c r="AH60" s="530" t="s">
        <v>1028</v>
      </c>
      <c r="AI60" s="508"/>
      <c r="AJ60" s="508"/>
      <c r="AK60" s="506"/>
      <c r="AL60" s="529" t="s">
        <v>1028</v>
      </c>
      <c r="AM60" s="508"/>
      <c r="AN60" s="508"/>
      <c r="AO60" s="506"/>
      <c r="AP60" s="512" t="s">
        <v>1028</v>
      </c>
      <c r="AQ60" s="508"/>
      <c r="AR60" s="508"/>
      <c r="AS60" s="508"/>
      <c r="AT60" s="508"/>
      <c r="AU60" s="508"/>
      <c r="AV60" s="506"/>
      <c r="AW60" s="507"/>
      <c r="AX60" s="511" t="s">
        <v>1028</v>
      </c>
      <c r="AY60" s="513" t="s">
        <v>1028</v>
      </c>
      <c r="AZ60" s="514" t="s">
        <v>298</v>
      </c>
      <c r="BA60" s="515" t="s">
        <v>153</v>
      </c>
      <c r="BB60" s="516"/>
      <c r="BC60" s="517" t="s">
        <v>154</v>
      </c>
      <c r="BD60" s="518">
        <v>11</v>
      </c>
      <c r="BE60" s="518" t="str">
        <f>I60</f>
        <v>VU-LA007</v>
      </c>
      <c r="BF60" s="519">
        <f>P60</f>
        <v>46181</v>
      </c>
      <c r="BG60" s="518">
        <f>A60</f>
        <v>21441</v>
      </c>
      <c r="BH60" s="491">
        <f>COUNTA(R60:Z60)</f>
        <v>4</v>
      </c>
      <c r="BI60" s="492">
        <f>COUNTA(AB60:AO60)</f>
        <v>4</v>
      </c>
      <c r="BJ60" s="520"/>
    </row>
    <row r="61" spans="1:62" s="494" customFormat="1" ht="12" customHeight="1" x14ac:dyDescent="0.15">
      <c r="A61" s="495">
        <v>21442</v>
      </c>
      <c r="B61" s="497">
        <v>3253</v>
      </c>
      <c r="C61" s="496"/>
      <c r="D61" s="496"/>
      <c r="E61" s="496"/>
      <c r="F61" s="496"/>
      <c r="G61" s="496"/>
      <c r="H61" s="496"/>
      <c r="I61" s="498" t="s">
        <v>154</v>
      </c>
      <c r="J61" s="499">
        <v>46169</v>
      </c>
      <c r="K61" s="500">
        <v>46181</v>
      </c>
      <c r="L61" s="500"/>
      <c r="M61" s="501" t="s">
        <v>1028</v>
      </c>
      <c r="N61" s="499">
        <v>46178</v>
      </c>
      <c r="O61" s="502">
        <v>46174</v>
      </c>
      <c r="P61" s="477">
        <v>46181</v>
      </c>
      <c r="Q61" s="503"/>
      <c r="R61" s="504" t="s">
        <v>1028</v>
      </c>
      <c r="S61" s="504" t="s">
        <v>1028</v>
      </c>
      <c r="T61" s="505"/>
      <c r="U61" s="506"/>
      <c r="V61" s="504" t="s">
        <v>1028</v>
      </c>
      <c r="W61" s="506"/>
      <c r="X61" s="504" t="s">
        <v>1028</v>
      </c>
      <c r="Y61" s="508"/>
      <c r="Z61" s="506"/>
      <c r="AA61" s="476">
        <v>46176</v>
      </c>
      <c r="AB61" s="507"/>
      <c r="AC61" s="506"/>
      <c r="AD61" s="532" t="s">
        <v>1028</v>
      </c>
      <c r="AE61" s="529" t="s">
        <v>1028</v>
      </c>
      <c r="AF61" s="508"/>
      <c r="AG61" s="506"/>
      <c r="AH61" s="530" t="s">
        <v>1028</v>
      </c>
      <c r="AI61" s="508"/>
      <c r="AJ61" s="508"/>
      <c r="AK61" s="506"/>
      <c r="AL61" s="529" t="s">
        <v>1028</v>
      </c>
      <c r="AM61" s="508"/>
      <c r="AN61" s="508"/>
      <c r="AO61" s="506"/>
      <c r="AP61" s="512" t="s">
        <v>1028</v>
      </c>
      <c r="AQ61" s="508"/>
      <c r="AR61" s="508"/>
      <c r="AS61" s="508"/>
      <c r="AT61" s="508"/>
      <c r="AU61" s="508"/>
      <c r="AV61" s="506"/>
      <c r="AW61" s="507"/>
      <c r="AX61" s="511" t="s">
        <v>1028</v>
      </c>
      <c r="AY61" s="513" t="s">
        <v>1028</v>
      </c>
      <c r="AZ61" s="514" t="s">
        <v>297</v>
      </c>
      <c r="BA61" s="515" t="s">
        <v>153</v>
      </c>
      <c r="BB61" s="516"/>
      <c r="BC61" s="517" t="s">
        <v>154</v>
      </c>
      <c r="BD61" s="518">
        <v>11</v>
      </c>
      <c r="BE61" s="518" t="str">
        <f>I61</f>
        <v>VU-LA007</v>
      </c>
      <c r="BF61" s="519">
        <f>P61</f>
        <v>46181</v>
      </c>
      <c r="BG61" s="518">
        <f>A61</f>
        <v>21442</v>
      </c>
      <c r="BH61" s="491">
        <f>COUNTA(R61:Z61)</f>
        <v>4</v>
      </c>
      <c r="BI61" s="492">
        <f>COUNTA(AB61:AO61)</f>
        <v>4</v>
      </c>
      <c r="BJ61" s="520"/>
    </row>
    <row r="62" spans="1:62" s="494" customFormat="1" ht="12" customHeight="1" x14ac:dyDescent="0.15">
      <c r="A62" s="495">
        <v>21443</v>
      </c>
      <c r="B62" s="497">
        <v>3254</v>
      </c>
      <c r="C62" s="496"/>
      <c r="D62" s="496"/>
      <c r="E62" s="496"/>
      <c r="F62" s="496"/>
      <c r="G62" s="496"/>
      <c r="H62" s="496"/>
      <c r="I62" s="498" t="s">
        <v>154</v>
      </c>
      <c r="J62" s="499">
        <v>46171</v>
      </c>
      <c r="K62" s="500">
        <v>46183</v>
      </c>
      <c r="L62" s="500"/>
      <c r="M62" s="501" t="s">
        <v>1028</v>
      </c>
      <c r="N62" s="499">
        <v>46182</v>
      </c>
      <c r="O62" s="502">
        <v>46176</v>
      </c>
      <c r="P62" s="477">
        <v>46183</v>
      </c>
      <c r="Q62" s="503"/>
      <c r="R62" s="504" t="s">
        <v>1028</v>
      </c>
      <c r="S62" s="504" t="s">
        <v>1028</v>
      </c>
      <c r="T62" s="505"/>
      <c r="U62" s="506"/>
      <c r="V62" s="504" t="s">
        <v>1028</v>
      </c>
      <c r="W62" s="506"/>
      <c r="X62" s="504" t="s">
        <v>1028</v>
      </c>
      <c r="Y62" s="508"/>
      <c r="Z62" s="506"/>
      <c r="AA62" s="476">
        <v>46178</v>
      </c>
      <c r="AB62" s="507"/>
      <c r="AC62" s="506"/>
      <c r="AD62" s="532" t="s">
        <v>1028</v>
      </c>
      <c r="AE62" s="529" t="s">
        <v>1028</v>
      </c>
      <c r="AF62" s="508"/>
      <c r="AG62" s="506"/>
      <c r="AH62" s="530" t="s">
        <v>1028</v>
      </c>
      <c r="AI62" s="508"/>
      <c r="AJ62" s="508"/>
      <c r="AK62" s="506"/>
      <c r="AL62" s="529" t="s">
        <v>1028</v>
      </c>
      <c r="AM62" s="508"/>
      <c r="AN62" s="508"/>
      <c r="AO62" s="506"/>
      <c r="AP62" s="512" t="s">
        <v>1028</v>
      </c>
      <c r="AQ62" s="508"/>
      <c r="AR62" s="508"/>
      <c r="AS62" s="508"/>
      <c r="AT62" s="508"/>
      <c r="AU62" s="508"/>
      <c r="AV62" s="506"/>
      <c r="AW62" s="507"/>
      <c r="AX62" s="511" t="s">
        <v>1028</v>
      </c>
      <c r="AY62" s="513" t="s">
        <v>1028</v>
      </c>
      <c r="AZ62" s="514" t="s">
        <v>299</v>
      </c>
      <c r="BA62" s="515" t="s">
        <v>153</v>
      </c>
      <c r="BB62" s="516"/>
      <c r="BC62" s="517" t="s">
        <v>154</v>
      </c>
      <c r="BD62" s="518">
        <v>11</v>
      </c>
      <c r="BE62" s="518" t="str">
        <f>I62</f>
        <v>VU-LA007</v>
      </c>
      <c r="BF62" s="519">
        <f>P62</f>
        <v>46183</v>
      </c>
      <c r="BG62" s="518">
        <f>A62</f>
        <v>21443</v>
      </c>
      <c r="BH62" s="491">
        <f>COUNTA(R62:Z62)</f>
        <v>4</v>
      </c>
      <c r="BI62" s="492">
        <f>COUNTA(AB62:AO62)</f>
        <v>4</v>
      </c>
      <c r="BJ62" s="520"/>
    </row>
    <row r="63" spans="1:62" s="494" customFormat="1" ht="12" customHeight="1" x14ac:dyDescent="0.15">
      <c r="A63" s="495">
        <v>21444</v>
      </c>
      <c r="B63" s="497">
        <v>3255</v>
      </c>
      <c r="C63" s="496"/>
      <c r="D63" s="496"/>
      <c r="E63" s="496"/>
      <c r="F63" s="496"/>
      <c r="G63" s="496"/>
      <c r="H63" s="496"/>
      <c r="I63" s="498" t="s">
        <v>154</v>
      </c>
      <c r="J63" s="499">
        <v>46174</v>
      </c>
      <c r="K63" s="500">
        <v>46184</v>
      </c>
      <c r="L63" s="500"/>
      <c r="M63" s="501" t="s">
        <v>1028</v>
      </c>
      <c r="N63" s="499">
        <v>46183</v>
      </c>
      <c r="O63" s="502">
        <v>46177</v>
      </c>
      <c r="P63" s="477">
        <v>46184</v>
      </c>
      <c r="Q63" s="503"/>
      <c r="R63" s="504" t="s">
        <v>1028</v>
      </c>
      <c r="S63" s="504" t="s">
        <v>1028</v>
      </c>
      <c r="T63" s="505"/>
      <c r="U63" s="506"/>
      <c r="V63" s="504" t="s">
        <v>1028</v>
      </c>
      <c r="W63" s="506"/>
      <c r="X63" s="504" t="s">
        <v>1028</v>
      </c>
      <c r="Y63" s="508"/>
      <c r="Z63" s="506"/>
      <c r="AA63" s="476">
        <v>46181</v>
      </c>
      <c r="AB63" s="507"/>
      <c r="AC63" s="506"/>
      <c r="AD63" s="532" t="s">
        <v>1028</v>
      </c>
      <c r="AE63" s="529" t="s">
        <v>1028</v>
      </c>
      <c r="AF63" s="508"/>
      <c r="AG63" s="506"/>
      <c r="AH63" s="530" t="s">
        <v>1028</v>
      </c>
      <c r="AI63" s="508"/>
      <c r="AJ63" s="508"/>
      <c r="AK63" s="506"/>
      <c r="AL63" s="529" t="s">
        <v>1028</v>
      </c>
      <c r="AM63" s="508"/>
      <c r="AN63" s="508"/>
      <c r="AO63" s="506"/>
      <c r="AP63" s="512" t="s">
        <v>1028</v>
      </c>
      <c r="AQ63" s="508"/>
      <c r="AR63" s="508"/>
      <c r="AS63" s="508"/>
      <c r="AT63" s="508"/>
      <c r="AU63" s="508"/>
      <c r="AV63" s="506"/>
      <c r="AW63" s="507"/>
      <c r="AX63" s="511" t="s">
        <v>1028</v>
      </c>
      <c r="AY63" s="513" t="s">
        <v>1028</v>
      </c>
      <c r="AZ63" s="514" t="s">
        <v>300</v>
      </c>
      <c r="BA63" s="515" t="s">
        <v>153</v>
      </c>
      <c r="BB63" s="516"/>
      <c r="BC63" s="517" t="s">
        <v>154</v>
      </c>
      <c r="BD63" s="518">
        <v>11</v>
      </c>
      <c r="BE63" s="518" t="str">
        <f>I63</f>
        <v>VU-LA007</v>
      </c>
      <c r="BF63" s="519">
        <f>P63</f>
        <v>46184</v>
      </c>
      <c r="BG63" s="518">
        <f>A63</f>
        <v>21444</v>
      </c>
      <c r="BH63" s="491">
        <f>COUNTA(R63:Z63)</f>
        <v>4</v>
      </c>
      <c r="BI63" s="492">
        <f>COUNTA(AB63:AO63)</f>
        <v>4</v>
      </c>
      <c r="BJ63" s="520"/>
    </row>
    <row r="64" spans="1:62" s="494" customFormat="1" ht="12" customHeight="1" x14ac:dyDescent="0.15">
      <c r="A64" s="495">
        <v>21445</v>
      </c>
      <c r="B64" s="497">
        <v>3256</v>
      </c>
      <c r="C64" s="496"/>
      <c r="D64" s="496"/>
      <c r="E64" s="496"/>
      <c r="F64" s="496"/>
      <c r="G64" s="496"/>
      <c r="H64" s="496"/>
      <c r="I64" s="498" t="s">
        <v>154</v>
      </c>
      <c r="J64" s="499">
        <v>46175</v>
      </c>
      <c r="K64" s="500">
        <v>46185</v>
      </c>
      <c r="L64" s="500"/>
      <c r="M64" s="501" t="s">
        <v>1028</v>
      </c>
      <c r="N64" s="499">
        <v>46184</v>
      </c>
      <c r="O64" s="502">
        <v>46178</v>
      </c>
      <c r="P64" s="477">
        <v>46185</v>
      </c>
      <c r="Q64" s="503"/>
      <c r="R64" s="504" t="s">
        <v>1028</v>
      </c>
      <c r="S64" s="504" t="s">
        <v>1028</v>
      </c>
      <c r="T64" s="505"/>
      <c r="U64" s="506"/>
      <c r="V64" s="504" t="s">
        <v>1028</v>
      </c>
      <c r="W64" s="506"/>
      <c r="X64" s="504" t="s">
        <v>1028</v>
      </c>
      <c r="Y64" s="508"/>
      <c r="Z64" s="506"/>
      <c r="AA64" s="476">
        <v>46182</v>
      </c>
      <c r="AB64" s="507"/>
      <c r="AC64" s="506"/>
      <c r="AD64" s="532" t="s">
        <v>1028</v>
      </c>
      <c r="AE64" s="529" t="s">
        <v>1028</v>
      </c>
      <c r="AF64" s="508"/>
      <c r="AG64" s="506"/>
      <c r="AH64" s="530" t="s">
        <v>1028</v>
      </c>
      <c r="AI64" s="508"/>
      <c r="AJ64" s="508"/>
      <c r="AK64" s="506"/>
      <c r="AL64" s="529" t="s">
        <v>1028</v>
      </c>
      <c r="AM64" s="508"/>
      <c r="AN64" s="508"/>
      <c r="AO64" s="506"/>
      <c r="AP64" s="512" t="s">
        <v>1028</v>
      </c>
      <c r="AQ64" s="508"/>
      <c r="AR64" s="508"/>
      <c r="AS64" s="508"/>
      <c r="AT64" s="508"/>
      <c r="AU64" s="508"/>
      <c r="AV64" s="506"/>
      <c r="AW64" s="507"/>
      <c r="AX64" s="511" t="s">
        <v>1028</v>
      </c>
      <c r="AY64" s="513" t="s">
        <v>1028</v>
      </c>
      <c r="AZ64" s="514" t="s">
        <v>301</v>
      </c>
      <c r="BA64" s="515" t="s">
        <v>153</v>
      </c>
      <c r="BB64" s="516"/>
      <c r="BC64" s="517" t="s">
        <v>154</v>
      </c>
      <c r="BD64" s="518">
        <v>11</v>
      </c>
      <c r="BE64" s="518" t="str">
        <f>I64</f>
        <v>VU-LA007</v>
      </c>
      <c r="BF64" s="519">
        <f>P64</f>
        <v>46185</v>
      </c>
      <c r="BG64" s="518">
        <f>A64</f>
        <v>21445</v>
      </c>
      <c r="BH64" s="491">
        <f>COUNTA(R64:Z64)</f>
        <v>4</v>
      </c>
      <c r="BI64" s="492">
        <f>COUNTA(AB64:AO64)</f>
        <v>4</v>
      </c>
      <c r="BJ64" s="520"/>
    </row>
    <row r="65" spans="1:62" s="494" customFormat="1" ht="12" customHeight="1" x14ac:dyDescent="0.15">
      <c r="A65" s="495">
        <v>21446</v>
      </c>
      <c r="B65" s="497">
        <v>3257</v>
      </c>
      <c r="C65" s="496"/>
      <c r="D65" s="496"/>
      <c r="E65" s="496"/>
      <c r="F65" s="496"/>
      <c r="G65" s="496"/>
      <c r="H65" s="496"/>
      <c r="I65" s="498" t="s">
        <v>154</v>
      </c>
      <c r="J65" s="499">
        <v>46176</v>
      </c>
      <c r="K65" s="500">
        <v>46188</v>
      </c>
      <c r="L65" s="500"/>
      <c r="M65" s="501" t="s">
        <v>1028</v>
      </c>
      <c r="N65" s="499">
        <v>46185</v>
      </c>
      <c r="O65" s="502">
        <v>46181</v>
      </c>
      <c r="P65" s="477">
        <v>46188</v>
      </c>
      <c r="Q65" s="503"/>
      <c r="R65" s="504" t="s">
        <v>1028</v>
      </c>
      <c r="S65" s="504" t="s">
        <v>1028</v>
      </c>
      <c r="T65" s="505"/>
      <c r="U65" s="506"/>
      <c r="V65" s="504" t="s">
        <v>1028</v>
      </c>
      <c r="W65" s="506"/>
      <c r="X65" s="504" t="s">
        <v>1028</v>
      </c>
      <c r="Y65" s="508"/>
      <c r="Z65" s="506"/>
      <c r="AA65" s="476">
        <v>46183</v>
      </c>
      <c r="AB65" s="507"/>
      <c r="AC65" s="506"/>
      <c r="AD65" s="532" t="s">
        <v>1028</v>
      </c>
      <c r="AE65" s="529" t="s">
        <v>1028</v>
      </c>
      <c r="AF65" s="508"/>
      <c r="AG65" s="506"/>
      <c r="AH65" s="530" t="s">
        <v>1028</v>
      </c>
      <c r="AI65" s="508"/>
      <c r="AJ65" s="508"/>
      <c r="AK65" s="506"/>
      <c r="AL65" s="529" t="s">
        <v>1028</v>
      </c>
      <c r="AM65" s="508"/>
      <c r="AN65" s="508"/>
      <c r="AO65" s="506"/>
      <c r="AP65" s="512" t="s">
        <v>1028</v>
      </c>
      <c r="AQ65" s="508"/>
      <c r="AR65" s="508"/>
      <c r="AS65" s="508"/>
      <c r="AT65" s="508"/>
      <c r="AU65" s="508"/>
      <c r="AV65" s="506"/>
      <c r="AW65" s="507"/>
      <c r="AX65" s="511" t="s">
        <v>1028</v>
      </c>
      <c r="AY65" s="513" t="s">
        <v>1028</v>
      </c>
      <c r="AZ65" s="514" t="s">
        <v>302</v>
      </c>
      <c r="BA65" s="515" t="s">
        <v>153</v>
      </c>
      <c r="BB65" s="516"/>
      <c r="BC65" s="517" t="s">
        <v>154</v>
      </c>
      <c r="BD65" s="518">
        <v>11</v>
      </c>
      <c r="BE65" s="518" t="str">
        <f>I65</f>
        <v>VU-LA007</v>
      </c>
      <c r="BF65" s="519">
        <f>P65</f>
        <v>46188</v>
      </c>
      <c r="BG65" s="518">
        <f>A65</f>
        <v>21446</v>
      </c>
      <c r="BH65" s="491">
        <f>COUNTA(R65:Z65)</f>
        <v>4</v>
      </c>
      <c r="BI65" s="492">
        <f>COUNTA(AB65:AO65)</f>
        <v>4</v>
      </c>
      <c r="BJ65" s="520"/>
    </row>
    <row r="66" spans="1:62" s="494" customFormat="1" ht="12" customHeight="1" x14ac:dyDescent="0.15">
      <c r="A66" s="495">
        <v>21447</v>
      </c>
      <c r="B66" s="497">
        <v>3258</v>
      </c>
      <c r="C66" s="496"/>
      <c r="D66" s="496"/>
      <c r="E66" s="496"/>
      <c r="F66" s="496"/>
      <c r="G66" s="496"/>
      <c r="H66" s="496"/>
      <c r="I66" s="498" t="s">
        <v>275</v>
      </c>
      <c r="J66" s="499">
        <v>46177</v>
      </c>
      <c r="K66" s="500">
        <v>46189</v>
      </c>
      <c r="L66" s="500"/>
      <c r="M66" s="501" t="s">
        <v>1028</v>
      </c>
      <c r="N66" s="499">
        <v>46188</v>
      </c>
      <c r="O66" s="502">
        <v>46182</v>
      </c>
      <c r="P66" s="477">
        <v>46189</v>
      </c>
      <c r="Q66" s="503"/>
      <c r="R66" s="504" t="s">
        <v>1028</v>
      </c>
      <c r="S66" s="504" t="s">
        <v>1028</v>
      </c>
      <c r="T66" s="505"/>
      <c r="U66" s="506"/>
      <c r="V66" s="504" t="s">
        <v>1028</v>
      </c>
      <c r="W66" s="506"/>
      <c r="X66" s="504" t="s">
        <v>1028</v>
      </c>
      <c r="Y66" s="508"/>
      <c r="Z66" s="506"/>
      <c r="AA66" s="476">
        <v>46184</v>
      </c>
      <c r="AB66" s="529" t="s">
        <v>1028</v>
      </c>
      <c r="AC66" s="506"/>
      <c r="AD66" s="510"/>
      <c r="AE66" s="529" t="s">
        <v>1028</v>
      </c>
      <c r="AF66" s="508"/>
      <c r="AG66" s="506"/>
      <c r="AH66" s="530" t="s">
        <v>1028</v>
      </c>
      <c r="AI66" s="508"/>
      <c r="AJ66" s="508"/>
      <c r="AK66" s="506"/>
      <c r="AL66" s="529" t="s">
        <v>1028</v>
      </c>
      <c r="AM66" s="508"/>
      <c r="AN66" s="508"/>
      <c r="AO66" s="506"/>
      <c r="AP66" s="512" t="s">
        <v>1028</v>
      </c>
      <c r="AQ66" s="508"/>
      <c r="AR66" s="508"/>
      <c r="AS66" s="508"/>
      <c r="AT66" s="508"/>
      <c r="AU66" s="508"/>
      <c r="AV66" s="506"/>
      <c r="AW66" s="507"/>
      <c r="AX66" s="511" t="s">
        <v>1028</v>
      </c>
      <c r="AY66" s="513" t="s">
        <v>1028</v>
      </c>
      <c r="AZ66" s="514" t="s">
        <v>303</v>
      </c>
      <c r="BA66" s="515" t="s">
        <v>153</v>
      </c>
      <c r="BB66" s="516"/>
      <c r="BC66" s="517" t="s">
        <v>275</v>
      </c>
      <c r="BD66" s="518">
        <v>11</v>
      </c>
      <c r="BE66" s="518" t="str">
        <f>I66</f>
        <v>VU-LB006</v>
      </c>
      <c r="BF66" s="519">
        <f>P66</f>
        <v>46189</v>
      </c>
      <c r="BG66" s="518">
        <f>A66</f>
        <v>21447</v>
      </c>
      <c r="BH66" s="491">
        <f>COUNTA(R66:Z66)</f>
        <v>4</v>
      </c>
      <c r="BI66" s="492">
        <f>COUNTA(AB66:AO66)</f>
        <v>4</v>
      </c>
      <c r="BJ66" s="520"/>
    </row>
    <row r="67" spans="1:62" s="494" customFormat="1" ht="12" customHeight="1" x14ac:dyDescent="0.15">
      <c r="A67" s="495">
        <v>21448</v>
      </c>
      <c r="B67" s="497">
        <v>3259</v>
      </c>
      <c r="C67" s="496"/>
      <c r="D67" s="496"/>
      <c r="E67" s="496"/>
      <c r="F67" s="496"/>
      <c r="G67" s="496"/>
      <c r="H67" s="496"/>
      <c r="I67" s="498" t="s">
        <v>275</v>
      </c>
      <c r="J67" s="499">
        <v>46178</v>
      </c>
      <c r="K67" s="500">
        <v>46190</v>
      </c>
      <c r="L67" s="500"/>
      <c r="M67" s="501" t="s">
        <v>1028</v>
      </c>
      <c r="N67" s="499">
        <v>46189</v>
      </c>
      <c r="O67" s="502">
        <v>46183</v>
      </c>
      <c r="P67" s="477">
        <v>46190</v>
      </c>
      <c r="Q67" s="503"/>
      <c r="R67" s="504" t="s">
        <v>1028</v>
      </c>
      <c r="S67" s="504" t="s">
        <v>1028</v>
      </c>
      <c r="T67" s="505"/>
      <c r="U67" s="506"/>
      <c r="V67" s="504" t="s">
        <v>1028</v>
      </c>
      <c r="W67" s="506"/>
      <c r="X67" s="504" t="s">
        <v>1028</v>
      </c>
      <c r="Y67" s="508"/>
      <c r="Z67" s="506"/>
      <c r="AA67" s="476">
        <v>46185</v>
      </c>
      <c r="AB67" s="529" t="s">
        <v>1028</v>
      </c>
      <c r="AC67" s="506"/>
      <c r="AD67" s="510"/>
      <c r="AE67" s="529" t="s">
        <v>1028</v>
      </c>
      <c r="AF67" s="508"/>
      <c r="AG67" s="506"/>
      <c r="AH67" s="530" t="s">
        <v>1028</v>
      </c>
      <c r="AI67" s="508"/>
      <c r="AJ67" s="508"/>
      <c r="AK67" s="506"/>
      <c r="AL67" s="529" t="s">
        <v>1028</v>
      </c>
      <c r="AM67" s="508"/>
      <c r="AN67" s="508"/>
      <c r="AO67" s="506"/>
      <c r="AP67" s="512" t="s">
        <v>1028</v>
      </c>
      <c r="AQ67" s="508"/>
      <c r="AR67" s="508"/>
      <c r="AS67" s="508"/>
      <c r="AT67" s="508"/>
      <c r="AU67" s="508"/>
      <c r="AV67" s="506"/>
      <c r="AW67" s="507"/>
      <c r="AX67" s="511" t="s">
        <v>1028</v>
      </c>
      <c r="AY67" s="513" t="s">
        <v>1028</v>
      </c>
      <c r="AZ67" s="514" t="s">
        <v>304</v>
      </c>
      <c r="BA67" s="515" t="s">
        <v>153</v>
      </c>
      <c r="BB67" s="516"/>
      <c r="BC67" s="517" t="s">
        <v>275</v>
      </c>
      <c r="BD67" s="518">
        <v>11</v>
      </c>
      <c r="BE67" s="518" t="str">
        <f>I67</f>
        <v>VU-LB006</v>
      </c>
      <c r="BF67" s="519">
        <f>P67</f>
        <v>46190</v>
      </c>
      <c r="BG67" s="518">
        <f>A67</f>
        <v>21448</v>
      </c>
      <c r="BH67" s="491">
        <f>COUNTA(R67:Z67)</f>
        <v>4</v>
      </c>
      <c r="BI67" s="492">
        <f>COUNTA(AB67:AO67)</f>
        <v>4</v>
      </c>
      <c r="BJ67" s="520"/>
    </row>
    <row r="68" spans="1:62" s="494" customFormat="1" ht="12" customHeight="1" x14ac:dyDescent="0.15">
      <c r="A68" s="495">
        <v>21449</v>
      </c>
      <c r="B68" s="497">
        <v>3260</v>
      </c>
      <c r="C68" s="496"/>
      <c r="D68" s="496"/>
      <c r="E68" s="496"/>
      <c r="F68" s="496"/>
      <c r="G68" s="496"/>
      <c r="H68" s="496"/>
      <c r="I68" s="498" t="s">
        <v>275</v>
      </c>
      <c r="J68" s="499">
        <v>46181</v>
      </c>
      <c r="K68" s="500">
        <v>46191</v>
      </c>
      <c r="L68" s="500"/>
      <c r="M68" s="501" t="s">
        <v>1028</v>
      </c>
      <c r="N68" s="499">
        <v>46190</v>
      </c>
      <c r="O68" s="502">
        <v>46184</v>
      </c>
      <c r="P68" s="477">
        <v>46191</v>
      </c>
      <c r="Q68" s="503"/>
      <c r="R68" s="504" t="s">
        <v>1028</v>
      </c>
      <c r="S68" s="504" t="s">
        <v>1028</v>
      </c>
      <c r="T68" s="505"/>
      <c r="U68" s="506"/>
      <c r="V68" s="504" t="s">
        <v>1028</v>
      </c>
      <c r="W68" s="506"/>
      <c r="X68" s="504" t="s">
        <v>1028</v>
      </c>
      <c r="Y68" s="508"/>
      <c r="Z68" s="506"/>
      <c r="AA68" s="476">
        <v>46188</v>
      </c>
      <c r="AB68" s="529" t="s">
        <v>1028</v>
      </c>
      <c r="AC68" s="506"/>
      <c r="AD68" s="510"/>
      <c r="AE68" s="529" t="s">
        <v>1028</v>
      </c>
      <c r="AF68" s="508"/>
      <c r="AG68" s="506"/>
      <c r="AH68" s="530" t="s">
        <v>1028</v>
      </c>
      <c r="AI68" s="508"/>
      <c r="AJ68" s="508"/>
      <c r="AK68" s="506"/>
      <c r="AL68" s="529" t="s">
        <v>1028</v>
      </c>
      <c r="AM68" s="508"/>
      <c r="AN68" s="508"/>
      <c r="AO68" s="506"/>
      <c r="AP68" s="512" t="s">
        <v>1028</v>
      </c>
      <c r="AQ68" s="508"/>
      <c r="AR68" s="508"/>
      <c r="AS68" s="508"/>
      <c r="AT68" s="508"/>
      <c r="AU68" s="508"/>
      <c r="AV68" s="506"/>
      <c r="AW68" s="507"/>
      <c r="AX68" s="511" t="s">
        <v>1028</v>
      </c>
      <c r="AY68" s="513" t="s">
        <v>1028</v>
      </c>
      <c r="AZ68" s="514" t="s">
        <v>305</v>
      </c>
      <c r="BA68" s="515" t="s">
        <v>153</v>
      </c>
      <c r="BB68" s="516"/>
      <c r="BC68" s="517" t="s">
        <v>275</v>
      </c>
      <c r="BD68" s="518">
        <v>11</v>
      </c>
      <c r="BE68" s="518" t="str">
        <f>I68</f>
        <v>VU-LB006</v>
      </c>
      <c r="BF68" s="519">
        <f>P68</f>
        <v>46191</v>
      </c>
      <c r="BG68" s="518">
        <f>A68</f>
        <v>21449</v>
      </c>
      <c r="BH68" s="491">
        <f>COUNTA(R68:Z68)</f>
        <v>4</v>
      </c>
      <c r="BI68" s="492">
        <f>COUNTA(AB68:AO68)</f>
        <v>4</v>
      </c>
      <c r="BJ68" s="520"/>
    </row>
    <row r="69" spans="1:62" s="494" customFormat="1" ht="12" customHeight="1" x14ac:dyDescent="0.15">
      <c r="A69" s="495">
        <v>21450</v>
      </c>
      <c r="B69" s="497">
        <v>3261</v>
      </c>
      <c r="C69" s="496"/>
      <c r="D69" s="496"/>
      <c r="E69" s="496"/>
      <c r="F69" s="496"/>
      <c r="G69" s="496"/>
      <c r="H69" s="496"/>
      <c r="I69" s="498" t="s">
        <v>275</v>
      </c>
      <c r="J69" s="499">
        <v>46182</v>
      </c>
      <c r="K69" s="500">
        <v>46192</v>
      </c>
      <c r="L69" s="500"/>
      <c r="M69" s="501" t="s">
        <v>1028</v>
      </c>
      <c r="N69" s="499">
        <v>46191</v>
      </c>
      <c r="O69" s="502">
        <v>46185</v>
      </c>
      <c r="P69" s="477">
        <v>46192</v>
      </c>
      <c r="Q69" s="503"/>
      <c r="R69" s="504" t="s">
        <v>1028</v>
      </c>
      <c r="S69" s="504" t="s">
        <v>1028</v>
      </c>
      <c r="T69" s="505"/>
      <c r="U69" s="506"/>
      <c r="V69" s="504" t="s">
        <v>1028</v>
      </c>
      <c r="W69" s="506"/>
      <c r="X69" s="504" t="s">
        <v>1028</v>
      </c>
      <c r="Y69" s="508"/>
      <c r="Z69" s="506"/>
      <c r="AA69" s="476">
        <v>46189</v>
      </c>
      <c r="AB69" s="529" t="s">
        <v>1028</v>
      </c>
      <c r="AC69" s="506"/>
      <c r="AD69" s="510"/>
      <c r="AE69" s="529" t="s">
        <v>1028</v>
      </c>
      <c r="AF69" s="508"/>
      <c r="AG69" s="506"/>
      <c r="AH69" s="530" t="s">
        <v>1028</v>
      </c>
      <c r="AI69" s="508"/>
      <c r="AJ69" s="508"/>
      <c r="AK69" s="506"/>
      <c r="AL69" s="529" t="s">
        <v>1028</v>
      </c>
      <c r="AM69" s="508"/>
      <c r="AN69" s="508"/>
      <c r="AO69" s="506"/>
      <c r="AP69" s="512" t="s">
        <v>1028</v>
      </c>
      <c r="AQ69" s="508"/>
      <c r="AR69" s="508"/>
      <c r="AS69" s="508"/>
      <c r="AT69" s="508"/>
      <c r="AU69" s="508"/>
      <c r="AV69" s="506"/>
      <c r="AW69" s="507"/>
      <c r="AX69" s="511" t="s">
        <v>1028</v>
      </c>
      <c r="AY69" s="513" t="s">
        <v>1028</v>
      </c>
      <c r="AZ69" s="514" t="s">
        <v>306</v>
      </c>
      <c r="BA69" s="515" t="s">
        <v>153</v>
      </c>
      <c r="BB69" s="516"/>
      <c r="BC69" s="517" t="s">
        <v>275</v>
      </c>
      <c r="BD69" s="518">
        <v>11</v>
      </c>
      <c r="BE69" s="518" t="str">
        <f>I69</f>
        <v>VU-LB006</v>
      </c>
      <c r="BF69" s="519">
        <f>P69</f>
        <v>46192</v>
      </c>
      <c r="BG69" s="518">
        <f>A69</f>
        <v>21450</v>
      </c>
      <c r="BH69" s="491">
        <f>COUNTA(R69:Z69)</f>
        <v>4</v>
      </c>
      <c r="BI69" s="492">
        <f>COUNTA(AB69:AO69)</f>
        <v>4</v>
      </c>
      <c r="BJ69" s="520"/>
    </row>
    <row r="70" spans="1:62" s="494" customFormat="1" ht="12" customHeight="1" x14ac:dyDescent="0.15">
      <c r="A70" s="495">
        <v>21451</v>
      </c>
      <c r="B70" s="497">
        <v>3262</v>
      </c>
      <c r="C70" s="496"/>
      <c r="D70" s="496"/>
      <c r="E70" s="496"/>
      <c r="F70" s="496"/>
      <c r="G70" s="496"/>
      <c r="H70" s="496"/>
      <c r="I70" s="498" t="s">
        <v>275</v>
      </c>
      <c r="J70" s="499">
        <v>46183</v>
      </c>
      <c r="K70" s="500">
        <v>46195</v>
      </c>
      <c r="L70" s="500"/>
      <c r="M70" s="501" t="s">
        <v>1028</v>
      </c>
      <c r="N70" s="499">
        <v>46192</v>
      </c>
      <c r="O70" s="502">
        <v>46188</v>
      </c>
      <c r="P70" s="477">
        <v>46195</v>
      </c>
      <c r="Q70" s="503"/>
      <c r="R70" s="504" t="s">
        <v>1028</v>
      </c>
      <c r="S70" s="504" t="s">
        <v>1028</v>
      </c>
      <c r="T70" s="505"/>
      <c r="U70" s="506"/>
      <c r="V70" s="504" t="s">
        <v>1028</v>
      </c>
      <c r="W70" s="506"/>
      <c r="X70" s="504" t="s">
        <v>1028</v>
      </c>
      <c r="Y70" s="508"/>
      <c r="Z70" s="506"/>
      <c r="AA70" s="476">
        <v>46190</v>
      </c>
      <c r="AB70" s="529" t="s">
        <v>1028</v>
      </c>
      <c r="AC70" s="506"/>
      <c r="AD70" s="510"/>
      <c r="AE70" s="529" t="s">
        <v>1028</v>
      </c>
      <c r="AF70" s="508"/>
      <c r="AG70" s="506"/>
      <c r="AH70" s="530" t="s">
        <v>1028</v>
      </c>
      <c r="AI70" s="508"/>
      <c r="AJ70" s="508"/>
      <c r="AK70" s="506"/>
      <c r="AL70" s="529" t="s">
        <v>1028</v>
      </c>
      <c r="AM70" s="508"/>
      <c r="AN70" s="508"/>
      <c r="AO70" s="506"/>
      <c r="AP70" s="512" t="s">
        <v>1028</v>
      </c>
      <c r="AQ70" s="508"/>
      <c r="AR70" s="508"/>
      <c r="AS70" s="508"/>
      <c r="AT70" s="508"/>
      <c r="AU70" s="508"/>
      <c r="AV70" s="506"/>
      <c r="AW70" s="507"/>
      <c r="AX70" s="511" t="s">
        <v>1028</v>
      </c>
      <c r="AY70" s="513" t="s">
        <v>1028</v>
      </c>
      <c r="AZ70" s="514" t="s">
        <v>307</v>
      </c>
      <c r="BA70" s="515" t="s">
        <v>153</v>
      </c>
      <c r="BB70" s="516"/>
      <c r="BC70" s="517" t="s">
        <v>275</v>
      </c>
      <c r="BD70" s="518">
        <v>11</v>
      </c>
      <c r="BE70" s="518" t="str">
        <f>I70</f>
        <v>VU-LB006</v>
      </c>
      <c r="BF70" s="519">
        <f>P70</f>
        <v>46195</v>
      </c>
      <c r="BG70" s="518">
        <f>A70</f>
        <v>21451</v>
      </c>
      <c r="BH70" s="491">
        <f>COUNTA(R70:Z70)</f>
        <v>4</v>
      </c>
      <c r="BI70" s="492">
        <f>COUNTA(AB70:AO70)</f>
        <v>4</v>
      </c>
      <c r="BJ70" s="520"/>
    </row>
    <row r="71" spans="1:62" s="494" customFormat="1" ht="12" customHeight="1" x14ac:dyDescent="0.15">
      <c r="A71" s="495">
        <v>21452</v>
      </c>
      <c r="B71" s="497">
        <v>3263</v>
      </c>
      <c r="C71" s="496"/>
      <c r="D71" s="496"/>
      <c r="E71" s="496"/>
      <c r="F71" s="496"/>
      <c r="G71" s="496"/>
      <c r="H71" s="496"/>
      <c r="I71" s="498" t="s">
        <v>275</v>
      </c>
      <c r="J71" s="499">
        <v>46184</v>
      </c>
      <c r="K71" s="500">
        <v>46196</v>
      </c>
      <c r="L71" s="500"/>
      <c r="M71" s="501" t="s">
        <v>1028</v>
      </c>
      <c r="N71" s="499">
        <v>46195</v>
      </c>
      <c r="O71" s="502">
        <v>46189</v>
      </c>
      <c r="P71" s="477">
        <v>46196</v>
      </c>
      <c r="Q71" s="503"/>
      <c r="R71" s="504" t="s">
        <v>1028</v>
      </c>
      <c r="S71" s="504" t="s">
        <v>1028</v>
      </c>
      <c r="T71" s="505"/>
      <c r="U71" s="506"/>
      <c r="V71" s="504" t="s">
        <v>1028</v>
      </c>
      <c r="W71" s="506"/>
      <c r="X71" s="504" t="s">
        <v>1028</v>
      </c>
      <c r="Y71" s="508"/>
      <c r="Z71" s="506"/>
      <c r="AA71" s="476">
        <v>46191</v>
      </c>
      <c r="AB71" s="529" t="s">
        <v>1028</v>
      </c>
      <c r="AC71" s="506"/>
      <c r="AD71" s="510"/>
      <c r="AE71" s="529" t="s">
        <v>1028</v>
      </c>
      <c r="AF71" s="508"/>
      <c r="AG71" s="506"/>
      <c r="AH71" s="530" t="s">
        <v>1028</v>
      </c>
      <c r="AI71" s="508"/>
      <c r="AJ71" s="508"/>
      <c r="AK71" s="506"/>
      <c r="AL71" s="529" t="s">
        <v>1028</v>
      </c>
      <c r="AM71" s="508"/>
      <c r="AN71" s="508"/>
      <c r="AO71" s="506"/>
      <c r="AP71" s="512" t="s">
        <v>1028</v>
      </c>
      <c r="AQ71" s="508"/>
      <c r="AR71" s="508"/>
      <c r="AS71" s="508"/>
      <c r="AT71" s="508"/>
      <c r="AU71" s="508"/>
      <c r="AV71" s="506"/>
      <c r="AW71" s="507"/>
      <c r="AX71" s="511" t="s">
        <v>1028</v>
      </c>
      <c r="AY71" s="513" t="s">
        <v>1028</v>
      </c>
      <c r="AZ71" s="514" t="s">
        <v>308</v>
      </c>
      <c r="BA71" s="515" t="s">
        <v>153</v>
      </c>
      <c r="BB71" s="516"/>
      <c r="BC71" s="517" t="s">
        <v>275</v>
      </c>
      <c r="BD71" s="518">
        <v>11</v>
      </c>
      <c r="BE71" s="518" t="str">
        <f>I71</f>
        <v>VU-LB006</v>
      </c>
      <c r="BF71" s="519">
        <f>P71</f>
        <v>46196</v>
      </c>
      <c r="BG71" s="518">
        <f>A71</f>
        <v>21452</v>
      </c>
      <c r="BH71" s="491">
        <f>COUNTA(R71:Z71)</f>
        <v>4</v>
      </c>
      <c r="BI71" s="492">
        <f>COUNTA(AB71:AO71)</f>
        <v>4</v>
      </c>
      <c r="BJ71" s="520"/>
    </row>
    <row r="72" spans="1:62" s="494" customFormat="1" ht="12" customHeight="1" x14ac:dyDescent="0.15">
      <c r="A72" s="495">
        <v>21453</v>
      </c>
      <c r="B72" s="497">
        <v>3264</v>
      </c>
      <c r="C72" s="496"/>
      <c r="D72" s="496"/>
      <c r="E72" s="496"/>
      <c r="F72" s="496"/>
      <c r="G72" s="496"/>
      <c r="H72" s="496"/>
      <c r="I72" s="498" t="s">
        <v>275</v>
      </c>
      <c r="J72" s="499">
        <v>46185</v>
      </c>
      <c r="K72" s="500">
        <v>46197</v>
      </c>
      <c r="L72" s="500"/>
      <c r="M72" s="501" t="s">
        <v>1028</v>
      </c>
      <c r="N72" s="499">
        <v>46196</v>
      </c>
      <c r="O72" s="502">
        <v>46190</v>
      </c>
      <c r="P72" s="477">
        <v>46197</v>
      </c>
      <c r="Q72" s="503"/>
      <c r="R72" s="504" t="s">
        <v>1028</v>
      </c>
      <c r="S72" s="504" t="s">
        <v>1028</v>
      </c>
      <c r="T72" s="505"/>
      <c r="U72" s="506"/>
      <c r="V72" s="504" t="s">
        <v>1028</v>
      </c>
      <c r="W72" s="506"/>
      <c r="X72" s="504" t="s">
        <v>1028</v>
      </c>
      <c r="Y72" s="508"/>
      <c r="Z72" s="506"/>
      <c r="AA72" s="476">
        <v>46192</v>
      </c>
      <c r="AB72" s="529" t="s">
        <v>1028</v>
      </c>
      <c r="AC72" s="506"/>
      <c r="AD72" s="510"/>
      <c r="AE72" s="529" t="s">
        <v>1028</v>
      </c>
      <c r="AF72" s="508"/>
      <c r="AG72" s="506"/>
      <c r="AH72" s="530" t="s">
        <v>1028</v>
      </c>
      <c r="AI72" s="508"/>
      <c r="AJ72" s="508"/>
      <c r="AK72" s="506"/>
      <c r="AL72" s="529" t="s">
        <v>1028</v>
      </c>
      <c r="AM72" s="508"/>
      <c r="AN72" s="508"/>
      <c r="AO72" s="506"/>
      <c r="AP72" s="512" t="s">
        <v>1028</v>
      </c>
      <c r="AQ72" s="508"/>
      <c r="AR72" s="508"/>
      <c r="AS72" s="508"/>
      <c r="AT72" s="508"/>
      <c r="AU72" s="508"/>
      <c r="AV72" s="506"/>
      <c r="AW72" s="507"/>
      <c r="AX72" s="511" t="s">
        <v>1028</v>
      </c>
      <c r="AY72" s="513" t="s">
        <v>1028</v>
      </c>
      <c r="AZ72" s="514" t="s">
        <v>309</v>
      </c>
      <c r="BA72" s="515" t="s">
        <v>153</v>
      </c>
      <c r="BB72" s="516"/>
      <c r="BC72" s="517" t="s">
        <v>275</v>
      </c>
      <c r="BD72" s="518">
        <v>11</v>
      </c>
      <c r="BE72" s="518" t="str">
        <f>I72</f>
        <v>VU-LB006</v>
      </c>
      <c r="BF72" s="519">
        <f>P72</f>
        <v>46197</v>
      </c>
      <c r="BG72" s="518">
        <f>A72</f>
        <v>21453</v>
      </c>
      <c r="BH72" s="491">
        <f>COUNTA(R72:Z72)</f>
        <v>4</v>
      </c>
      <c r="BI72" s="492">
        <f>COUNTA(AB72:AO72)</f>
        <v>4</v>
      </c>
      <c r="BJ72" s="520"/>
    </row>
    <row r="73" spans="1:62" s="494" customFormat="1" ht="12" customHeight="1" x14ac:dyDescent="0.15">
      <c r="A73" s="495">
        <v>21454</v>
      </c>
      <c r="B73" s="497">
        <v>3265</v>
      </c>
      <c r="C73" s="496"/>
      <c r="D73" s="496"/>
      <c r="E73" s="496"/>
      <c r="F73" s="496"/>
      <c r="G73" s="496"/>
      <c r="H73" s="496"/>
      <c r="I73" s="498" t="s">
        <v>275</v>
      </c>
      <c r="J73" s="499">
        <v>46188</v>
      </c>
      <c r="K73" s="500">
        <v>46198</v>
      </c>
      <c r="L73" s="500"/>
      <c r="M73" s="501" t="s">
        <v>1028</v>
      </c>
      <c r="N73" s="499">
        <v>46197</v>
      </c>
      <c r="O73" s="502">
        <v>46191</v>
      </c>
      <c r="P73" s="477">
        <v>46198</v>
      </c>
      <c r="Q73" s="503"/>
      <c r="R73" s="504" t="s">
        <v>1028</v>
      </c>
      <c r="S73" s="504" t="s">
        <v>1028</v>
      </c>
      <c r="T73" s="505"/>
      <c r="U73" s="506"/>
      <c r="V73" s="504" t="s">
        <v>1028</v>
      </c>
      <c r="W73" s="506"/>
      <c r="X73" s="504" t="s">
        <v>1028</v>
      </c>
      <c r="Y73" s="508"/>
      <c r="Z73" s="506"/>
      <c r="AA73" s="476">
        <v>46195</v>
      </c>
      <c r="AB73" s="529" t="s">
        <v>1028</v>
      </c>
      <c r="AC73" s="506"/>
      <c r="AD73" s="510"/>
      <c r="AE73" s="529" t="s">
        <v>1028</v>
      </c>
      <c r="AF73" s="508"/>
      <c r="AG73" s="506"/>
      <c r="AH73" s="530" t="s">
        <v>1028</v>
      </c>
      <c r="AI73" s="508"/>
      <c r="AJ73" s="508"/>
      <c r="AK73" s="506"/>
      <c r="AL73" s="529" t="s">
        <v>1028</v>
      </c>
      <c r="AM73" s="508"/>
      <c r="AN73" s="508"/>
      <c r="AO73" s="506"/>
      <c r="AP73" s="512" t="s">
        <v>1028</v>
      </c>
      <c r="AQ73" s="508"/>
      <c r="AR73" s="508"/>
      <c r="AS73" s="508"/>
      <c r="AT73" s="508"/>
      <c r="AU73" s="508"/>
      <c r="AV73" s="506"/>
      <c r="AW73" s="507"/>
      <c r="AX73" s="511" t="s">
        <v>1028</v>
      </c>
      <c r="AY73" s="513" t="s">
        <v>1028</v>
      </c>
      <c r="AZ73" s="514" t="s">
        <v>310</v>
      </c>
      <c r="BA73" s="515" t="s">
        <v>153</v>
      </c>
      <c r="BB73" s="516"/>
      <c r="BC73" s="517" t="s">
        <v>275</v>
      </c>
      <c r="BD73" s="518">
        <v>11</v>
      </c>
      <c r="BE73" s="518" t="str">
        <f>I73</f>
        <v>VU-LB006</v>
      </c>
      <c r="BF73" s="519">
        <f>P73</f>
        <v>46198</v>
      </c>
      <c r="BG73" s="518">
        <f>A73</f>
        <v>21454</v>
      </c>
      <c r="BH73" s="491">
        <f>COUNTA(R73:Z73)</f>
        <v>4</v>
      </c>
      <c r="BI73" s="492">
        <f>COUNTA(AB73:AO73)</f>
        <v>4</v>
      </c>
      <c r="BJ73" s="520"/>
    </row>
    <row r="74" spans="1:62" s="494" customFormat="1" ht="12" customHeight="1" x14ac:dyDescent="0.15">
      <c r="A74" s="495">
        <v>21455</v>
      </c>
      <c r="B74" s="496"/>
      <c r="C74" s="496"/>
      <c r="D74" s="496"/>
      <c r="E74" s="496"/>
      <c r="F74" s="497">
        <v>1274</v>
      </c>
      <c r="G74" s="496"/>
      <c r="H74" s="496"/>
      <c r="I74" s="498" t="s">
        <v>199</v>
      </c>
      <c r="J74" s="499">
        <v>46184</v>
      </c>
      <c r="K74" s="500">
        <v>46199</v>
      </c>
      <c r="L74" s="500"/>
      <c r="M74" s="501" t="s">
        <v>1028</v>
      </c>
      <c r="N74" s="499">
        <v>46198</v>
      </c>
      <c r="O74" s="502">
        <v>46192</v>
      </c>
      <c r="P74" s="477">
        <v>46199</v>
      </c>
      <c r="Q74" s="503"/>
      <c r="R74" s="504" t="s">
        <v>1028</v>
      </c>
      <c r="S74" s="504" t="s">
        <v>1028</v>
      </c>
      <c r="T74" s="505"/>
      <c r="U74" s="506"/>
      <c r="V74" s="504" t="s">
        <v>1028</v>
      </c>
      <c r="W74" s="506"/>
      <c r="X74" s="507"/>
      <c r="Y74" s="528" t="s">
        <v>1028</v>
      </c>
      <c r="Z74" s="506"/>
      <c r="AA74" s="476">
        <v>46196</v>
      </c>
      <c r="AB74" s="507"/>
      <c r="AC74" s="484" t="s">
        <v>1028</v>
      </c>
      <c r="AD74" s="510"/>
      <c r="AE74" s="529" t="s">
        <v>1028</v>
      </c>
      <c r="AF74" s="508"/>
      <c r="AG74" s="506"/>
      <c r="AH74" s="530" t="s">
        <v>1028</v>
      </c>
      <c r="AI74" s="508"/>
      <c r="AJ74" s="508"/>
      <c r="AK74" s="506"/>
      <c r="AL74" s="529" t="s">
        <v>1028</v>
      </c>
      <c r="AM74" s="508"/>
      <c r="AN74" s="508"/>
      <c r="AO74" s="506"/>
      <c r="AP74" s="507"/>
      <c r="AQ74" s="508"/>
      <c r="AR74" s="508"/>
      <c r="AS74" s="508"/>
      <c r="AT74" s="531" t="s">
        <v>1028</v>
      </c>
      <c r="AU74" s="508"/>
      <c r="AV74" s="506"/>
      <c r="AW74" s="512" t="s">
        <v>1028</v>
      </c>
      <c r="AX74" s="506"/>
      <c r="AY74" s="513" t="s">
        <v>1028</v>
      </c>
      <c r="AZ74" s="514" t="s">
        <v>311</v>
      </c>
      <c r="BA74" s="515" t="s">
        <v>197</v>
      </c>
      <c r="BB74" s="516" t="s">
        <v>312</v>
      </c>
      <c r="BC74" s="517"/>
      <c r="BD74" s="518">
        <v>11</v>
      </c>
      <c r="BE74" s="518" t="str">
        <f>I74</f>
        <v>VU-LB112</v>
      </c>
      <c r="BF74" s="519">
        <f>P74</f>
        <v>46199</v>
      </c>
      <c r="BG74" s="518">
        <f>A74</f>
        <v>21455</v>
      </c>
      <c r="BH74" s="491">
        <f>COUNTA(R74:Z74)</f>
        <v>4</v>
      </c>
      <c r="BI74" s="492">
        <f>COUNTA(AB74:AO74)</f>
        <v>4</v>
      </c>
      <c r="BJ74" s="520"/>
    </row>
  </sheetData>
  <phoneticPr fontId="7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6"/>
  <sheetViews>
    <sheetView topLeftCell="A25" zoomScale="90" zoomScaleNormal="90" workbookViewId="0">
      <selection activeCell="C34" sqref="C34:J65"/>
    </sheetView>
  </sheetViews>
  <sheetFormatPr defaultRowHeight="13.5" x14ac:dyDescent="0.15"/>
  <cols>
    <col min="1" max="1" width="9" style="539"/>
    <col min="2" max="2" width="8.375" style="539" bestFit="1" customWidth="1"/>
    <col min="3" max="3" width="12.5" bestFit="1" customWidth="1"/>
    <col min="4" max="4" width="12.375" bestFit="1" customWidth="1"/>
    <col min="5" max="5" width="12.625" bestFit="1" customWidth="1"/>
    <col min="6" max="7" width="12.375" bestFit="1" customWidth="1"/>
    <col min="8" max="10" width="12.625" bestFit="1" customWidth="1"/>
  </cols>
  <sheetData>
    <row r="3" spans="1:10" x14ac:dyDescent="0.15">
      <c r="B3" s="539" t="s">
        <v>835</v>
      </c>
      <c r="C3" t="s">
        <v>1043</v>
      </c>
      <c r="D3" t="s">
        <v>1044</v>
      </c>
      <c r="E3" t="s">
        <v>1045</v>
      </c>
      <c r="F3" t="s">
        <v>1046</v>
      </c>
      <c r="G3" t="s">
        <v>1047</v>
      </c>
      <c r="H3" t="s">
        <v>1048</v>
      </c>
      <c r="I3" t="s">
        <v>515</v>
      </c>
      <c r="J3" t="s">
        <v>1049</v>
      </c>
    </row>
    <row r="4" spans="1:10" x14ac:dyDescent="0.15">
      <c r="A4" s="539">
        <v>46099</v>
      </c>
      <c r="B4" s="539">
        <v>46104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</row>
    <row r="5" spans="1:10" x14ac:dyDescent="0.15">
      <c r="B5" s="539">
        <v>46105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8</v>
      </c>
      <c r="J5">
        <v>3</v>
      </c>
    </row>
    <row r="6" spans="1:10" x14ac:dyDescent="0.15">
      <c r="B6" s="539">
        <v>46106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</row>
    <row r="7" spans="1:10" x14ac:dyDescent="0.15">
      <c r="B7" s="539">
        <v>46107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</row>
    <row r="8" spans="1:10" x14ac:dyDescent="0.15">
      <c r="B8" s="539">
        <v>46112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</row>
    <row r="9" spans="1:10" x14ac:dyDescent="0.15">
      <c r="B9" s="539">
        <v>46113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</row>
    <row r="10" spans="1:10" x14ac:dyDescent="0.15">
      <c r="B10" s="539">
        <v>46114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</row>
    <row r="11" spans="1:10" x14ac:dyDescent="0.15">
      <c r="B11" s="539">
        <v>46115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</row>
    <row r="12" spans="1:10" x14ac:dyDescent="0.15">
      <c r="B12" s="539">
        <v>46118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</row>
    <row r="13" spans="1:10" x14ac:dyDescent="0.15">
      <c r="B13" s="539">
        <v>46119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</row>
    <row r="14" spans="1:10" x14ac:dyDescent="0.15">
      <c r="B14" s="539">
        <v>46120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</row>
    <row r="15" spans="1:10" x14ac:dyDescent="0.15">
      <c r="B15" s="539">
        <v>46121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</row>
    <row r="16" spans="1:10" ht="14.25" thickBot="1" x14ac:dyDescent="0.2">
      <c r="A16" s="541"/>
      <c r="B16" s="541">
        <v>46122</v>
      </c>
      <c r="C16" s="33">
        <v>3</v>
      </c>
      <c r="D16" s="33">
        <v>3</v>
      </c>
      <c r="E16" s="33">
        <v>3</v>
      </c>
      <c r="F16" s="33">
        <v>3</v>
      </c>
      <c r="G16" s="33">
        <v>3</v>
      </c>
      <c r="H16" s="33">
        <v>3</v>
      </c>
      <c r="I16" s="33">
        <v>3</v>
      </c>
      <c r="J16" s="33">
        <v>3</v>
      </c>
    </row>
    <row r="17" spans="1:10" ht="14.25" thickTop="1" x14ac:dyDescent="0.15">
      <c r="A17" s="539">
        <v>46119</v>
      </c>
      <c r="B17" s="539">
        <v>46125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8</v>
      </c>
      <c r="J17">
        <v>3</v>
      </c>
    </row>
    <row r="18" spans="1:10" x14ac:dyDescent="0.15">
      <c r="B18" s="539">
        <v>46126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9</v>
      </c>
      <c r="J18">
        <v>4</v>
      </c>
    </row>
    <row r="19" spans="1:10" x14ac:dyDescent="0.15">
      <c r="B19" s="539">
        <v>46127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</row>
    <row r="20" spans="1:10" x14ac:dyDescent="0.15">
      <c r="B20" s="539">
        <v>46128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9</v>
      </c>
      <c r="J20">
        <v>4</v>
      </c>
    </row>
    <row r="21" spans="1:10" x14ac:dyDescent="0.15">
      <c r="B21" s="539">
        <v>46129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9</v>
      </c>
      <c r="J21">
        <v>4</v>
      </c>
    </row>
    <row r="22" spans="1:10" x14ac:dyDescent="0.15">
      <c r="B22" s="539">
        <v>46132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</row>
    <row r="23" spans="1:10" x14ac:dyDescent="0.15">
      <c r="B23" s="539">
        <v>46133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</row>
    <row r="24" spans="1:10" x14ac:dyDescent="0.15">
      <c r="B24" s="539">
        <v>46134</v>
      </c>
      <c r="C24">
        <v>6</v>
      </c>
      <c r="D24">
        <v>6</v>
      </c>
      <c r="E24">
        <v>6</v>
      </c>
      <c r="F24">
        <v>6</v>
      </c>
      <c r="G24">
        <v>6</v>
      </c>
      <c r="H24">
        <v>6</v>
      </c>
      <c r="I24">
        <v>6</v>
      </c>
      <c r="J24">
        <v>6</v>
      </c>
    </row>
    <row r="25" spans="1:10" x14ac:dyDescent="0.15">
      <c r="B25" s="539">
        <v>46135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</row>
    <row r="26" spans="1:10" ht="14.25" thickBot="1" x14ac:dyDescent="0.2">
      <c r="A26" s="541"/>
      <c r="B26" s="541">
        <v>46136</v>
      </c>
      <c r="C26" s="33">
        <v>5</v>
      </c>
      <c r="D26" s="33">
        <v>5</v>
      </c>
      <c r="E26" s="33">
        <v>5</v>
      </c>
      <c r="F26" s="33">
        <v>5</v>
      </c>
      <c r="G26" s="33">
        <v>5</v>
      </c>
      <c r="H26" s="33">
        <v>5</v>
      </c>
      <c r="I26" s="33">
        <v>5</v>
      </c>
      <c r="J26" s="33">
        <v>5</v>
      </c>
    </row>
    <row r="27" spans="1:10" ht="14.25" thickTop="1" x14ac:dyDescent="0.15">
      <c r="A27" s="539">
        <v>46133</v>
      </c>
      <c r="B27" s="539">
        <v>46139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</row>
    <row r="28" spans="1:10" x14ac:dyDescent="0.15">
      <c r="B28" s="539">
        <v>46140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</row>
    <row r="29" spans="1:10" x14ac:dyDescent="0.15">
      <c r="B29" s="539">
        <v>46149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</row>
    <row r="30" spans="1:10" x14ac:dyDescent="0.15">
      <c r="B30" s="539">
        <v>46150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</row>
    <row r="31" spans="1:10" x14ac:dyDescent="0.15">
      <c r="B31" s="539">
        <v>46153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</row>
    <row r="32" spans="1:10" x14ac:dyDescent="0.15">
      <c r="B32" s="539">
        <v>46154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10</v>
      </c>
      <c r="J32">
        <v>5</v>
      </c>
    </row>
    <row r="33" spans="1:10" ht="14.25" thickBot="1" x14ac:dyDescent="0.2">
      <c r="A33" s="541"/>
      <c r="B33" s="541">
        <v>46155</v>
      </c>
      <c r="C33" s="33">
        <v>6</v>
      </c>
      <c r="D33" s="33">
        <v>6</v>
      </c>
      <c r="E33" s="33">
        <v>6</v>
      </c>
      <c r="F33" s="33">
        <v>6</v>
      </c>
      <c r="G33" s="33">
        <v>6</v>
      </c>
      <c r="H33" s="33">
        <v>6</v>
      </c>
      <c r="I33" s="33">
        <v>11</v>
      </c>
      <c r="J33" s="33">
        <v>6</v>
      </c>
    </row>
    <row r="34" spans="1:10" ht="14.25" thickTop="1" x14ac:dyDescent="0.15">
      <c r="A34" s="539">
        <v>46149</v>
      </c>
      <c r="B34" s="539">
        <v>46156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</row>
    <row r="35" spans="1:10" x14ac:dyDescent="0.15">
      <c r="B35" s="539">
        <v>46157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</row>
    <row r="36" spans="1:10" x14ac:dyDescent="0.15">
      <c r="B36" s="539">
        <v>46160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</row>
    <row r="37" spans="1:10" x14ac:dyDescent="0.15">
      <c r="B37" s="539">
        <v>46161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</row>
    <row r="38" spans="1:10" x14ac:dyDescent="0.15">
      <c r="B38" s="539">
        <v>46162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</row>
    <row r="39" spans="1:10" x14ac:dyDescent="0.15">
      <c r="B39" s="539">
        <v>46163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  <c r="J39">
        <v>6</v>
      </c>
    </row>
    <row r="40" spans="1:10" x14ac:dyDescent="0.15">
      <c r="B40" s="539">
        <v>46164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</row>
    <row r="41" spans="1:10" x14ac:dyDescent="0.15">
      <c r="B41" s="539">
        <v>46167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</row>
    <row r="42" spans="1:10" x14ac:dyDescent="0.15">
      <c r="B42" s="539">
        <v>46168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</row>
    <row r="43" spans="1:10" x14ac:dyDescent="0.15">
      <c r="B43" s="539">
        <v>46169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</row>
    <row r="44" spans="1:10" x14ac:dyDescent="0.15">
      <c r="B44" s="539">
        <v>46170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</row>
    <row r="45" spans="1:10" x14ac:dyDescent="0.15">
      <c r="B45" s="539">
        <v>46171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</row>
    <row r="46" spans="1:10" x14ac:dyDescent="0.15">
      <c r="B46" s="539">
        <v>46174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</row>
    <row r="47" spans="1:10" x14ac:dyDescent="0.15">
      <c r="B47" s="539">
        <v>46175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</row>
    <row r="48" spans="1:10" x14ac:dyDescent="0.15">
      <c r="B48" s="539">
        <v>46176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</row>
    <row r="49" spans="1:10" x14ac:dyDescent="0.15">
      <c r="B49" s="539">
        <v>46177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</row>
    <row r="50" spans="1:10" x14ac:dyDescent="0.15">
      <c r="B50" s="539">
        <v>46178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15">
      <c r="B51" s="539">
        <v>46181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</row>
    <row r="52" spans="1:10" x14ac:dyDescent="0.15">
      <c r="B52" s="539">
        <v>46182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</row>
    <row r="53" spans="1:10" x14ac:dyDescent="0.15">
      <c r="B53" s="539">
        <v>46183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</row>
    <row r="54" spans="1:10" x14ac:dyDescent="0.15">
      <c r="B54" s="539">
        <v>46184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</row>
    <row r="55" spans="1:10" x14ac:dyDescent="0.15">
      <c r="B55" s="539">
        <v>46185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</row>
    <row r="56" spans="1:10" x14ac:dyDescent="0.15">
      <c r="B56" s="539">
        <v>46188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</row>
    <row r="57" spans="1:10" x14ac:dyDescent="0.15">
      <c r="B57" s="539">
        <v>46189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10</v>
      </c>
      <c r="J57">
        <v>5</v>
      </c>
    </row>
    <row r="58" spans="1:10" x14ac:dyDescent="0.15">
      <c r="B58" s="539">
        <v>46190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11</v>
      </c>
      <c r="J58">
        <v>6</v>
      </c>
    </row>
    <row r="59" spans="1:10" x14ac:dyDescent="0.15">
      <c r="B59" s="539">
        <v>46191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  <c r="J59">
        <v>6</v>
      </c>
    </row>
    <row r="60" spans="1:10" x14ac:dyDescent="0.15">
      <c r="B60" s="539">
        <v>46192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</row>
    <row r="61" spans="1:10" x14ac:dyDescent="0.15">
      <c r="B61" s="539">
        <v>46195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</row>
    <row r="62" spans="1:10" x14ac:dyDescent="0.15">
      <c r="B62" s="539">
        <v>46196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</row>
    <row r="63" spans="1:10" s="43" customFormat="1" x14ac:dyDescent="0.15">
      <c r="A63" s="590"/>
      <c r="B63" s="590">
        <v>46197</v>
      </c>
      <c r="C63" s="43">
        <v>6</v>
      </c>
      <c r="D63" s="43">
        <v>6</v>
      </c>
      <c r="E63" s="43">
        <v>6</v>
      </c>
      <c r="F63" s="43">
        <v>6</v>
      </c>
      <c r="G63" s="43">
        <v>6</v>
      </c>
      <c r="H63" s="43">
        <v>6</v>
      </c>
      <c r="I63" s="43">
        <v>6</v>
      </c>
      <c r="J63" s="43">
        <v>6</v>
      </c>
    </row>
    <row r="64" spans="1:10" s="43" customFormat="1" x14ac:dyDescent="0.15">
      <c r="A64" s="590"/>
      <c r="B64" s="590">
        <v>46198</v>
      </c>
      <c r="C64" s="43">
        <v>6</v>
      </c>
      <c r="D64" s="43">
        <v>6</v>
      </c>
      <c r="E64" s="43">
        <v>6</v>
      </c>
      <c r="F64" s="43">
        <v>6</v>
      </c>
      <c r="G64" s="43">
        <v>6</v>
      </c>
      <c r="H64" s="43">
        <v>6</v>
      </c>
      <c r="I64" s="43">
        <v>6</v>
      </c>
      <c r="J64" s="43">
        <v>6</v>
      </c>
    </row>
    <row r="65" spans="1:10" s="43" customFormat="1" x14ac:dyDescent="0.15">
      <c r="A65" s="590"/>
      <c r="B65" s="590">
        <v>46199</v>
      </c>
      <c r="C65" s="43">
        <v>6</v>
      </c>
      <c r="D65" s="43">
        <v>6</v>
      </c>
      <c r="E65" s="43">
        <v>6</v>
      </c>
      <c r="F65" s="43">
        <v>6</v>
      </c>
      <c r="G65" s="43">
        <v>6</v>
      </c>
      <c r="H65" s="43">
        <v>6</v>
      </c>
      <c r="I65" s="43">
        <v>6</v>
      </c>
      <c r="J65" s="43">
        <v>6</v>
      </c>
    </row>
    <row r="66" spans="1:10" x14ac:dyDescent="0.15">
      <c r="B66" s="539" t="s">
        <v>836</v>
      </c>
      <c r="C66">
        <v>282</v>
      </c>
      <c r="D66">
        <v>282</v>
      </c>
      <c r="E66">
        <v>282</v>
      </c>
      <c r="F66">
        <v>282</v>
      </c>
      <c r="G66">
        <v>282</v>
      </c>
      <c r="H66">
        <v>282</v>
      </c>
      <c r="I66">
        <v>327</v>
      </c>
      <c r="J66">
        <v>282</v>
      </c>
    </row>
  </sheetData>
  <phoneticPr fontId="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8"/>
  <sheetViews>
    <sheetView zoomScale="70" zoomScaleNormal="70" workbookViewId="0">
      <selection activeCell="L1" sqref="L1:V328"/>
    </sheetView>
  </sheetViews>
  <sheetFormatPr defaultRowHeight="13.5" x14ac:dyDescent="0.15"/>
  <sheetData>
    <row r="1" spans="1:36" s="564" customFormat="1" ht="56.25" x14ac:dyDescent="0.15">
      <c r="A1" s="544" t="s">
        <v>1037</v>
      </c>
      <c r="B1" s="544" t="s">
        <v>1038</v>
      </c>
      <c r="C1" s="544" t="s">
        <v>1039</v>
      </c>
      <c r="D1" s="544" t="s">
        <v>1040</v>
      </c>
      <c r="E1" s="544" t="s">
        <v>1041</v>
      </c>
      <c r="F1" s="545" t="s">
        <v>974</v>
      </c>
      <c r="G1" s="546" t="s">
        <v>975</v>
      </c>
      <c r="H1" s="547" t="s">
        <v>976</v>
      </c>
      <c r="I1" s="548" t="s">
        <v>52</v>
      </c>
      <c r="J1" s="549" t="s">
        <v>53</v>
      </c>
      <c r="K1" s="546" t="s">
        <v>977</v>
      </c>
      <c r="L1" s="550" t="s">
        <v>978</v>
      </c>
      <c r="M1" s="551" t="s">
        <v>1042</v>
      </c>
      <c r="N1" s="552" t="s">
        <v>980</v>
      </c>
      <c r="O1" s="553" t="s">
        <v>1043</v>
      </c>
      <c r="P1" s="553" t="s">
        <v>1044</v>
      </c>
      <c r="Q1" s="553" t="s">
        <v>1045</v>
      </c>
      <c r="R1" s="553" t="s">
        <v>1046</v>
      </c>
      <c r="S1" s="553" t="s">
        <v>1047</v>
      </c>
      <c r="T1" s="553" t="s">
        <v>1048</v>
      </c>
      <c r="U1" s="553" t="s">
        <v>515</v>
      </c>
      <c r="V1" s="553" t="s">
        <v>1049</v>
      </c>
      <c r="W1" s="554" t="s">
        <v>1050</v>
      </c>
      <c r="X1" s="555" t="s">
        <v>1051</v>
      </c>
      <c r="Y1" s="556" t="s">
        <v>1052</v>
      </c>
      <c r="Z1" s="557" t="s">
        <v>1053</v>
      </c>
      <c r="AA1" s="558" t="s">
        <v>1054</v>
      </c>
      <c r="AB1" s="559" t="s">
        <v>38</v>
      </c>
      <c r="AC1" s="558" t="s">
        <v>984</v>
      </c>
      <c r="AD1" s="560" t="s">
        <v>985</v>
      </c>
      <c r="AE1" s="561" t="s">
        <v>987</v>
      </c>
      <c r="AF1" s="546" t="s">
        <v>988</v>
      </c>
      <c r="AG1" s="562" t="s">
        <v>1055</v>
      </c>
      <c r="AH1" s="563" t="s">
        <v>991</v>
      </c>
      <c r="AJ1" s="565"/>
    </row>
    <row r="2" spans="1:36" s="46" customFormat="1" x14ac:dyDescent="0.15">
      <c r="A2" s="566">
        <v>1542</v>
      </c>
      <c r="B2" s="566">
        <v>896</v>
      </c>
      <c r="C2" s="567"/>
      <c r="D2" s="566">
        <v>949</v>
      </c>
      <c r="E2" s="567"/>
      <c r="F2" s="568" t="s">
        <v>140</v>
      </c>
      <c r="G2" s="569">
        <v>46080</v>
      </c>
      <c r="H2" s="569">
        <v>46113</v>
      </c>
      <c r="I2" s="569"/>
      <c r="J2" s="570"/>
      <c r="K2" s="571">
        <v>46112</v>
      </c>
      <c r="L2" s="572">
        <v>46104</v>
      </c>
      <c r="M2" s="573">
        <v>46113</v>
      </c>
      <c r="N2" s="570"/>
      <c r="O2" s="574" t="s">
        <v>1028</v>
      </c>
      <c r="P2" s="574" t="s">
        <v>1028</v>
      </c>
      <c r="Q2" s="574" t="s">
        <v>1028</v>
      </c>
      <c r="R2" s="574" t="s">
        <v>1028</v>
      </c>
      <c r="S2" s="574" t="s">
        <v>1028</v>
      </c>
      <c r="T2" s="574" t="s">
        <v>1028</v>
      </c>
      <c r="U2" s="574" t="s">
        <v>1028</v>
      </c>
      <c r="V2" s="574" t="s">
        <v>1028</v>
      </c>
      <c r="W2" s="575" t="s">
        <v>1028</v>
      </c>
      <c r="X2" s="576" t="s">
        <v>1028</v>
      </c>
      <c r="Y2" s="577"/>
      <c r="Z2" s="578" t="s">
        <v>1028</v>
      </c>
      <c r="AA2" s="579" t="s">
        <v>1056</v>
      </c>
      <c r="AB2" s="579" t="s">
        <v>414</v>
      </c>
      <c r="AC2" s="579"/>
      <c r="AD2" s="579" t="s">
        <v>140</v>
      </c>
      <c r="AE2" s="579">
        <v>11</v>
      </c>
      <c r="AF2" s="580">
        <f>H2</f>
        <v>46113</v>
      </c>
      <c r="AG2" s="579">
        <f>A2</f>
        <v>1542</v>
      </c>
      <c r="AH2" s="579"/>
      <c r="AJ2" s="542"/>
    </row>
    <row r="3" spans="1:36" s="46" customFormat="1" x14ac:dyDescent="0.15">
      <c r="A3" s="566">
        <v>1543</v>
      </c>
      <c r="B3" s="566">
        <v>897</v>
      </c>
      <c r="C3" s="567"/>
      <c r="D3" s="566">
        <v>950</v>
      </c>
      <c r="E3" s="567"/>
      <c r="F3" s="568" t="s">
        <v>140</v>
      </c>
      <c r="G3" s="569">
        <v>46080</v>
      </c>
      <c r="H3" s="569">
        <v>46113</v>
      </c>
      <c r="I3" s="569"/>
      <c r="J3" s="581"/>
      <c r="K3" s="571">
        <v>46112</v>
      </c>
      <c r="L3" s="572">
        <v>46104</v>
      </c>
      <c r="M3" s="573">
        <v>46113</v>
      </c>
      <c r="N3" s="570"/>
      <c r="O3" s="574" t="s">
        <v>1028</v>
      </c>
      <c r="P3" s="574" t="s">
        <v>1028</v>
      </c>
      <c r="Q3" s="574" t="s">
        <v>1028</v>
      </c>
      <c r="R3" s="574" t="s">
        <v>1028</v>
      </c>
      <c r="S3" s="574" t="s">
        <v>1028</v>
      </c>
      <c r="T3" s="574" t="s">
        <v>1028</v>
      </c>
      <c r="U3" s="574" t="s">
        <v>1028</v>
      </c>
      <c r="V3" s="574" t="s">
        <v>1028</v>
      </c>
      <c r="W3" s="575" t="s">
        <v>1028</v>
      </c>
      <c r="X3" s="576" t="s">
        <v>1028</v>
      </c>
      <c r="Y3" s="577"/>
      <c r="Z3" s="578" t="s">
        <v>1028</v>
      </c>
      <c r="AA3" s="579" t="s">
        <v>1057</v>
      </c>
      <c r="AB3" s="579" t="s">
        <v>414</v>
      </c>
      <c r="AC3" s="579"/>
      <c r="AD3" s="579" t="s">
        <v>140</v>
      </c>
      <c r="AE3" s="579">
        <v>11</v>
      </c>
      <c r="AF3" s="580">
        <f>H3</f>
        <v>46113</v>
      </c>
      <c r="AG3" s="579">
        <f>A3</f>
        <v>1543</v>
      </c>
      <c r="AH3" s="579"/>
      <c r="AJ3" s="542"/>
    </row>
    <row r="4" spans="1:36" s="46" customFormat="1" x14ac:dyDescent="0.15">
      <c r="A4" s="566">
        <v>1544</v>
      </c>
      <c r="B4" s="566">
        <v>898</v>
      </c>
      <c r="C4" s="567"/>
      <c r="D4" s="566">
        <v>951</v>
      </c>
      <c r="E4" s="567"/>
      <c r="F4" s="568" t="s">
        <v>140</v>
      </c>
      <c r="G4" s="569">
        <v>46080</v>
      </c>
      <c r="H4" s="569">
        <v>46113</v>
      </c>
      <c r="I4" s="569"/>
      <c r="J4" s="581"/>
      <c r="K4" s="571">
        <v>46112</v>
      </c>
      <c r="L4" s="572">
        <v>46104</v>
      </c>
      <c r="M4" s="573">
        <v>46113</v>
      </c>
      <c r="N4" s="570"/>
      <c r="O4" s="574" t="s">
        <v>1028</v>
      </c>
      <c r="P4" s="574" t="s">
        <v>1028</v>
      </c>
      <c r="Q4" s="574" t="s">
        <v>1028</v>
      </c>
      <c r="R4" s="574" t="s">
        <v>1028</v>
      </c>
      <c r="S4" s="574" t="s">
        <v>1028</v>
      </c>
      <c r="T4" s="574" t="s">
        <v>1028</v>
      </c>
      <c r="U4" s="574" t="s">
        <v>1028</v>
      </c>
      <c r="V4" s="574" t="s">
        <v>1028</v>
      </c>
      <c r="W4" s="575" t="s">
        <v>1028</v>
      </c>
      <c r="X4" s="576" t="s">
        <v>1028</v>
      </c>
      <c r="Y4" s="577"/>
      <c r="Z4" s="578" t="s">
        <v>1028</v>
      </c>
      <c r="AA4" s="579" t="s">
        <v>1058</v>
      </c>
      <c r="AB4" s="579" t="s">
        <v>414</v>
      </c>
      <c r="AC4" s="579"/>
      <c r="AD4" s="579" t="s">
        <v>140</v>
      </c>
      <c r="AE4" s="579">
        <v>11</v>
      </c>
      <c r="AF4" s="580">
        <f>H4</f>
        <v>46113</v>
      </c>
      <c r="AG4" s="579">
        <f>A4</f>
        <v>1544</v>
      </c>
      <c r="AH4" s="579"/>
      <c r="AJ4" s="542"/>
    </row>
    <row r="5" spans="1:36" s="46" customFormat="1" x14ac:dyDescent="0.15">
      <c r="A5" s="567"/>
      <c r="B5" s="567"/>
      <c r="C5" s="567"/>
      <c r="D5" s="567"/>
      <c r="E5" s="567"/>
      <c r="F5" s="582"/>
      <c r="G5" s="569">
        <v>46084</v>
      </c>
      <c r="H5" s="569">
        <v>46113</v>
      </c>
      <c r="I5" s="569"/>
      <c r="J5" s="583" t="s">
        <v>1059</v>
      </c>
      <c r="K5" s="584"/>
      <c r="L5" s="572">
        <v>46106</v>
      </c>
      <c r="M5" s="573">
        <v>46113</v>
      </c>
      <c r="N5" s="585" t="s">
        <v>1060</v>
      </c>
      <c r="O5" s="577"/>
      <c r="P5" s="577"/>
      <c r="Q5" s="577"/>
      <c r="R5" s="577"/>
      <c r="S5" s="577"/>
      <c r="T5" s="577"/>
      <c r="U5" s="574" t="s">
        <v>1028</v>
      </c>
      <c r="V5" s="577"/>
      <c r="W5" s="586"/>
      <c r="X5" s="587"/>
      <c r="Y5" s="577"/>
      <c r="Z5" s="577"/>
      <c r="AA5" s="588" t="s">
        <v>1061</v>
      </c>
      <c r="AB5" s="589" t="s">
        <v>513</v>
      </c>
      <c r="AC5" s="589" t="s">
        <v>1062</v>
      </c>
      <c r="AD5" s="589" t="s">
        <v>1063</v>
      </c>
      <c r="AE5" s="579">
        <f>F5</f>
        <v>0</v>
      </c>
      <c r="AF5" s="580">
        <f>H5</f>
        <v>46113</v>
      </c>
      <c r="AG5" s="579">
        <f>A5</f>
        <v>0</v>
      </c>
      <c r="AH5" s="589" t="s">
        <v>1064</v>
      </c>
      <c r="AJ5" s="542"/>
    </row>
    <row r="6" spans="1:36" s="46" customFormat="1" x14ac:dyDescent="0.15">
      <c r="A6" s="567"/>
      <c r="B6" s="567"/>
      <c r="C6" s="567"/>
      <c r="D6" s="567"/>
      <c r="E6" s="567"/>
      <c r="F6" s="582"/>
      <c r="G6" s="569">
        <v>46084</v>
      </c>
      <c r="H6" s="569">
        <v>46113</v>
      </c>
      <c r="I6" s="569"/>
      <c r="J6" s="583" t="s">
        <v>1065</v>
      </c>
      <c r="K6" s="584"/>
      <c r="L6" s="572">
        <v>46106</v>
      </c>
      <c r="M6" s="573">
        <v>46113</v>
      </c>
      <c r="N6" s="585" t="s">
        <v>1066</v>
      </c>
      <c r="O6" s="577"/>
      <c r="P6" s="577"/>
      <c r="Q6" s="577"/>
      <c r="R6" s="577"/>
      <c r="S6" s="577"/>
      <c r="T6" s="577"/>
      <c r="U6" s="574" t="s">
        <v>1028</v>
      </c>
      <c r="V6" s="577"/>
      <c r="W6" s="586"/>
      <c r="X6" s="587"/>
      <c r="Y6" s="577"/>
      <c r="Z6" s="577"/>
      <c r="AA6" s="588" t="s">
        <v>1067</v>
      </c>
      <c r="AB6" s="589" t="s">
        <v>513</v>
      </c>
      <c r="AC6" s="589" t="s">
        <v>1068</v>
      </c>
      <c r="AD6" s="589" t="s">
        <v>1063</v>
      </c>
      <c r="AE6" s="579">
        <f>F6</f>
        <v>0</v>
      </c>
      <c r="AF6" s="580">
        <f>H6</f>
        <v>46113</v>
      </c>
      <c r="AG6" s="579">
        <f>A6</f>
        <v>0</v>
      </c>
      <c r="AH6" s="589" t="s">
        <v>1064</v>
      </c>
      <c r="AJ6" s="542"/>
    </row>
    <row r="7" spans="1:36" s="46" customFormat="1" x14ac:dyDescent="0.15">
      <c r="A7" s="567"/>
      <c r="B7" s="567"/>
      <c r="C7" s="567"/>
      <c r="D7" s="567"/>
      <c r="E7" s="567"/>
      <c r="F7" s="582"/>
      <c r="G7" s="569">
        <v>46084</v>
      </c>
      <c r="H7" s="569">
        <v>46113</v>
      </c>
      <c r="I7" s="569"/>
      <c r="J7" s="583" t="s">
        <v>1059</v>
      </c>
      <c r="K7" s="584"/>
      <c r="L7" s="572">
        <v>46106</v>
      </c>
      <c r="M7" s="573">
        <v>46113</v>
      </c>
      <c r="N7" s="585" t="s">
        <v>1066</v>
      </c>
      <c r="O7" s="577"/>
      <c r="P7" s="577"/>
      <c r="Q7" s="577"/>
      <c r="R7" s="577"/>
      <c r="S7" s="577"/>
      <c r="T7" s="577"/>
      <c r="U7" s="574" t="s">
        <v>1028</v>
      </c>
      <c r="V7" s="577"/>
      <c r="W7" s="586"/>
      <c r="X7" s="587"/>
      <c r="Y7" s="577"/>
      <c r="Z7" s="577"/>
      <c r="AA7" s="588" t="s">
        <v>1061</v>
      </c>
      <c r="AB7" s="589" t="s">
        <v>513</v>
      </c>
      <c r="AC7" s="589" t="s">
        <v>1069</v>
      </c>
      <c r="AD7" s="589" t="s">
        <v>1063</v>
      </c>
      <c r="AE7" s="579">
        <f>F7</f>
        <v>0</v>
      </c>
      <c r="AF7" s="580">
        <f>H7</f>
        <v>46113</v>
      </c>
      <c r="AG7" s="579">
        <f>A7</f>
        <v>0</v>
      </c>
      <c r="AH7" s="589" t="s">
        <v>1064</v>
      </c>
      <c r="AJ7" s="542"/>
    </row>
    <row r="8" spans="1:36" s="46" customFormat="1" x14ac:dyDescent="0.15">
      <c r="A8" s="567"/>
      <c r="B8" s="567"/>
      <c r="C8" s="567"/>
      <c r="D8" s="567"/>
      <c r="E8" s="567"/>
      <c r="F8" s="582"/>
      <c r="G8" s="569">
        <v>46084</v>
      </c>
      <c r="H8" s="569">
        <v>46113</v>
      </c>
      <c r="I8" s="569"/>
      <c r="J8" s="583" t="s">
        <v>1065</v>
      </c>
      <c r="K8" s="584"/>
      <c r="L8" s="572">
        <v>46106</v>
      </c>
      <c r="M8" s="573">
        <v>46113</v>
      </c>
      <c r="N8" s="585" t="s">
        <v>1066</v>
      </c>
      <c r="O8" s="577"/>
      <c r="P8" s="577"/>
      <c r="Q8" s="577"/>
      <c r="R8" s="577"/>
      <c r="S8" s="577"/>
      <c r="T8" s="577"/>
      <c r="U8" s="574" t="s">
        <v>1028</v>
      </c>
      <c r="V8" s="577"/>
      <c r="W8" s="586"/>
      <c r="X8" s="587"/>
      <c r="Y8" s="577"/>
      <c r="Z8" s="577"/>
      <c r="AA8" s="588" t="s">
        <v>1067</v>
      </c>
      <c r="AB8" s="589" t="s">
        <v>513</v>
      </c>
      <c r="AC8" s="589" t="s">
        <v>1070</v>
      </c>
      <c r="AD8" s="589" t="s">
        <v>1063</v>
      </c>
      <c r="AE8" s="579">
        <f>F8</f>
        <v>0</v>
      </c>
      <c r="AF8" s="580">
        <f>H8</f>
        <v>46113</v>
      </c>
      <c r="AG8" s="579">
        <f>A8</f>
        <v>0</v>
      </c>
      <c r="AH8" s="589" t="s">
        <v>1064</v>
      </c>
      <c r="AJ8" s="542"/>
    </row>
    <row r="9" spans="1:36" s="46" customFormat="1" x14ac:dyDescent="0.15">
      <c r="A9" s="567"/>
      <c r="B9" s="567"/>
      <c r="C9" s="567"/>
      <c r="D9" s="567"/>
      <c r="E9" s="567"/>
      <c r="F9" s="582"/>
      <c r="G9" s="569">
        <v>46084</v>
      </c>
      <c r="H9" s="569">
        <v>46113</v>
      </c>
      <c r="I9" s="569"/>
      <c r="J9" s="583" t="s">
        <v>1065</v>
      </c>
      <c r="K9" s="584"/>
      <c r="L9" s="572">
        <v>46106</v>
      </c>
      <c r="M9" s="573">
        <v>46113</v>
      </c>
      <c r="N9" s="585" t="s">
        <v>1066</v>
      </c>
      <c r="O9" s="577"/>
      <c r="P9" s="577"/>
      <c r="Q9" s="577"/>
      <c r="R9" s="577"/>
      <c r="S9" s="577"/>
      <c r="T9" s="577"/>
      <c r="U9" s="574" t="s">
        <v>1028</v>
      </c>
      <c r="V9" s="577"/>
      <c r="W9" s="586"/>
      <c r="X9" s="587"/>
      <c r="Y9" s="577"/>
      <c r="Z9" s="577"/>
      <c r="AA9" s="588" t="s">
        <v>1061</v>
      </c>
      <c r="AB9" s="589" t="s">
        <v>513</v>
      </c>
      <c r="AC9" s="589" t="s">
        <v>1071</v>
      </c>
      <c r="AD9" s="589" t="s">
        <v>1063</v>
      </c>
      <c r="AE9" s="579">
        <f>F9</f>
        <v>0</v>
      </c>
      <c r="AF9" s="580">
        <f>H9</f>
        <v>46113</v>
      </c>
      <c r="AG9" s="579">
        <f>A9</f>
        <v>0</v>
      </c>
      <c r="AH9" s="589" t="s">
        <v>1064</v>
      </c>
      <c r="AJ9" s="542"/>
    </row>
    <row r="10" spans="1:36" s="46" customFormat="1" x14ac:dyDescent="0.15">
      <c r="A10" s="566">
        <v>1545</v>
      </c>
      <c r="B10" s="566">
        <v>899</v>
      </c>
      <c r="C10" s="567"/>
      <c r="D10" s="566">
        <v>952</v>
      </c>
      <c r="E10" s="567"/>
      <c r="F10" s="568" t="s">
        <v>140</v>
      </c>
      <c r="G10" s="569">
        <v>46080</v>
      </c>
      <c r="H10" s="569">
        <v>46114</v>
      </c>
      <c r="I10" s="569"/>
      <c r="J10" s="570"/>
      <c r="K10" s="571">
        <v>46113</v>
      </c>
      <c r="L10" s="572">
        <v>46105</v>
      </c>
      <c r="M10" s="573">
        <v>46114</v>
      </c>
      <c r="N10" s="570"/>
      <c r="O10" s="574" t="s">
        <v>1028</v>
      </c>
      <c r="P10" s="574" t="s">
        <v>1028</v>
      </c>
      <c r="Q10" s="574" t="s">
        <v>1028</v>
      </c>
      <c r="R10" s="574" t="s">
        <v>1028</v>
      </c>
      <c r="S10" s="574" t="s">
        <v>1028</v>
      </c>
      <c r="T10" s="574" t="s">
        <v>1028</v>
      </c>
      <c r="U10" s="574" t="s">
        <v>1028</v>
      </c>
      <c r="V10" s="574" t="s">
        <v>1028</v>
      </c>
      <c r="W10" s="575" t="s">
        <v>1028</v>
      </c>
      <c r="X10" s="576" t="s">
        <v>1028</v>
      </c>
      <c r="Y10" s="577"/>
      <c r="Z10" s="578" t="s">
        <v>1028</v>
      </c>
      <c r="AA10" s="579" t="s">
        <v>1072</v>
      </c>
      <c r="AB10" s="579" t="s">
        <v>414</v>
      </c>
      <c r="AC10" s="579"/>
      <c r="AD10" s="579" t="s">
        <v>140</v>
      </c>
      <c r="AE10" s="579">
        <v>11</v>
      </c>
      <c r="AF10" s="580">
        <f>H10</f>
        <v>46114</v>
      </c>
      <c r="AG10" s="579">
        <f>A10</f>
        <v>1545</v>
      </c>
      <c r="AH10" s="579"/>
      <c r="AJ10" s="542"/>
    </row>
    <row r="11" spans="1:36" s="46" customFormat="1" x14ac:dyDescent="0.15">
      <c r="A11" s="566">
        <v>1546</v>
      </c>
      <c r="B11" s="566">
        <v>900</v>
      </c>
      <c r="C11" s="567"/>
      <c r="D11" s="566">
        <v>953</v>
      </c>
      <c r="E11" s="567"/>
      <c r="F11" s="568" t="s">
        <v>140</v>
      </c>
      <c r="G11" s="569">
        <v>46080</v>
      </c>
      <c r="H11" s="569">
        <v>46114</v>
      </c>
      <c r="I11" s="569"/>
      <c r="J11" s="581"/>
      <c r="K11" s="571">
        <v>46113</v>
      </c>
      <c r="L11" s="572">
        <v>46105</v>
      </c>
      <c r="M11" s="573">
        <v>46114</v>
      </c>
      <c r="N11" s="570"/>
      <c r="O11" s="574" t="s">
        <v>1028</v>
      </c>
      <c r="P11" s="574" t="s">
        <v>1028</v>
      </c>
      <c r="Q11" s="574" t="s">
        <v>1028</v>
      </c>
      <c r="R11" s="574" t="s">
        <v>1028</v>
      </c>
      <c r="S11" s="574" t="s">
        <v>1028</v>
      </c>
      <c r="T11" s="574" t="s">
        <v>1028</v>
      </c>
      <c r="U11" s="574" t="s">
        <v>1028</v>
      </c>
      <c r="V11" s="574" t="s">
        <v>1028</v>
      </c>
      <c r="W11" s="575" t="s">
        <v>1028</v>
      </c>
      <c r="X11" s="576" t="s">
        <v>1028</v>
      </c>
      <c r="Y11" s="577"/>
      <c r="Z11" s="578" t="s">
        <v>1028</v>
      </c>
      <c r="AA11" s="579" t="s">
        <v>1073</v>
      </c>
      <c r="AB11" s="579" t="s">
        <v>414</v>
      </c>
      <c r="AC11" s="579"/>
      <c r="AD11" s="579" t="s">
        <v>140</v>
      </c>
      <c r="AE11" s="579">
        <v>11</v>
      </c>
      <c r="AF11" s="580">
        <f>H11</f>
        <v>46114</v>
      </c>
      <c r="AG11" s="579">
        <f>A11</f>
        <v>1546</v>
      </c>
      <c r="AH11" s="579"/>
      <c r="AJ11" s="542"/>
    </row>
    <row r="12" spans="1:36" s="46" customFormat="1" x14ac:dyDescent="0.15">
      <c r="A12" s="566">
        <v>1547</v>
      </c>
      <c r="B12" s="566">
        <v>901</v>
      </c>
      <c r="C12" s="567"/>
      <c r="D12" s="566">
        <v>954</v>
      </c>
      <c r="E12" s="567"/>
      <c r="F12" s="568" t="s">
        <v>140</v>
      </c>
      <c r="G12" s="569">
        <v>46080</v>
      </c>
      <c r="H12" s="569">
        <v>46114</v>
      </c>
      <c r="I12" s="569"/>
      <c r="J12" s="581"/>
      <c r="K12" s="571">
        <v>46113</v>
      </c>
      <c r="L12" s="572">
        <v>46105</v>
      </c>
      <c r="M12" s="573">
        <v>46114</v>
      </c>
      <c r="N12" s="570"/>
      <c r="O12" s="574" t="s">
        <v>1028</v>
      </c>
      <c r="P12" s="574" t="s">
        <v>1028</v>
      </c>
      <c r="Q12" s="574" t="s">
        <v>1028</v>
      </c>
      <c r="R12" s="574" t="s">
        <v>1028</v>
      </c>
      <c r="S12" s="574" t="s">
        <v>1028</v>
      </c>
      <c r="T12" s="574" t="s">
        <v>1028</v>
      </c>
      <c r="U12" s="574" t="s">
        <v>1028</v>
      </c>
      <c r="V12" s="574" t="s">
        <v>1028</v>
      </c>
      <c r="W12" s="575" t="s">
        <v>1028</v>
      </c>
      <c r="X12" s="576" t="s">
        <v>1028</v>
      </c>
      <c r="Y12" s="577"/>
      <c r="Z12" s="578" t="s">
        <v>1028</v>
      </c>
      <c r="AA12" s="579" t="s">
        <v>1074</v>
      </c>
      <c r="AB12" s="579" t="s">
        <v>414</v>
      </c>
      <c r="AC12" s="579"/>
      <c r="AD12" s="579" t="s">
        <v>140</v>
      </c>
      <c r="AE12" s="579">
        <v>11</v>
      </c>
      <c r="AF12" s="580">
        <f>H12</f>
        <v>46114</v>
      </c>
      <c r="AG12" s="579">
        <f>A12</f>
        <v>1547</v>
      </c>
      <c r="AH12" s="579"/>
      <c r="AJ12" s="542"/>
    </row>
    <row r="13" spans="1:36" s="46" customFormat="1" x14ac:dyDescent="0.15">
      <c r="A13" s="566">
        <v>1548</v>
      </c>
      <c r="B13" s="566">
        <v>902</v>
      </c>
      <c r="C13" s="567"/>
      <c r="D13" s="566">
        <v>955</v>
      </c>
      <c r="E13" s="567"/>
      <c r="F13" s="568" t="s">
        <v>140</v>
      </c>
      <c r="G13" s="569">
        <v>46080</v>
      </c>
      <c r="H13" s="569">
        <v>46115</v>
      </c>
      <c r="I13" s="569"/>
      <c r="J13" s="581"/>
      <c r="K13" s="571">
        <v>46114</v>
      </c>
      <c r="L13" s="572">
        <v>46106</v>
      </c>
      <c r="M13" s="573">
        <v>46115</v>
      </c>
      <c r="N13" s="570"/>
      <c r="O13" s="574" t="s">
        <v>1028</v>
      </c>
      <c r="P13" s="574" t="s">
        <v>1028</v>
      </c>
      <c r="Q13" s="574" t="s">
        <v>1028</v>
      </c>
      <c r="R13" s="574" t="s">
        <v>1028</v>
      </c>
      <c r="S13" s="574" t="s">
        <v>1028</v>
      </c>
      <c r="T13" s="574" t="s">
        <v>1028</v>
      </c>
      <c r="U13" s="574" t="s">
        <v>1028</v>
      </c>
      <c r="V13" s="574" t="s">
        <v>1028</v>
      </c>
      <c r="W13" s="575" t="s">
        <v>1028</v>
      </c>
      <c r="X13" s="576" t="s">
        <v>1028</v>
      </c>
      <c r="Y13" s="577"/>
      <c r="Z13" s="578" t="s">
        <v>1028</v>
      </c>
      <c r="AA13" s="579" t="s">
        <v>1075</v>
      </c>
      <c r="AB13" s="579" t="s">
        <v>414</v>
      </c>
      <c r="AC13" s="579"/>
      <c r="AD13" s="579" t="s">
        <v>140</v>
      </c>
      <c r="AE13" s="579">
        <v>11</v>
      </c>
      <c r="AF13" s="580">
        <f>H13</f>
        <v>46115</v>
      </c>
      <c r="AG13" s="579">
        <f>A13</f>
        <v>1548</v>
      </c>
      <c r="AH13" s="579"/>
      <c r="AJ13" s="542"/>
    </row>
    <row r="14" spans="1:36" s="46" customFormat="1" x14ac:dyDescent="0.15">
      <c r="A14" s="566">
        <v>1549</v>
      </c>
      <c r="B14" s="566">
        <v>903</v>
      </c>
      <c r="C14" s="567"/>
      <c r="D14" s="566">
        <v>956</v>
      </c>
      <c r="E14" s="567"/>
      <c r="F14" s="568" t="s">
        <v>140</v>
      </c>
      <c r="G14" s="569">
        <v>46080</v>
      </c>
      <c r="H14" s="569">
        <v>46115</v>
      </c>
      <c r="I14" s="569"/>
      <c r="J14" s="581"/>
      <c r="K14" s="571">
        <v>46114</v>
      </c>
      <c r="L14" s="572">
        <v>46106</v>
      </c>
      <c r="M14" s="573">
        <v>46115</v>
      </c>
      <c r="N14" s="570"/>
      <c r="O14" s="574" t="s">
        <v>1028</v>
      </c>
      <c r="P14" s="574" t="s">
        <v>1028</v>
      </c>
      <c r="Q14" s="574" t="s">
        <v>1028</v>
      </c>
      <c r="R14" s="574" t="s">
        <v>1028</v>
      </c>
      <c r="S14" s="574" t="s">
        <v>1028</v>
      </c>
      <c r="T14" s="574" t="s">
        <v>1028</v>
      </c>
      <c r="U14" s="574" t="s">
        <v>1028</v>
      </c>
      <c r="V14" s="574" t="s">
        <v>1028</v>
      </c>
      <c r="W14" s="575" t="s">
        <v>1028</v>
      </c>
      <c r="X14" s="576" t="s">
        <v>1028</v>
      </c>
      <c r="Y14" s="577"/>
      <c r="Z14" s="578" t="s">
        <v>1028</v>
      </c>
      <c r="AA14" s="579" t="s">
        <v>1076</v>
      </c>
      <c r="AB14" s="579" t="s">
        <v>414</v>
      </c>
      <c r="AC14" s="579"/>
      <c r="AD14" s="579" t="s">
        <v>140</v>
      </c>
      <c r="AE14" s="579">
        <v>11</v>
      </c>
      <c r="AF14" s="580">
        <f>H14</f>
        <v>46115</v>
      </c>
      <c r="AG14" s="579">
        <f>A14</f>
        <v>1549</v>
      </c>
      <c r="AH14" s="579"/>
      <c r="AJ14" s="542"/>
    </row>
    <row r="15" spans="1:36" s="46" customFormat="1" x14ac:dyDescent="0.15">
      <c r="A15" s="566">
        <v>1550</v>
      </c>
      <c r="B15" s="566">
        <v>904</v>
      </c>
      <c r="C15" s="567"/>
      <c r="D15" s="566">
        <v>957</v>
      </c>
      <c r="E15" s="567"/>
      <c r="F15" s="568" t="s">
        <v>140</v>
      </c>
      <c r="G15" s="569">
        <v>46080</v>
      </c>
      <c r="H15" s="569">
        <v>46118</v>
      </c>
      <c r="I15" s="569"/>
      <c r="J15" s="581"/>
      <c r="K15" s="571">
        <v>46114</v>
      </c>
      <c r="L15" s="572">
        <v>46106</v>
      </c>
      <c r="M15" s="573">
        <v>46118</v>
      </c>
      <c r="N15" s="570"/>
      <c r="O15" s="574" t="s">
        <v>1028</v>
      </c>
      <c r="P15" s="574" t="s">
        <v>1028</v>
      </c>
      <c r="Q15" s="574" t="s">
        <v>1028</v>
      </c>
      <c r="R15" s="574" t="s">
        <v>1028</v>
      </c>
      <c r="S15" s="574" t="s">
        <v>1028</v>
      </c>
      <c r="T15" s="574" t="s">
        <v>1028</v>
      </c>
      <c r="U15" s="574" t="s">
        <v>1028</v>
      </c>
      <c r="V15" s="574" t="s">
        <v>1028</v>
      </c>
      <c r="W15" s="575" t="s">
        <v>1028</v>
      </c>
      <c r="X15" s="576" t="s">
        <v>1028</v>
      </c>
      <c r="Y15" s="577"/>
      <c r="Z15" s="578" t="s">
        <v>1028</v>
      </c>
      <c r="AA15" s="579" t="s">
        <v>1077</v>
      </c>
      <c r="AB15" s="579" t="s">
        <v>414</v>
      </c>
      <c r="AC15" s="579"/>
      <c r="AD15" s="579" t="s">
        <v>140</v>
      </c>
      <c r="AE15" s="579">
        <v>11</v>
      </c>
      <c r="AF15" s="580">
        <f>H15</f>
        <v>46118</v>
      </c>
      <c r="AG15" s="579">
        <f>A15</f>
        <v>1550</v>
      </c>
      <c r="AH15" s="579"/>
      <c r="AJ15" s="542"/>
    </row>
    <row r="16" spans="1:36" s="46" customFormat="1" x14ac:dyDescent="0.15">
      <c r="A16" s="566">
        <v>1551</v>
      </c>
      <c r="B16" s="566">
        <v>905</v>
      </c>
      <c r="C16" s="567"/>
      <c r="D16" s="566">
        <v>958</v>
      </c>
      <c r="E16" s="567"/>
      <c r="F16" s="568" t="s">
        <v>140</v>
      </c>
      <c r="G16" s="569">
        <v>46080</v>
      </c>
      <c r="H16" s="569">
        <v>46118</v>
      </c>
      <c r="I16" s="569"/>
      <c r="J16" s="581"/>
      <c r="K16" s="571">
        <v>46115</v>
      </c>
      <c r="L16" s="572">
        <v>46107</v>
      </c>
      <c r="M16" s="573">
        <v>46118</v>
      </c>
      <c r="N16" s="570"/>
      <c r="O16" s="574" t="s">
        <v>1028</v>
      </c>
      <c r="P16" s="574" t="s">
        <v>1028</v>
      </c>
      <c r="Q16" s="574" t="s">
        <v>1028</v>
      </c>
      <c r="R16" s="574" t="s">
        <v>1028</v>
      </c>
      <c r="S16" s="574" t="s">
        <v>1028</v>
      </c>
      <c r="T16" s="574" t="s">
        <v>1028</v>
      </c>
      <c r="U16" s="574" t="s">
        <v>1028</v>
      </c>
      <c r="V16" s="574" t="s">
        <v>1028</v>
      </c>
      <c r="W16" s="575" t="s">
        <v>1028</v>
      </c>
      <c r="X16" s="576" t="s">
        <v>1028</v>
      </c>
      <c r="Y16" s="577"/>
      <c r="Z16" s="578" t="s">
        <v>1028</v>
      </c>
      <c r="AA16" s="579" t="s">
        <v>1078</v>
      </c>
      <c r="AB16" s="579" t="s">
        <v>414</v>
      </c>
      <c r="AC16" s="579"/>
      <c r="AD16" s="579" t="s">
        <v>140</v>
      </c>
      <c r="AE16" s="579">
        <v>11</v>
      </c>
      <c r="AF16" s="580">
        <f>H16</f>
        <v>46118</v>
      </c>
      <c r="AG16" s="579">
        <f>A16</f>
        <v>1551</v>
      </c>
      <c r="AH16" s="579"/>
      <c r="AJ16" s="542"/>
    </row>
    <row r="17" spans="1:36" s="46" customFormat="1" x14ac:dyDescent="0.15">
      <c r="A17" s="566">
        <v>1552</v>
      </c>
      <c r="B17" s="566">
        <v>906</v>
      </c>
      <c r="C17" s="567"/>
      <c r="D17" s="566">
        <v>959</v>
      </c>
      <c r="E17" s="567"/>
      <c r="F17" s="568" t="s">
        <v>140</v>
      </c>
      <c r="G17" s="569">
        <v>46080</v>
      </c>
      <c r="H17" s="569">
        <v>46119</v>
      </c>
      <c r="I17" s="569"/>
      <c r="J17" s="581"/>
      <c r="K17" s="571">
        <v>46115</v>
      </c>
      <c r="L17" s="572">
        <v>46107</v>
      </c>
      <c r="M17" s="573">
        <v>46119</v>
      </c>
      <c r="N17" s="570"/>
      <c r="O17" s="574" t="s">
        <v>1028</v>
      </c>
      <c r="P17" s="574" t="s">
        <v>1028</v>
      </c>
      <c r="Q17" s="574" t="s">
        <v>1028</v>
      </c>
      <c r="R17" s="574" t="s">
        <v>1028</v>
      </c>
      <c r="S17" s="574" t="s">
        <v>1028</v>
      </c>
      <c r="T17" s="574" t="s">
        <v>1028</v>
      </c>
      <c r="U17" s="574" t="s">
        <v>1028</v>
      </c>
      <c r="V17" s="574" t="s">
        <v>1028</v>
      </c>
      <c r="W17" s="575" t="s">
        <v>1028</v>
      </c>
      <c r="X17" s="576" t="s">
        <v>1028</v>
      </c>
      <c r="Y17" s="577"/>
      <c r="Z17" s="578" t="s">
        <v>1028</v>
      </c>
      <c r="AA17" s="579" t="s">
        <v>1079</v>
      </c>
      <c r="AB17" s="579" t="s">
        <v>414</v>
      </c>
      <c r="AC17" s="579"/>
      <c r="AD17" s="579" t="s">
        <v>140</v>
      </c>
      <c r="AE17" s="579">
        <v>11</v>
      </c>
      <c r="AF17" s="580">
        <f>H17</f>
        <v>46119</v>
      </c>
      <c r="AG17" s="579">
        <f>A17</f>
        <v>1552</v>
      </c>
      <c r="AH17" s="579"/>
      <c r="AJ17" s="542"/>
    </row>
    <row r="18" spans="1:36" s="46" customFormat="1" x14ac:dyDescent="0.15">
      <c r="A18" s="566">
        <v>1553</v>
      </c>
      <c r="B18" s="566">
        <v>907</v>
      </c>
      <c r="C18" s="567"/>
      <c r="D18" s="566">
        <v>960</v>
      </c>
      <c r="E18" s="567"/>
      <c r="F18" s="568" t="s">
        <v>140</v>
      </c>
      <c r="G18" s="569">
        <v>46080</v>
      </c>
      <c r="H18" s="569">
        <v>46119</v>
      </c>
      <c r="I18" s="569"/>
      <c r="J18" s="581"/>
      <c r="K18" s="571">
        <v>46115</v>
      </c>
      <c r="L18" s="572">
        <v>46107</v>
      </c>
      <c r="M18" s="573">
        <v>46119</v>
      </c>
      <c r="N18" s="570"/>
      <c r="O18" s="574" t="s">
        <v>1028</v>
      </c>
      <c r="P18" s="574" t="s">
        <v>1028</v>
      </c>
      <c r="Q18" s="574" t="s">
        <v>1028</v>
      </c>
      <c r="R18" s="574" t="s">
        <v>1028</v>
      </c>
      <c r="S18" s="574" t="s">
        <v>1028</v>
      </c>
      <c r="T18" s="574" t="s">
        <v>1028</v>
      </c>
      <c r="U18" s="574" t="s">
        <v>1028</v>
      </c>
      <c r="V18" s="574" t="s">
        <v>1028</v>
      </c>
      <c r="W18" s="575" t="s">
        <v>1028</v>
      </c>
      <c r="X18" s="576" t="s">
        <v>1028</v>
      </c>
      <c r="Y18" s="577"/>
      <c r="Z18" s="578" t="s">
        <v>1028</v>
      </c>
      <c r="AA18" s="579" t="s">
        <v>1080</v>
      </c>
      <c r="AB18" s="579" t="s">
        <v>414</v>
      </c>
      <c r="AC18" s="579"/>
      <c r="AD18" s="579" t="s">
        <v>140</v>
      </c>
      <c r="AE18" s="579">
        <v>11</v>
      </c>
      <c r="AF18" s="580">
        <f>H18</f>
        <v>46119</v>
      </c>
      <c r="AG18" s="579">
        <f>A18</f>
        <v>1553</v>
      </c>
      <c r="AH18" s="579"/>
      <c r="AJ18" s="542"/>
    </row>
    <row r="19" spans="1:36" s="46" customFormat="1" x14ac:dyDescent="0.15">
      <c r="A19" s="566">
        <v>1554</v>
      </c>
      <c r="B19" s="566">
        <v>908</v>
      </c>
      <c r="C19" s="567"/>
      <c r="D19" s="566">
        <v>961</v>
      </c>
      <c r="E19" s="567"/>
      <c r="F19" s="568" t="s">
        <v>140</v>
      </c>
      <c r="G19" s="569">
        <v>46104</v>
      </c>
      <c r="H19" s="569">
        <v>46120</v>
      </c>
      <c r="I19" s="569"/>
      <c r="J19" s="581"/>
      <c r="K19" s="571">
        <v>46118</v>
      </c>
      <c r="L19" s="572">
        <v>46112</v>
      </c>
      <c r="M19" s="573">
        <v>46120</v>
      </c>
      <c r="N19" s="570"/>
      <c r="O19" s="574" t="s">
        <v>1028</v>
      </c>
      <c r="P19" s="574" t="s">
        <v>1028</v>
      </c>
      <c r="Q19" s="574" t="s">
        <v>1028</v>
      </c>
      <c r="R19" s="574" t="s">
        <v>1028</v>
      </c>
      <c r="S19" s="574" t="s">
        <v>1028</v>
      </c>
      <c r="T19" s="574" t="s">
        <v>1028</v>
      </c>
      <c r="U19" s="574" t="s">
        <v>1028</v>
      </c>
      <c r="V19" s="574" t="s">
        <v>1028</v>
      </c>
      <c r="W19" s="575" t="s">
        <v>1028</v>
      </c>
      <c r="X19" s="576" t="s">
        <v>1028</v>
      </c>
      <c r="Y19" s="577"/>
      <c r="Z19" s="578" t="s">
        <v>1028</v>
      </c>
      <c r="AA19" s="579" t="s">
        <v>1081</v>
      </c>
      <c r="AB19" s="579" t="s">
        <v>414</v>
      </c>
      <c r="AC19" s="579"/>
      <c r="AD19" s="579" t="s">
        <v>140</v>
      </c>
      <c r="AE19" s="579">
        <v>11</v>
      </c>
      <c r="AF19" s="580">
        <f>H19</f>
        <v>46120</v>
      </c>
      <c r="AG19" s="579">
        <f>A19</f>
        <v>1554</v>
      </c>
      <c r="AH19" s="579"/>
      <c r="AJ19" s="542"/>
    </row>
    <row r="20" spans="1:36" s="46" customFormat="1" x14ac:dyDescent="0.15">
      <c r="A20" s="566">
        <v>1555</v>
      </c>
      <c r="B20" s="566">
        <v>909</v>
      </c>
      <c r="C20" s="567"/>
      <c r="D20" s="566">
        <v>962</v>
      </c>
      <c r="E20" s="567"/>
      <c r="F20" s="568" t="s">
        <v>140</v>
      </c>
      <c r="G20" s="569">
        <v>46104</v>
      </c>
      <c r="H20" s="569">
        <v>46120</v>
      </c>
      <c r="I20" s="569"/>
      <c r="J20" s="581"/>
      <c r="K20" s="571">
        <v>46118</v>
      </c>
      <c r="L20" s="572">
        <v>46112</v>
      </c>
      <c r="M20" s="573">
        <v>46120</v>
      </c>
      <c r="N20" s="570"/>
      <c r="O20" s="574" t="s">
        <v>1028</v>
      </c>
      <c r="P20" s="574" t="s">
        <v>1028</v>
      </c>
      <c r="Q20" s="574" t="s">
        <v>1028</v>
      </c>
      <c r="R20" s="574" t="s">
        <v>1028</v>
      </c>
      <c r="S20" s="574" t="s">
        <v>1028</v>
      </c>
      <c r="T20" s="574" t="s">
        <v>1028</v>
      </c>
      <c r="U20" s="574" t="s">
        <v>1028</v>
      </c>
      <c r="V20" s="574" t="s">
        <v>1028</v>
      </c>
      <c r="W20" s="575" t="s">
        <v>1028</v>
      </c>
      <c r="X20" s="576" t="s">
        <v>1028</v>
      </c>
      <c r="Y20" s="577"/>
      <c r="Z20" s="578" t="s">
        <v>1028</v>
      </c>
      <c r="AA20" s="579" t="s">
        <v>1082</v>
      </c>
      <c r="AB20" s="579" t="s">
        <v>414</v>
      </c>
      <c r="AC20" s="579"/>
      <c r="AD20" s="579" t="s">
        <v>140</v>
      </c>
      <c r="AE20" s="579">
        <v>11</v>
      </c>
      <c r="AF20" s="580">
        <f>H20</f>
        <v>46120</v>
      </c>
      <c r="AG20" s="579">
        <f>A20</f>
        <v>1555</v>
      </c>
      <c r="AH20" s="579"/>
      <c r="AJ20" s="542"/>
    </row>
    <row r="21" spans="1:36" s="46" customFormat="1" x14ac:dyDescent="0.15">
      <c r="A21" s="566">
        <v>1556</v>
      </c>
      <c r="B21" s="566">
        <v>910</v>
      </c>
      <c r="C21" s="567"/>
      <c r="D21" s="566">
        <v>963</v>
      </c>
      <c r="E21" s="567"/>
      <c r="F21" s="568" t="s">
        <v>140</v>
      </c>
      <c r="G21" s="569">
        <v>46104</v>
      </c>
      <c r="H21" s="569">
        <v>46120</v>
      </c>
      <c r="I21" s="569"/>
      <c r="J21" s="581"/>
      <c r="K21" s="571">
        <v>46118</v>
      </c>
      <c r="L21" s="572">
        <v>46112</v>
      </c>
      <c r="M21" s="573">
        <v>46120</v>
      </c>
      <c r="N21" s="570"/>
      <c r="O21" s="574" t="s">
        <v>1028</v>
      </c>
      <c r="P21" s="574" t="s">
        <v>1028</v>
      </c>
      <c r="Q21" s="574" t="s">
        <v>1028</v>
      </c>
      <c r="R21" s="574" t="s">
        <v>1028</v>
      </c>
      <c r="S21" s="574" t="s">
        <v>1028</v>
      </c>
      <c r="T21" s="574" t="s">
        <v>1028</v>
      </c>
      <c r="U21" s="574" t="s">
        <v>1028</v>
      </c>
      <c r="V21" s="574" t="s">
        <v>1028</v>
      </c>
      <c r="W21" s="575" t="s">
        <v>1028</v>
      </c>
      <c r="X21" s="576" t="s">
        <v>1028</v>
      </c>
      <c r="Y21" s="577"/>
      <c r="Z21" s="578" t="s">
        <v>1028</v>
      </c>
      <c r="AA21" s="579" t="s">
        <v>1083</v>
      </c>
      <c r="AB21" s="579" t="s">
        <v>414</v>
      </c>
      <c r="AC21" s="579"/>
      <c r="AD21" s="579" t="s">
        <v>140</v>
      </c>
      <c r="AE21" s="579">
        <v>11</v>
      </c>
      <c r="AF21" s="580">
        <f>H21</f>
        <v>46120</v>
      </c>
      <c r="AG21" s="579">
        <f>A21</f>
        <v>1556</v>
      </c>
      <c r="AH21" s="579"/>
      <c r="AJ21" s="542"/>
    </row>
    <row r="22" spans="1:36" s="46" customFormat="1" x14ac:dyDescent="0.15">
      <c r="A22" s="566">
        <v>1557</v>
      </c>
      <c r="B22" s="566">
        <v>911</v>
      </c>
      <c r="C22" s="567"/>
      <c r="D22" s="566">
        <v>964</v>
      </c>
      <c r="E22" s="567"/>
      <c r="F22" s="568" t="s">
        <v>140</v>
      </c>
      <c r="G22" s="569">
        <v>46104</v>
      </c>
      <c r="H22" s="569">
        <v>46121</v>
      </c>
      <c r="I22" s="569"/>
      <c r="J22" s="581"/>
      <c r="K22" s="571">
        <v>46119</v>
      </c>
      <c r="L22" s="572">
        <v>46113</v>
      </c>
      <c r="M22" s="573">
        <v>46121</v>
      </c>
      <c r="N22" s="570"/>
      <c r="O22" s="574" t="s">
        <v>1028</v>
      </c>
      <c r="P22" s="574" t="s">
        <v>1028</v>
      </c>
      <c r="Q22" s="574" t="s">
        <v>1028</v>
      </c>
      <c r="R22" s="574" t="s">
        <v>1028</v>
      </c>
      <c r="S22" s="574" t="s">
        <v>1028</v>
      </c>
      <c r="T22" s="574" t="s">
        <v>1028</v>
      </c>
      <c r="U22" s="574" t="s">
        <v>1028</v>
      </c>
      <c r="V22" s="574" t="s">
        <v>1028</v>
      </c>
      <c r="W22" s="575" t="s">
        <v>1028</v>
      </c>
      <c r="X22" s="576" t="s">
        <v>1028</v>
      </c>
      <c r="Y22" s="577"/>
      <c r="Z22" s="578" t="s">
        <v>1028</v>
      </c>
      <c r="AA22" s="579" t="s">
        <v>1084</v>
      </c>
      <c r="AB22" s="579" t="s">
        <v>414</v>
      </c>
      <c r="AC22" s="579"/>
      <c r="AD22" s="579" t="s">
        <v>140</v>
      </c>
      <c r="AE22" s="579">
        <v>11</v>
      </c>
      <c r="AF22" s="580">
        <f>H22</f>
        <v>46121</v>
      </c>
      <c r="AG22" s="579">
        <f>A22</f>
        <v>1557</v>
      </c>
      <c r="AH22" s="579"/>
      <c r="AJ22" s="542"/>
    </row>
    <row r="23" spans="1:36" s="46" customFormat="1" x14ac:dyDescent="0.15">
      <c r="A23" s="566">
        <v>1558</v>
      </c>
      <c r="B23" s="566">
        <v>912</v>
      </c>
      <c r="C23" s="567"/>
      <c r="D23" s="566">
        <v>965</v>
      </c>
      <c r="E23" s="567"/>
      <c r="F23" s="568" t="s">
        <v>140</v>
      </c>
      <c r="G23" s="569">
        <v>46104</v>
      </c>
      <c r="H23" s="569">
        <v>46121</v>
      </c>
      <c r="I23" s="569"/>
      <c r="J23" s="581"/>
      <c r="K23" s="571">
        <v>46119</v>
      </c>
      <c r="L23" s="572">
        <v>46113</v>
      </c>
      <c r="M23" s="573">
        <v>46121</v>
      </c>
      <c r="N23" s="570"/>
      <c r="O23" s="574" t="s">
        <v>1028</v>
      </c>
      <c r="P23" s="574" t="s">
        <v>1028</v>
      </c>
      <c r="Q23" s="574" t="s">
        <v>1028</v>
      </c>
      <c r="R23" s="574" t="s">
        <v>1028</v>
      </c>
      <c r="S23" s="574" t="s">
        <v>1028</v>
      </c>
      <c r="T23" s="574" t="s">
        <v>1028</v>
      </c>
      <c r="U23" s="574" t="s">
        <v>1028</v>
      </c>
      <c r="V23" s="574" t="s">
        <v>1028</v>
      </c>
      <c r="W23" s="575" t="s">
        <v>1028</v>
      </c>
      <c r="X23" s="576" t="s">
        <v>1028</v>
      </c>
      <c r="Y23" s="577"/>
      <c r="Z23" s="578" t="s">
        <v>1028</v>
      </c>
      <c r="AA23" s="579" t="s">
        <v>1085</v>
      </c>
      <c r="AB23" s="579" t="s">
        <v>414</v>
      </c>
      <c r="AC23" s="579"/>
      <c r="AD23" s="579" t="s">
        <v>140</v>
      </c>
      <c r="AE23" s="579">
        <v>11</v>
      </c>
      <c r="AF23" s="580">
        <f>H23</f>
        <v>46121</v>
      </c>
      <c r="AG23" s="579">
        <f>A23</f>
        <v>1558</v>
      </c>
      <c r="AH23" s="579"/>
      <c r="AJ23" s="542"/>
    </row>
    <row r="24" spans="1:36" s="46" customFormat="1" x14ac:dyDescent="0.15">
      <c r="A24" s="566">
        <v>1559</v>
      </c>
      <c r="B24" s="566">
        <v>913</v>
      </c>
      <c r="C24" s="567"/>
      <c r="D24" s="566">
        <v>966</v>
      </c>
      <c r="E24" s="567"/>
      <c r="F24" s="568" t="s">
        <v>140</v>
      </c>
      <c r="G24" s="569">
        <v>46104</v>
      </c>
      <c r="H24" s="569">
        <v>46122</v>
      </c>
      <c r="I24" s="569"/>
      <c r="J24" s="581"/>
      <c r="K24" s="571">
        <v>46119</v>
      </c>
      <c r="L24" s="572">
        <v>46113</v>
      </c>
      <c r="M24" s="573">
        <v>46122</v>
      </c>
      <c r="N24" s="570"/>
      <c r="O24" s="574" t="s">
        <v>1028</v>
      </c>
      <c r="P24" s="574" t="s">
        <v>1028</v>
      </c>
      <c r="Q24" s="574" t="s">
        <v>1028</v>
      </c>
      <c r="R24" s="574" t="s">
        <v>1028</v>
      </c>
      <c r="S24" s="574" t="s">
        <v>1028</v>
      </c>
      <c r="T24" s="574" t="s">
        <v>1028</v>
      </c>
      <c r="U24" s="574" t="s">
        <v>1028</v>
      </c>
      <c r="V24" s="574" t="s">
        <v>1028</v>
      </c>
      <c r="W24" s="575" t="s">
        <v>1028</v>
      </c>
      <c r="X24" s="576" t="s">
        <v>1028</v>
      </c>
      <c r="Y24" s="577"/>
      <c r="Z24" s="578" t="s">
        <v>1028</v>
      </c>
      <c r="AA24" s="579" t="s">
        <v>1086</v>
      </c>
      <c r="AB24" s="579" t="s">
        <v>414</v>
      </c>
      <c r="AC24" s="579"/>
      <c r="AD24" s="579" t="s">
        <v>140</v>
      </c>
      <c r="AE24" s="579">
        <v>11</v>
      </c>
      <c r="AF24" s="580">
        <f>H24</f>
        <v>46122</v>
      </c>
      <c r="AG24" s="579">
        <f>A24</f>
        <v>1559</v>
      </c>
      <c r="AH24" s="579"/>
      <c r="AJ24" s="542"/>
    </row>
    <row r="25" spans="1:36" s="46" customFormat="1" x14ac:dyDescent="0.15">
      <c r="A25" s="566">
        <v>1560</v>
      </c>
      <c r="B25" s="566">
        <v>914</v>
      </c>
      <c r="C25" s="567"/>
      <c r="D25" s="566">
        <v>967</v>
      </c>
      <c r="E25" s="567"/>
      <c r="F25" s="568" t="s">
        <v>140</v>
      </c>
      <c r="G25" s="569">
        <v>46104</v>
      </c>
      <c r="H25" s="569">
        <v>46122</v>
      </c>
      <c r="I25" s="569"/>
      <c r="J25" s="581"/>
      <c r="K25" s="571">
        <v>46120</v>
      </c>
      <c r="L25" s="572">
        <v>46114</v>
      </c>
      <c r="M25" s="573">
        <v>46122</v>
      </c>
      <c r="N25" s="570"/>
      <c r="O25" s="574" t="s">
        <v>1028</v>
      </c>
      <c r="P25" s="574" t="s">
        <v>1028</v>
      </c>
      <c r="Q25" s="574" t="s">
        <v>1028</v>
      </c>
      <c r="R25" s="574" t="s">
        <v>1028</v>
      </c>
      <c r="S25" s="574" t="s">
        <v>1028</v>
      </c>
      <c r="T25" s="574" t="s">
        <v>1028</v>
      </c>
      <c r="U25" s="574" t="s">
        <v>1028</v>
      </c>
      <c r="V25" s="574" t="s">
        <v>1028</v>
      </c>
      <c r="W25" s="575" t="s">
        <v>1028</v>
      </c>
      <c r="X25" s="576" t="s">
        <v>1028</v>
      </c>
      <c r="Y25" s="577"/>
      <c r="Z25" s="578" t="s">
        <v>1028</v>
      </c>
      <c r="AA25" s="579" t="s">
        <v>1087</v>
      </c>
      <c r="AB25" s="579" t="s">
        <v>414</v>
      </c>
      <c r="AC25" s="579"/>
      <c r="AD25" s="579" t="s">
        <v>140</v>
      </c>
      <c r="AE25" s="579">
        <v>11</v>
      </c>
      <c r="AF25" s="580">
        <f>H25</f>
        <v>46122</v>
      </c>
      <c r="AG25" s="579">
        <f>A25</f>
        <v>1560</v>
      </c>
      <c r="AH25" s="579"/>
      <c r="AJ25" s="542"/>
    </row>
    <row r="26" spans="1:36" s="46" customFormat="1" x14ac:dyDescent="0.15">
      <c r="A26" s="566">
        <v>1561</v>
      </c>
      <c r="B26" s="566">
        <v>915</v>
      </c>
      <c r="C26" s="567"/>
      <c r="D26" s="566">
        <v>968</v>
      </c>
      <c r="E26" s="567"/>
      <c r="F26" s="568" t="s">
        <v>140</v>
      </c>
      <c r="G26" s="569">
        <v>46104</v>
      </c>
      <c r="H26" s="569">
        <v>46125</v>
      </c>
      <c r="I26" s="569"/>
      <c r="J26" s="581"/>
      <c r="K26" s="571">
        <v>46120</v>
      </c>
      <c r="L26" s="572">
        <v>46114</v>
      </c>
      <c r="M26" s="573">
        <v>46125</v>
      </c>
      <c r="N26" s="570"/>
      <c r="O26" s="574" t="s">
        <v>1028</v>
      </c>
      <c r="P26" s="574" t="s">
        <v>1028</v>
      </c>
      <c r="Q26" s="574" t="s">
        <v>1028</v>
      </c>
      <c r="R26" s="574" t="s">
        <v>1028</v>
      </c>
      <c r="S26" s="574" t="s">
        <v>1028</v>
      </c>
      <c r="T26" s="574" t="s">
        <v>1028</v>
      </c>
      <c r="U26" s="574" t="s">
        <v>1028</v>
      </c>
      <c r="V26" s="574" t="s">
        <v>1028</v>
      </c>
      <c r="W26" s="575" t="s">
        <v>1028</v>
      </c>
      <c r="X26" s="576" t="s">
        <v>1028</v>
      </c>
      <c r="Y26" s="577"/>
      <c r="Z26" s="578" t="s">
        <v>1028</v>
      </c>
      <c r="AA26" s="579" t="s">
        <v>1088</v>
      </c>
      <c r="AB26" s="579" t="s">
        <v>414</v>
      </c>
      <c r="AC26" s="579"/>
      <c r="AD26" s="579" t="s">
        <v>140</v>
      </c>
      <c r="AE26" s="579">
        <v>11</v>
      </c>
      <c r="AF26" s="580">
        <f>H26</f>
        <v>46125</v>
      </c>
      <c r="AG26" s="579">
        <f>A26</f>
        <v>1561</v>
      </c>
      <c r="AH26" s="579"/>
      <c r="AJ26" s="542"/>
    </row>
    <row r="27" spans="1:36" s="46" customFormat="1" x14ac:dyDescent="0.15">
      <c r="A27" s="566">
        <v>1562</v>
      </c>
      <c r="B27" s="566">
        <v>916</v>
      </c>
      <c r="C27" s="567"/>
      <c r="D27" s="566">
        <v>969</v>
      </c>
      <c r="E27" s="567"/>
      <c r="F27" s="568" t="s">
        <v>140</v>
      </c>
      <c r="G27" s="569">
        <v>46104</v>
      </c>
      <c r="H27" s="569">
        <v>46125</v>
      </c>
      <c r="I27" s="569"/>
      <c r="J27" s="581"/>
      <c r="K27" s="571">
        <v>46120</v>
      </c>
      <c r="L27" s="572">
        <v>46114</v>
      </c>
      <c r="M27" s="573">
        <v>46125</v>
      </c>
      <c r="N27" s="570"/>
      <c r="O27" s="574" t="s">
        <v>1028</v>
      </c>
      <c r="P27" s="574" t="s">
        <v>1028</v>
      </c>
      <c r="Q27" s="574" t="s">
        <v>1028</v>
      </c>
      <c r="R27" s="574" t="s">
        <v>1028</v>
      </c>
      <c r="S27" s="574" t="s">
        <v>1028</v>
      </c>
      <c r="T27" s="574" t="s">
        <v>1028</v>
      </c>
      <c r="U27" s="574" t="s">
        <v>1028</v>
      </c>
      <c r="V27" s="574" t="s">
        <v>1028</v>
      </c>
      <c r="W27" s="575" t="s">
        <v>1028</v>
      </c>
      <c r="X27" s="576" t="s">
        <v>1028</v>
      </c>
      <c r="Y27" s="577"/>
      <c r="Z27" s="578" t="s">
        <v>1028</v>
      </c>
      <c r="AA27" s="579" t="s">
        <v>1089</v>
      </c>
      <c r="AB27" s="579" t="s">
        <v>414</v>
      </c>
      <c r="AC27" s="579"/>
      <c r="AD27" s="579" t="s">
        <v>140</v>
      </c>
      <c r="AE27" s="579">
        <v>11</v>
      </c>
      <c r="AF27" s="580">
        <f>H27</f>
        <v>46125</v>
      </c>
      <c r="AG27" s="579">
        <f>A27</f>
        <v>1562</v>
      </c>
      <c r="AH27" s="579"/>
      <c r="AJ27" s="542"/>
    </row>
    <row r="28" spans="1:36" s="46" customFormat="1" x14ac:dyDescent="0.15">
      <c r="A28" s="566">
        <v>1563</v>
      </c>
      <c r="B28" s="566">
        <v>917</v>
      </c>
      <c r="C28" s="567"/>
      <c r="D28" s="566">
        <v>970</v>
      </c>
      <c r="E28" s="567"/>
      <c r="F28" s="568" t="s">
        <v>140</v>
      </c>
      <c r="G28" s="569">
        <v>46104</v>
      </c>
      <c r="H28" s="569">
        <v>46126</v>
      </c>
      <c r="I28" s="569"/>
      <c r="J28" s="581"/>
      <c r="K28" s="571">
        <v>46121</v>
      </c>
      <c r="L28" s="572">
        <v>46115</v>
      </c>
      <c r="M28" s="573">
        <v>46126</v>
      </c>
      <c r="N28" s="570"/>
      <c r="O28" s="574" t="s">
        <v>1028</v>
      </c>
      <c r="P28" s="574" t="s">
        <v>1028</v>
      </c>
      <c r="Q28" s="574" t="s">
        <v>1028</v>
      </c>
      <c r="R28" s="574" t="s">
        <v>1028</v>
      </c>
      <c r="S28" s="574" t="s">
        <v>1028</v>
      </c>
      <c r="T28" s="574" t="s">
        <v>1028</v>
      </c>
      <c r="U28" s="574" t="s">
        <v>1028</v>
      </c>
      <c r="V28" s="574" t="s">
        <v>1028</v>
      </c>
      <c r="W28" s="575" t="s">
        <v>1028</v>
      </c>
      <c r="X28" s="576" t="s">
        <v>1028</v>
      </c>
      <c r="Y28" s="577"/>
      <c r="Z28" s="578" t="s">
        <v>1028</v>
      </c>
      <c r="AA28" s="579" t="s">
        <v>1090</v>
      </c>
      <c r="AB28" s="579" t="s">
        <v>414</v>
      </c>
      <c r="AC28" s="579"/>
      <c r="AD28" s="579" t="s">
        <v>140</v>
      </c>
      <c r="AE28" s="579">
        <v>11</v>
      </c>
      <c r="AF28" s="580">
        <f>H28</f>
        <v>46126</v>
      </c>
      <c r="AG28" s="579">
        <f>A28</f>
        <v>1563</v>
      </c>
      <c r="AH28" s="579"/>
      <c r="AJ28" s="542"/>
    </row>
    <row r="29" spans="1:36" s="46" customFormat="1" x14ac:dyDescent="0.15">
      <c r="A29" s="566">
        <v>1564</v>
      </c>
      <c r="B29" s="566">
        <v>918</v>
      </c>
      <c r="C29" s="567"/>
      <c r="D29" s="566">
        <v>971</v>
      </c>
      <c r="E29" s="567"/>
      <c r="F29" s="568" t="s">
        <v>140</v>
      </c>
      <c r="G29" s="569">
        <v>46104</v>
      </c>
      <c r="H29" s="569">
        <v>46126</v>
      </c>
      <c r="I29" s="569"/>
      <c r="J29" s="581"/>
      <c r="K29" s="571">
        <v>46121</v>
      </c>
      <c r="L29" s="572">
        <v>46115</v>
      </c>
      <c r="M29" s="573">
        <v>46126</v>
      </c>
      <c r="N29" s="570"/>
      <c r="O29" s="574" t="s">
        <v>1028</v>
      </c>
      <c r="P29" s="574" t="s">
        <v>1028</v>
      </c>
      <c r="Q29" s="574" t="s">
        <v>1028</v>
      </c>
      <c r="R29" s="574" t="s">
        <v>1028</v>
      </c>
      <c r="S29" s="574" t="s">
        <v>1028</v>
      </c>
      <c r="T29" s="574" t="s">
        <v>1028</v>
      </c>
      <c r="U29" s="574" t="s">
        <v>1028</v>
      </c>
      <c r="V29" s="574" t="s">
        <v>1028</v>
      </c>
      <c r="W29" s="575" t="s">
        <v>1028</v>
      </c>
      <c r="X29" s="576" t="s">
        <v>1028</v>
      </c>
      <c r="Y29" s="577"/>
      <c r="Z29" s="578" t="s">
        <v>1028</v>
      </c>
      <c r="AA29" s="579" t="s">
        <v>1091</v>
      </c>
      <c r="AB29" s="579" t="s">
        <v>414</v>
      </c>
      <c r="AC29" s="579"/>
      <c r="AD29" s="579" t="s">
        <v>140</v>
      </c>
      <c r="AE29" s="579">
        <v>11</v>
      </c>
      <c r="AF29" s="580">
        <f>H29</f>
        <v>46126</v>
      </c>
      <c r="AG29" s="579">
        <f>A29</f>
        <v>1564</v>
      </c>
      <c r="AH29" s="579"/>
      <c r="AJ29" s="542"/>
    </row>
    <row r="30" spans="1:36" s="46" customFormat="1" x14ac:dyDescent="0.15">
      <c r="A30" s="566">
        <v>1565</v>
      </c>
      <c r="B30" s="566">
        <v>919</v>
      </c>
      <c r="C30" s="567"/>
      <c r="D30" s="566">
        <v>972</v>
      </c>
      <c r="E30" s="567"/>
      <c r="F30" s="568" t="s">
        <v>140</v>
      </c>
      <c r="G30" s="569">
        <v>46104</v>
      </c>
      <c r="H30" s="569">
        <v>46127</v>
      </c>
      <c r="I30" s="569"/>
      <c r="J30" s="581"/>
      <c r="K30" s="571">
        <v>46121</v>
      </c>
      <c r="L30" s="572">
        <v>46115</v>
      </c>
      <c r="M30" s="573">
        <v>46127</v>
      </c>
      <c r="N30" s="570"/>
      <c r="O30" s="574" t="s">
        <v>1028</v>
      </c>
      <c r="P30" s="574" t="s">
        <v>1028</v>
      </c>
      <c r="Q30" s="574" t="s">
        <v>1028</v>
      </c>
      <c r="R30" s="574" t="s">
        <v>1028</v>
      </c>
      <c r="S30" s="574" t="s">
        <v>1028</v>
      </c>
      <c r="T30" s="574" t="s">
        <v>1028</v>
      </c>
      <c r="U30" s="574" t="s">
        <v>1028</v>
      </c>
      <c r="V30" s="574" t="s">
        <v>1028</v>
      </c>
      <c r="W30" s="575" t="s">
        <v>1028</v>
      </c>
      <c r="X30" s="576" t="s">
        <v>1028</v>
      </c>
      <c r="Y30" s="577"/>
      <c r="Z30" s="578" t="s">
        <v>1028</v>
      </c>
      <c r="AA30" s="579" t="s">
        <v>1092</v>
      </c>
      <c r="AB30" s="579" t="s">
        <v>414</v>
      </c>
      <c r="AC30" s="579"/>
      <c r="AD30" s="579" t="s">
        <v>140</v>
      </c>
      <c r="AE30" s="579">
        <v>11</v>
      </c>
      <c r="AF30" s="580">
        <f>H30</f>
        <v>46127</v>
      </c>
      <c r="AG30" s="579">
        <f>A30</f>
        <v>1565</v>
      </c>
      <c r="AH30" s="579"/>
      <c r="AJ30" s="542"/>
    </row>
    <row r="31" spans="1:36" s="46" customFormat="1" x14ac:dyDescent="0.15">
      <c r="A31" s="566">
        <v>1566</v>
      </c>
      <c r="B31" s="566">
        <v>920</v>
      </c>
      <c r="C31" s="567"/>
      <c r="D31" s="566">
        <v>973</v>
      </c>
      <c r="E31" s="567"/>
      <c r="F31" s="568" t="s">
        <v>140</v>
      </c>
      <c r="G31" s="569">
        <v>46104</v>
      </c>
      <c r="H31" s="569">
        <v>46127</v>
      </c>
      <c r="I31" s="569"/>
      <c r="J31" s="581"/>
      <c r="K31" s="571">
        <v>46122</v>
      </c>
      <c r="L31" s="572">
        <v>46118</v>
      </c>
      <c r="M31" s="573">
        <v>46127</v>
      </c>
      <c r="N31" s="570"/>
      <c r="O31" s="574" t="s">
        <v>1028</v>
      </c>
      <c r="P31" s="574" t="s">
        <v>1028</v>
      </c>
      <c r="Q31" s="574" t="s">
        <v>1028</v>
      </c>
      <c r="R31" s="574" t="s">
        <v>1028</v>
      </c>
      <c r="S31" s="574" t="s">
        <v>1028</v>
      </c>
      <c r="T31" s="574" t="s">
        <v>1028</v>
      </c>
      <c r="U31" s="574" t="s">
        <v>1028</v>
      </c>
      <c r="V31" s="574" t="s">
        <v>1028</v>
      </c>
      <c r="W31" s="575" t="s">
        <v>1028</v>
      </c>
      <c r="X31" s="576" t="s">
        <v>1028</v>
      </c>
      <c r="Y31" s="577"/>
      <c r="Z31" s="578" t="s">
        <v>1028</v>
      </c>
      <c r="AA31" s="579" t="s">
        <v>1093</v>
      </c>
      <c r="AB31" s="579" t="s">
        <v>414</v>
      </c>
      <c r="AC31" s="579"/>
      <c r="AD31" s="579" t="s">
        <v>140</v>
      </c>
      <c r="AE31" s="579">
        <v>11</v>
      </c>
      <c r="AF31" s="580">
        <f>H31</f>
        <v>46127</v>
      </c>
      <c r="AG31" s="579">
        <f>A31</f>
        <v>1566</v>
      </c>
      <c r="AH31" s="579"/>
      <c r="AJ31" s="542"/>
    </row>
    <row r="32" spans="1:36" s="46" customFormat="1" x14ac:dyDescent="0.15">
      <c r="A32" s="566">
        <v>1567</v>
      </c>
      <c r="B32" s="566">
        <v>921</v>
      </c>
      <c r="C32" s="567"/>
      <c r="D32" s="566">
        <v>974</v>
      </c>
      <c r="E32" s="567"/>
      <c r="F32" s="568" t="s">
        <v>140</v>
      </c>
      <c r="G32" s="569">
        <v>46104</v>
      </c>
      <c r="H32" s="569">
        <v>46127</v>
      </c>
      <c r="I32" s="569"/>
      <c r="J32" s="581"/>
      <c r="K32" s="571">
        <v>46122</v>
      </c>
      <c r="L32" s="572">
        <v>46118</v>
      </c>
      <c r="M32" s="573">
        <v>46127</v>
      </c>
      <c r="N32" s="570"/>
      <c r="O32" s="574" t="s">
        <v>1028</v>
      </c>
      <c r="P32" s="574" t="s">
        <v>1028</v>
      </c>
      <c r="Q32" s="574" t="s">
        <v>1028</v>
      </c>
      <c r="R32" s="574" t="s">
        <v>1028</v>
      </c>
      <c r="S32" s="574" t="s">
        <v>1028</v>
      </c>
      <c r="T32" s="574" t="s">
        <v>1028</v>
      </c>
      <c r="U32" s="574" t="s">
        <v>1028</v>
      </c>
      <c r="V32" s="574" t="s">
        <v>1028</v>
      </c>
      <c r="W32" s="575" t="s">
        <v>1028</v>
      </c>
      <c r="X32" s="576" t="s">
        <v>1028</v>
      </c>
      <c r="Y32" s="577"/>
      <c r="Z32" s="578" t="s">
        <v>1028</v>
      </c>
      <c r="AA32" s="579" t="s">
        <v>1094</v>
      </c>
      <c r="AB32" s="579" t="s">
        <v>414</v>
      </c>
      <c r="AC32" s="579"/>
      <c r="AD32" s="579" t="s">
        <v>140</v>
      </c>
      <c r="AE32" s="579">
        <v>11</v>
      </c>
      <c r="AF32" s="580">
        <f>H32</f>
        <v>46127</v>
      </c>
      <c r="AG32" s="579">
        <f>A32</f>
        <v>1567</v>
      </c>
      <c r="AH32" s="579"/>
      <c r="AJ32" s="542"/>
    </row>
    <row r="33" spans="1:36" s="46" customFormat="1" x14ac:dyDescent="0.15">
      <c r="A33" s="567"/>
      <c r="B33" s="567"/>
      <c r="C33" s="567"/>
      <c r="D33" s="567"/>
      <c r="E33" s="567"/>
      <c r="F33" s="582"/>
      <c r="G33" s="569">
        <v>46084</v>
      </c>
      <c r="H33" s="569">
        <v>46127</v>
      </c>
      <c r="I33" s="569"/>
      <c r="J33" s="583" t="s">
        <v>1095</v>
      </c>
      <c r="K33" s="584"/>
      <c r="L33" s="572">
        <v>46118</v>
      </c>
      <c r="M33" s="573">
        <v>46127</v>
      </c>
      <c r="N33" s="585" t="s">
        <v>1066</v>
      </c>
      <c r="O33" s="577"/>
      <c r="P33" s="577"/>
      <c r="Q33" s="577"/>
      <c r="R33" s="577"/>
      <c r="S33" s="577"/>
      <c r="T33" s="577"/>
      <c r="U33" s="574" t="s">
        <v>1028</v>
      </c>
      <c r="V33" s="577"/>
      <c r="W33" s="586"/>
      <c r="X33" s="587"/>
      <c r="Y33" s="577"/>
      <c r="Z33" s="577"/>
      <c r="AA33" s="588" t="s">
        <v>1096</v>
      </c>
      <c r="AB33" s="589" t="s">
        <v>513</v>
      </c>
      <c r="AC33" s="589" t="s">
        <v>1062</v>
      </c>
      <c r="AD33" s="589" t="s">
        <v>1063</v>
      </c>
      <c r="AE33" s="579">
        <f>F33</f>
        <v>0</v>
      </c>
      <c r="AF33" s="580">
        <f>H33</f>
        <v>46127</v>
      </c>
      <c r="AG33" s="579">
        <f>A33</f>
        <v>0</v>
      </c>
      <c r="AH33" s="589" t="s">
        <v>1064</v>
      </c>
      <c r="AJ33" s="542"/>
    </row>
    <row r="34" spans="1:36" s="46" customFormat="1" x14ac:dyDescent="0.15">
      <c r="A34" s="567"/>
      <c r="B34" s="567"/>
      <c r="C34" s="567"/>
      <c r="D34" s="567"/>
      <c r="E34" s="567"/>
      <c r="F34" s="582"/>
      <c r="G34" s="569">
        <v>46084</v>
      </c>
      <c r="H34" s="569">
        <v>46127</v>
      </c>
      <c r="I34" s="569"/>
      <c r="J34" s="583" t="s">
        <v>1095</v>
      </c>
      <c r="K34" s="584"/>
      <c r="L34" s="572">
        <v>46118</v>
      </c>
      <c r="M34" s="573">
        <v>46127</v>
      </c>
      <c r="N34" s="585" t="s">
        <v>1066</v>
      </c>
      <c r="O34" s="577"/>
      <c r="P34" s="577"/>
      <c r="Q34" s="577"/>
      <c r="R34" s="577"/>
      <c r="S34" s="577"/>
      <c r="T34" s="577"/>
      <c r="U34" s="574" t="s">
        <v>1028</v>
      </c>
      <c r="V34" s="577"/>
      <c r="W34" s="586"/>
      <c r="X34" s="587"/>
      <c r="Y34" s="577"/>
      <c r="Z34" s="577"/>
      <c r="AA34" s="588" t="s">
        <v>1097</v>
      </c>
      <c r="AB34" s="589" t="s">
        <v>513</v>
      </c>
      <c r="AC34" s="589" t="s">
        <v>1068</v>
      </c>
      <c r="AD34" s="589" t="s">
        <v>1063</v>
      </c>
      <c r="AE34" s="579">
        <f>F34</f>
        <v>0</v>
      </c>
      <c r="AF34" s="580">
        <f>H34</f>
        <v>46127</v>
      </c>
      <c r="AG34" s="579">
        <f>A34</f>
        <v>0</v>
      </c>
      <c r="AH34" s="589" t="s">
        <v>1064</v>
      </c>
      <c r="AJ34" s="542"/>
    </row>
    <row r="35" spans="1:36" s="46" customFormat="1" x14ac:dyDescent="0.15">
      <c r="A35" s="567"/>
      <c r="B35" s="567"/>
      <c r="C35" s="567"/>
      <c r="D35" s="567"/>
      <c r="E35" s="567"/>
      <c r="F35" s="582"/>
      <c r="G35" s="569">
        <v>46084</v>
      </c>
      <c r="H35" s="569">
        <v>46127</v>
      </c>
      <c r="I35" s="569"/>
      <c r="J35" s="583" t="s">
        <v>1095</v>
      </c>
      <c r="K35" s="584"/>
      <c r="L35" s="572">
        <v>46118</v>
      </c>
      <c r="M35" s="573">
        <v>46127</v>
      </c>
      <c r="N35" s="585" t="s">
        <v>1066</v>
      </c>
      <c r="O35" s="577"/>
      <c r="P35" s="577"/>
      <c r="Q35" s="577"/>
      <c r="R35" s="577"/>
      <c r="S35" s="577"/>
      <c r="T35" s="577"/>
      <c r="U35" s="574" t="s">
        <v>1028</v>
      </c>
      <c r="V35" s="577"/>
      <c r="W35" s="586"/>
      <c r="X35" s="587"/>
      <c r="Y35" s="577"/>
      <c r="Z35" s="577"/>
      <c r="AA35" s="588" t="s">
        <v>1096</v>
      </c>
      <c r="AB35" s="589" t="s">
        <v>513</v>
      </c>
      <c r="AC35" s="589" t="s">
        <v>1069</v>
      </c>
      <c r="AD35" s="589" t="s">
        <v>1063</v>
      </c>
      <c r="AE35" s="579">
        <f>F35</f>
        <v>0</v>
      </c>
      <c r="AF35" s="580">
        <f>H35</f>
        <v>46127</v>
      </c>
      <c r="AG35" s="579">
        <f>A35</f>
        <v>0</v>
      </c>
      <c r="AH35" s="589" t="s">
        <v>1064</v>
      </c>
      <c r="AJ35" s="542"/>
    </row>
    <row r="36" spans="1:36" s="46" customFormat="1" x14ac:dyDescent="0.15">
      <c r="A36" s="567"/>
      <c r="B36" s="567"/>
      <c r="C36" s="567"/>
      <c r="D36" s="567"/>
      <c r="E36" s="567"/>
      <c r="F36" s="582"/>
      <c r="G36" s="569">
        <v>46084</v>
      </c>
      <c r="H36" s="569">
        <v>46127</v>
      </c>
      <c r="I36" s="569"/>
      <c r="J36" s="583" t="s">
        <v>1095</v>
      </c>
      <c r="K36" s="584"/>
      <c r="L36" s="572">
        <v>46118</v>
      </c>
      <c r="M36" s="573">
        <v>46127</v>
      </c>
      <c r="N36" s="585" t="s">
        <v>1066</v>
      </c>
      <c r="O36" s="577"/>
      <c r="P36" s="577"/>
      <c r="Q36" s="577"/>
      <c r="R36" s="577"/>
      <c r="S36" s="577"/>
      <c r="T36" s="577"/>
      <c r="U36" s="574" t="s">
        <v>1028</v>
      </c>
      <c r="V36" s="577"/>
      <c r="W36" s="586"/>
      <c r="X36" s="587"/>
      <c r="Y36" s="577"/>
      <c r="Z36" s="577"/>
      <c r="AA36" s="588" t="s">
        <v>1096</v>
      </c>
      <c r="AB36" s="589" t="s">
        <v>513</v>
      </c>
      <c r="AC36" s="589" t="s">
        <v>1070</v>
      </c>
      <c r="AD36" s="589" t="s">
        <v>1063</v>
      </c>
      <c r="AE36" s="579">
        <f>F36</f>
        <v>0</v>
      </c>
      <c r="AF36" s="580">
        <f>H36</f>
        <v>46127</v>
      </c>
      <c r="AG36" s="579">
        <f>A36</f>
        <v>0</v>
      </c>
      <c r="AH36" s="589" t="s">
        <v>1064</v>
      </c>
      <c r="AJ36" s="542"/>
    </row>
    <row r="37" spans="1:36" s="46" customFormat="1" x14ac:dyDescent="0.15">
      <c r="A37" s="567"/>
      <c r="B37" s="567"/>
      <c r="C37" s="567"/>
      <c r="D37" s="567"/>
      <c r="E37" s="567"/>
      <c r="F37" s="582"/>
      <c r="G37" s="569">
        <v>46084</v>
      </c>
      <c r="H37" s="569">
        <v>46127</v>
      </c>
      <c r="I37" s="569"/>
      <c r="J37" s="583" t="s">
        <v>1095</v>
      </c>
      <c r="K37" s="584"/>
      <c r="L37" s="572">
        <v>46118</v>
      </c>
      <c r="M37" s="573">
        <v>46127</v>
      </c>
      <c r="N37" s="585" t="s">
        <v>1066</v>
      </c>
      <c r="O37" s="577"/>
      <c r="P37" s="577"/>
      <c r="Q37" s="577"/>
      <c r="R37" s="577"/>
      <c r="S37" s="577"/>
      <c r="T37" s="577"/>
      <c r="U37" s="574" t="s">
        <v>1028</v>
      </c>
      <c r="V37" s="577"/>
      <c r="W37" s="586"/>
      <c r="X37" s="587"/>
      <c r="Y37" s="577"/>
      <c r="Z37" s="577"/>
      <c r="AA37" s="588" t="s">
        <v>1096</v>
      </c>
      <c r="AB37" s="589" t="s">
        <v>513</v>
      </c>
      <c r="AC37" s="589" t="s">
        <v>1071</v>
      </c>
      <c r="AD37" s="589" t="s">
        <v>1063</v>
      </c>
      <c r="AE37" s="579">
        <f>F37</f>
        <v>0</v>
      </c>
      <c r="AF37" s="580">
        <f>H37</f>
        <v>46127</v>
      </c>
      <c r="AG37" s="579">
        <f>A37</f>
        <v>0</v>
      </c>
      <c r="AH37" s="589" t="s">
        <v>1064</v>
      </c>
      <c r="AJ37" s="542"/>
    </row>
    <row r="38" spans="1:36" s="46" customFormat="1" x14ac:dyDescent="0.15">
      <c r="A38" s="566">
        <v>1568</v>
      </c>
      <c r="B38" s="566">
        <v>922</v>
      </c>
      <c r="C38" s="567"/>
      <c r="D38" s="566">
        <v>975</v>
      </c>
      <c r="E38" s="567"/>
      <c r="F38" s="568" t="s">
        <v>140</v>
      </c>
      <c r="G38" s="569">
        <v>46104</v>
      </c>
      <c r="H38" s="569">
        <v>46128</v>
      </c>
      <c r="I38" s="569"/>
      <c r="J38" s="570"/>
      <c r="K38" s="571">
        <v>46122</v>
      </c>
      <c r="L38" s="572">
        <v>46118</v>
      </c>
      <c r="M38" s="573">
        <v>46128</v>
      </c>
      <c r="N38" s="570"/>
      <c r="O38" s="574" t="s">
        <v>1028</v>
      </c>
      <c r="P38" s="574" t="s">
        <v>1028</v>
      </c>
      <c r="Q38" s="574" t="s">
        <v>1028</v>
      </c>
      <c r="R38" s="574" t="s">
        <v>1028</v>
      </c>
      <c r="S38" s="574" t="s">
        <v>1028</v>
      </c>
      <c r="T38" s="574" t="s">
        <v>1028</v>
      </c>
      <c r="U38" s="574" t="s">
        <v>1028</v>
      </c>
      <c r="V38" s="574" t="s">
        <v>1028</v>
      </c>
      <c r="W38" s="575" t="s">
        <v>1028</v>
      </c>
      <c r="X38" s="576" t="s">
        <v>1028</v>
      </c>
      <c r="Y38" s="577"/>
      <c r="Z38" s="578" t="s">
        <v>1028</v>
      </c>
      <c r="AA38" s="579" t="s">
        <v>1098</v>
      </c>
      <c r="AB38" s="579" t="s">
        <v>414</v>
      </c>
      <c r="AC38" s="579"/>
      <c r="AD38" s="579" t="s">
        <v>140</v>
      </c>
      <c r="AE38" s="579">
        <v>11</v>
      </c>
      <c r="AF38" s="580">
        <f>H38</f>
        <v>46128</v>
      </c>
      <c r="AG38" s="579">
        <f>A38</f>
        <v>1568</v>
      </c>
      <c r="AH38" s="579"/>
      <c r="AJ38" s="542"/>
    </row>
    <row r="39" spans="1:36" s="46" customFormat="1" x14ac:dyDescent="0.15">
      <c r="A39" s="566">
        <v>1569</v>
      </c>
      <c r="B39" s="566">
        <v>923</v>
      </c>
      <c r="C39" s="567"/>
      <c r="D39" s="566">
        <v>976</v>
      </c>
      <c r="E39" s="567"/>
      <c r="F39" s="568" t="s">
        <v>140</v>
      </c>
      <c r="G39" s="569">
        <v>46104</v>
      </c>
      <c r="H39" s="569">
        <v>46128</v>
      </c>
      <c r="I39" s="569"/>
      <c r="J39" s="581"/>
      <c r="K39" s="571">
        <v>46125</v>
      </c>
      <c r="L39" s="572">
        <v>46119</v>
      </c>
      <c r="M39" s="573">
        <v>46128</v>
      </c>
      <c r="N39" s="570"/>
      <c r="O39" s="574" t="s">
        <v>1028</v>
      </c>
      <c r="P39" s="574" t="s">
        <v>1028</v>
      </c>
      <c r="Q39" s="574" t="s">
        <v>1028</v>
      </c>
      <c r="R39" s="574" t="s">
        <v>1028</v>
      </c>
      <c r="S39" s="574" t="s">
        <v>1028</v>
      </c>
      <c r="T39" s="574" t="s">
        <v>1028</v>
      </c>
      <c r="U39" s="574" t="s">
        <v>1028</v>
      </c>
      <c r="V39" s="574" t="s">
        <v>1028</v>
      </c>
      <c r="W39" s="575" t="s">
        <v>1028</v>
      </c>
      <c r="X39" s="576" t="s">
        <v>1028</v>
      </c>
      <c r="Y39" s="577"/>
      <c r="Z39" s="578" t="s">
        <v>1028</v>
      </c>
      <c r="AA39" s="579" t="s">
        <v>1099</v>
      </c>
      <c r="AB39" s="579" t="s">
        <v>414</v>
      </c>
      <c r="AC39" s="579"/>
      <c r="AD39" s="579" t="s">
        <v>140</v>
      </c>
      <c r="AE39" s="579">
        <v>11</v>
      </c>
      <c r="AF39" s="580">
        <f>H39</f>
        <v>46128</v>
      </c>
      <c r="AG39" s="579">
        <f>A39</f>
        <v>1569</v>
      </c>
      <c r="AH39" s="579"/>
      <c r="AJ39" s="542"/>
    </row>
    <row r="40" spans="1:36" s="46" customFormat="1" x14ac:dyDescent="0.15">
      <c r="A40" s="566">
        <v>1570</v>
      </c>
      <c r="B40" s="566">
        <v>924</v>
      </c>
      <c r="C40" s="567"/>
      <c r="D40" s="566">
        <v>977</v>
      </c>
      <c r="E40" s="567"/>
      <c r="F40" s="568" t="s">
        <v>140</v>
      </c>
      <c r="G40" s="569">
        <v>46104</v>
      </c>
      <c r="H40" s="569">
        <v>46128</v>
      </c>
      <c r="I40" s="569"/>
      <c r="J40" s="581"/>
      <c r="K40" s="571">
        <v>46125</v>
      </c>
      <c r="L40" s="572">
        <v>46119</v>
      </c>
      <c r="M40" s="573">
        <v>46128</v>
      </c>
      <c r="N40" s="570"/>
      <c r="O40" s="574" t="s">
        <v>1028</v>
      </c>
      <c r="P40" s="574" t="s">
        <v>1028</v>
      </c>
      <c r="Q40" s="574" t="s">
        <v>1028</v>
      </c>
      <c r="R40" s="574" t="s">
        <v>1028</v>
      </c>
      <c r="S40" s="574" t="s">
        <v>1028</v>
      </c>
      <c r="T40" s="574" t="s">
        <v>1028</v>
      </c>
      <c r="U40" s="574" t="s">
        <v>1028</v>
      </c>
      <c r="V40" s="574" t="s">
        <v>1028</v>
      </c>
      <c r="W40" s="575" t="s">
        <v>1028</v>
      </c>
      <c r="X40" s="576" t="s">
        <v>1028</v>
      </c>
      <c r="Y40" s="577"/>
      <c r="Z40" s="578" t="s">
        <v>1028</v>
      </c>
      <c r="AA40" s="579" t="s">
        <v>1100</v>
      </c>
      <c r="AB40" s="579" t="s">
        <v>414</v>
      </c>
      <c r="AC40" s="579"/>
      <c r="AD40" s="579" t="s">
        <v>140</v>
      </c>
      <c r="AE40" s="579">
        <v>11</v>
      </c>
      <c r="AF40" s="580">
        <f>H40</f>
        <v>46128</v>
      </c>
      <c r="AG40" s="579">
        <f>A40</f>
        <v>1570</v>
      </c>
      <c r="AH40" s="579"/>
      <c r="AJ40" s="542"/>
    </row>
    <row r="41" spans="1:36" s="46" customFormat="1" x14ac:dyDescent="0.15">
      <c r="A41" s="567"/>
      <c r="B41" s="567"/>
      <c r="C41" s="567"/>
      <c r="D41" s="567"/>
      <c r="E41" s="567"/>
      <c r="F41" s="582"/>
      <c r="G41" s="569">
        <v>46084</v>
      </c>
      <c r="H41" s="569">
        <v>46128</v>
      </c>
      <c r="I41" s="569"/>
      <c r="J41" s="583" t="s">
        <v>1101</v>
      </c>
      <c r="K41" s="584"/>
      <c r="L41" s="572">
        <v>46119</v>
      </c>
      <c r="M41" s="573">
        <v>46128</v>
      </c>
      <c r="N41" s="585" t="s">
        <v>1066</v>
      </c>
      <c r="O41" s="577"/>
      <c r="P41" s="577"/>
      <c r="Q41" s="577"/>
      <c r="R41" s="577"/>
      <c r="S41" s="577"/>
      <c r="T41" s="577"/>
      <c r="U41" s="574" t="s">
        <v>1028</v>
      </c>
      <c r="V41" s="577"/>
      <c r="W41" s="586"/>
      <c r="X41" s="587"/>
      <c r="Y41" s="577"/>
      <c r="Z41" s="577"/>
      <c r="AA41" s="588" t="s">
        <v>1102</v>
      </c>
      <c r="AB41" s="589" t="s">
        <v>513</v>
      </c>
      <c r="AC41" s="589" t="s">
        <v>1062</v>
      </c>
      <c r="AD41" s="589" t="s">
        <v>1063</v>
      </c>
      <c r="AE41" s="579">
        <f>F41</f>
        <v>0</v>
      </c>
      <c r="AF41" s="580">
        <f>H41</f>
        <v>46128</v>
      </c>
      <c r="AG41" s="579">
        <f>A41</f>
        <v>0</v>
      </c>
      <c r="AH41" s="589" t="s">
        <v>1064</v>
      </c>
      <c r="AJ41" s="542"/>
    </row>
    <row r="42" spans="1:36" s="46" customFormat="1" x14ac:dyDescent="0.15">
      <c r="A42" s="567"/>
      <c r="B42" s="567"/>
      <c r="C42" s="567"/>
      <c r="D42" s="567"/>
      <c r="E42" s="567"/>
      <c r="F42" s="582"/>
      <c r="G42" s="569">
        <v>46084</v>
      </c>
      <c r="H42" s="569">
        <v>46128</v>
      </c>
      <c r="I42" s="569"/>
      <c r="J42" s="583" t="s">
        <v>1101</v>
      </c>
      <c r="K42" s="584"/>
      <c r="L42" s="572">
        <v>46119</v>
      </c>
      <c r="M42" s="573">
        <v>46128</v>
      </c>
      <c r="N42" s="585" t="s">
        <v>1103</v>
      </c>
      <c r="O42" s="577"/>
      <c r="P42" s="577"/>
      <c r="Q42" s="577"/>
      <c r="R42" s="577"/>
      <c r="S42" s="577"/>
      <c r="T42" s="577"/>
      <c r="U42" s="574" t="s">
        <v>1028</v>
      </c>
      <c r="V42" s="577"/>
      <c r="W42" s="586"/>
      <c r="X42" s="587"/>
      <c r="Y42" s="577"/>
      <c r="Z42" s="577"/>
      <c r="AA42" s="588" t="s">
        <v>1104</v>
      </c>
      <c r="AB42" s="589" t="s">
        <v>513</v>
      </c>
      <c r="AC42" s="589" t="s">
        <v>1068</v>
      </c>
      <c r="AD42" s="589" t="s">
        <v>1063</v>
      </c>
      <c r="AE42" s="579">
        <f>F42</f>
        <v>0</v>
      </c>
      <c r="AF42" s="580">
        <f>H42</f>
        <v>46128</v>
      </c>
      <c r="AG42" s="579">
        <f>A42</f>
        <v>0</v>
      </c>
      <c r="AH42" s="589" t="s">
        <v>1105</v>
      </c>
      <c r="AJ42" s="542"/>
    </row>
    <row r="43" spans="1:36" s="46" customFormat="1" x14ac:dyDescent="0.15">
      <c r="A43" s="567"/>
      <c r="B43" s="567"/>
      <c r="C43" s="567"/>
      <c r="D43" s="567"/>
      <c r="E43" s="567"/>
      <c r="F43" s="582"/>
      <c r="G43" s="569">
        <v>46084</v>
      </c>
      <c r="H43" s="569">
        <v>46128</v>
      </c>
      <c r="I43" s="569"/>
      <c r="J43" s="583" t="s">
        <v>1106</v>
      </c>
      <c r="K43" s="584"/>
      <c r="L43" s="572">
        <v>46119</v>
      </c>
      <c r="M43" s="573">
        <v>46128</v>
      </c>
      <c r="N43" s="585" t="s">
        <v>1066</v>
      </c>
      <c r="O43" s="577"/>
      <c r="P43" s="577"/>
      <c r="Q43" s="577"/>
      <c r="R43" s="577"/>
      <c r="S43" s="577"/>
      <c r="T43" s="577"/>
      <c r="U43" s="574" t="s">
        <v>1028</v>
      </c>
      <c r="V43" s="577"/>
      <c r="W43" s="586"/>
      <c r="X43" s="587"/>
      <c r="Y43" s="577"/>
      <c r="Z43" s="577"/>
      <c r="AA43" s="588" t="s">
        <v>1104</v>
      </c>
      <c r="AB43" s="589" t="s">
        <v>513</v>
      </c>
      <c r="AC43" s="589" t="s">
        <v>1069</v>
      </c>
      <c r="AD43" s="589" t="s">
        <v>1063</v>
      </c>
      <c r="AE43" s="579">
        <f>F43</f>
        <v>0</v>
      </c>
      <c r="AF43" s="580">
        <f>H43</f>
        <v>46128</v>
      </c>
      <c r="AG43" s="579">
        <f>A43</f>
        <v>0</v>
      </c>
      <c r="AH43" s="589" t="s">
        <v>1064</v>
      </c>
      <c r="AJ43" s="542"/>
    </row>
    <row r="44" spans="1:36" s="46" customFormat="1" x14ac:dyDescent="0.15">
      <c r="A44" s="567"/>
      <c r="B44" s="567"/>
      <c r="C44" s="567"/>
      <c r="D44" s="567"/>
      <c r="E44" s="567"/>
      <c r="F44" s="582"/>
      <c r="G44" s="569">
        <v>46084</v>
      </c>
      <c r="H44" s="569">
        <v>46128</v>
      </c>
      <c r="I44" s="569"/>
      <c r="J44" s="583" t="s">
        <v>1101</v>
      </c>
      <c r="K44" s="584"/>
      <c r="L44" s="572">
        <v>46119</v>
      </c>
      <c r="M44" s="573">
        <v>46128</v>
      </c>
      <c r="N44" s="585" t="s">
        <v>1066</v>
      </c>
      <c r="O44" s="577"/>
      <c r="P44" s="577"/>
      <c r="Q44" s="577"/>
      <c r="R44" s="577"/>
      <c r="S44" s="577"/>
      <c r="T44" s="577"/>
      <c r="U44" s="574" t="s">
        <v>1028</v>
      </c>
      <c r="V44" s="577"/>
      <c r="W44" s="586"/>
      <c r="X44" s="587"/>
      <c r="Y44" s="577"/>
      <c r="Z44" s="577"/>
      <c r="AA44" s="588" t="s">
        <v>1102</v>
      </c>
      <c r="AB44" s="589" t="s">
        <v>513</v>
      </c>
      <c r="AC44" s="589" t="s">
        <v>1070</v>
      </c>
      <c r="AD44" s="589" t="s">
        <v>1063</v>
      </c>
      <c r="AE44" s="579">
        <f>F44</f>
        <v>0</v>
      </c>
      <c r="AF44" s="580">
        <f>H44</f>
        <v>46128</v>
      </c>
      <c r="AG44" s="579">
        <f>A44</f>
        <v>0</v>
      </c>
      <c r="AH44" s="589" t="s">
        <v>1064</v>
      </c>
      <c r="AJ44" s="542"/>
    </row>
    <row r="45" spans="1:36" s="46" customFormat="1" x14ac:dyDescent="0.15">
      <c r="A45" s="567"/>
      <c r="B45" s="567"/>
      <c r="C45" s="567"/>
      <c r="D45" s="567"/>
      <c r="E45" s="567"/>
      <c r="F45" s="582"/>
      <c r="G45" s="569">
        <v>46084</v>
      </c>
      <c r="H45" s="569">
        <v>46128</v>
      </c>
      <c r="I45" s="569"/>
      <c r="J45" s="583" t="s">
        <v>1101</v>
      </c>
      <c r="K45" s="584"/>
      <c r="L45" s="572">
        <v>46119</v>
      </c>
      <c r="M45" s="573">
        <v>46128</v>
      </c>
      <c r="N45" s="585" t="s">
        <v>1066</v>
      </c>
      <c r="O45" s="577"/>
      <c r="P45" s="577"/>
      <c r="Q45" s="577"/>
      <c r="R45" s="577"/>
      <c r="S45" s="577"/>
      <c r="T45" s="577"/>
      <c r="U45" s="574" t="s">
        <v>1028</v>
      </c>
      <c r="V45" s="577"/>
      <c r="W45" s="586"/>
      <c r="X45" s="587"/>
      <c r="Y45" s="577"/>
      <c r="Z45" s="577"/>
      <c r="AA45" s="588" t="s">
        <v>1102</v>
      </c>
      <c r="AB45" s="589" t="s">
        <v>513</v>
      </c>
      <c r="AC45" s="589" t="s">
        <v>1071</v>
      </c>
      <c r="AD45" s="589" t="s">
        <v>1063</v>
      </c>
      <c r="AE45" s="579">
        <f>F45</f>
        <v>0</v>
      </c>
      <c r="AF45" s="580">
        <f>H45</f>
        <v>46128</v>
      </c>
      <c r="AG45" s="579">
        <f>A45</f>
        <v>0</v>
      </c>
      <c r="AH45" s="589" t="s">
        <v>1064</v>
      </c>
      <c r="AJ45" s="542"/>
    </row>
    <row r="46" spans="1:36" s="46" customFormat="1" x14ac:dyDescent="0.15">
      <c r="A46" s="566">
        <v>1571</v>
      </c>
      <c r="B46" s="566">
        <v>925</v>
      </c>
      <c r="C46" s="567"/>
      <c r="D46" s="566">
        <v>978</v>
      </c>
      <c r="E46" s="567"/>
      <c r="F46" s="568" t="s">
        <v>140</v>
      </c>
      <c r="G46" s="569">
        <v>46104</v>
      </c>
      <c r="H46" s="569">
        <v>46129</v>
      </c>
      <c r="I46" s="569"/>
      <c r="J46" s="570"/>
      <c r="K46" s="571">
        <v>46125</v>
      </c>
      <c r="L46" s="572">
        <v>46119</v>
      </c>
      <c r="M46" s="573">
        <v>46129</v>
      </c>
      <c r="N46" s="570"/>
      <c r="O46" s="574" t="s">
        <v>1028</v>
      </c>
      <c r="P46" s="574" t="s">
        <v>1028</v>
      </c>
      <c r="Q46" s="574" t="s">
        <v>1028</v>
      </c>
      <c r="R46" s="574" t="s">
        <v>1028</v>
      </c>
      <c r="S46" s="574" t="s">
        <v>1028</v>
      </c>
      <c r="T46" s="574" t="s">
        <v>1028</v>
      </c>
      <c r="U46" s="574" t="s">
        <v>1028</v>
      </c>
      <c r="V46" s="574" t="s">
        <v>1028</v>
      </c>
      <c r="W46" s="575" t="s">
        <v>1028</v>
      </c>
      <c r="X46" s="576" t="s">
        <v>1028</v>
      </c>
      <c r="Y46" s="577"/>
      <c r="Z46" s="578" t="s">
        <v>1028</v>
      </c>
      <c r="AA46" s="579" t="s">
        <v>1107</v>
      </c>
      <c r="AB46" s="579" t="s">
        <v>414</v>
      </c>
      <c r="AC46" s="579"/>
      <c r="AD46" s="579" t="s">
        <v>140</v>
      </c>
      <c r="AE46" s="579">
        <v>11</v>
      </c>
      <c r="AF46" s="580">
        <f>H46</f>
        <v>46129</v>
      </c>
      <c r="AG46" s="579">
        <f>A46</f>
        <v>1571</v>
      </c>
      <c r="AH46" s="579"/>
      <c r="AJ46" s="542"/>
    </row>
    <row r="47" spans="1:36" s="46" customFormat="1" x14ac:dyDescent="0.15">
      <c r="A47" s="566">
        <v>1572</v>
      </c>
      <c r="B47" s="566">
        <v>926</v>
      </c>
      <c r="C47" s="567"/>
      <c r="D47" s="566">
        <v>979</v>
      </c>
      <c r="E47" s="567"/>
      <c r="F47" s="568" t="s">
        <v>140</v>
      </c>
      <c r="G47" s="569">
        <v>46104</v>
      </c>
      <c r="H47" s="569">
        <v>46129</v>
      </c>
      <c r="I47" s="569"/>
      <c r="J47" s="581"/>
      <c r="K47" s="571">
        <v>46126</v>
      </c>
      <c r="L47" s="572">
        <v>46120</v>
      </c>
      <c r="M47" s="573">
        <v>46129</v>
      </c>
      <c r="N47" s="570"/>
      <c r="O47" s="574" t="s">
        <v>1028</v>
      </c>
      <c r="P47" s="574" t="s">
        <v>1028</v>
      </c>
      <c r="Q47" s="574" t="s">
        <v>1028</v>
      </c>
      <c r="R47" s="574" t="s">
        <v>1028</v>
      </c>
      <c r="S47" s="574" t="s">
        <v>1028</v>
      </c>
      <c r="T47" s="574" t="s">
        <v>1028</v>
      </c>
      <c r="U47" s="574" t="s">
        <v>1028</v>
      </c>
      <c r="V47" s="574" t="s">
        <v>1028</v>
      </c>
      <c r="W47" s="575" t="s">
        <v>1028</v>
      </c>
      <c r="X47" s="576" t="s">
        <v>1028</v>
      </c>
      <c r="Y47" s="577"/>
      <c r="Z47" s="578" t="s">
        <v>1028</v>
      </c>
      <c r="AA47" s="579" t="s">
        <v>1108</v>
      </c>
      <c r="AB47" s="579" t="s">
        <v>414</v>
      </c>
      <c r="AC47" s="579"/>
      <c r="AD47" s="579" t="s">
        <v>140</v>
      </c>
      <c r="AE47" s="579">
        <v>11</v>
      </c>
      <c r="AF47" s="580">
        <f>H47</f>
        <v>46129</v>
      </c>
      <c r="AG47" s="579">
        <f>A47</f>
        <v>1572</v>
      </c>
      <c r="AH47" s="579"/>
      <c r="AJ47" s="542"/>
    </row>
    <row r="48" spans="1:36" s="46" customFormat="1" x14ac:dyDescent="0.15">
      <c r="A48" s="566">
        <v>1573</v>
      </c>
      <c r="B48" s="566">
        <v>927</v>
      </c>
      <c r="C48" s="567"/>
      <c r="D48" s="566">
        <v>980</v>
      </c>
      <c r="E48" s="567"/>
      <c r="F48" s="568" t="s">
        <v>140</v>
      </c>
      <c r="G48" s="569">
        <v>46104</v>
      </c>
      <c r="H48" s="569">
        <v>46129</v>
      </c>
      <c r="I48" s="569"/>
      <c r="J48" s="581"/>
      <c r="K48" s="571">
        <v>46126</v>
      </c>
      <c r="L48" s="572">
        <v>46120</v>
      </c>
      <c r="M48" s="573">
        <v>46129</v>
      </c>
      <c r="N48" s="570"/>
      <c r="O48" s="574" t="s">
        <v>1028</v>
      </c>
      <c r="P48" s="574" t="s">
        <v>1028</v>
      </c>
      <c r="Q48" s="574" t="s">
        <v>1028</v>
      </c>
      <c r="R48" s="574" t="s">
        <v>1028</v>
      </c>
      <c r="S48" s="574" t="s">
        <v>1028</v>
      </c>
      <c r="T48" s="574" t="s">
        <v>1028</v>
      </c>
      <c r="U48" s="574" t="s">
        <v>1028</v>
      </c>
      <c r="V48" s="574" t="s">
        <v>1028</v>
      </c>
      <c r="W48" s="575" t="s">
        <v>1028</v>
      </c>
      <c r="X48" s="576" t="s">
        <v>1028</v>
      </c>
      <c r="Y48" s="577"/>
      <c r="Z48" s="578" t="s">
        <v>1028</v>
      </c>
      <c r="AA48" s="579" t="s">
        <v>1109</v>
      </c>
      <c r="AB48" s="579" t="s">
        <v>414</v>
      </c>
      <c r="AC48" s="579"/>
      <c r="AD48" s="579" t="s">
        <v>140</v>
      </c>
      <c r="AE48" s="579">
        <v>11</v>
      </c>
      <c r="AF48" s="580">
        <f>H48</f>
        <v>46129</v>
      </c>
      <c r="AG48" s="579">
        <f>A48</f>
        <v>1573</v>
      </c>
      <c r="AH48" s="579"/>
      <c r="AJ48" s="542"/>
    </row>
    <row r="49" spans="1:36" s="46" customFormat="1" x14ac:dyDescent="0.15">
      <c r="A49" s="566">
        <v>1574</v>
      </c>
      <c r="B49" s="566">
        <v>928</v>
      </c>
      <c r="C49" s="567"/>
      <c r="D49" s="566">
        <v>981</v>
      </c>
      <c r="E49" s="567"/>
      <c r="F49" s="568" t="s">
        <v>140</v>
      </c>
      <c r="G49" s="569">
        <v>46104</v>
      </c>
      <c r="H49" s="569">
        <v>46132</v>
      </c>
      <c r="I49" s="569"/>
      <c r="J49" s="581"/>
      <c r="K49" s="571">
        <v>46126</v>
      </c>
      <c r="L49" s="572">
        <v>46120</v>
      </c>
      <c r="M49" s="573">
        <v>46132</v>
      </c>
      <c r="N49" s="570"/>
      <c r="O49" s="574" t="s">
        <v>1028</v>
      </c>
      <c r="P49" s="574" t="s">
        <v>1028</v>
      </c>
      <c r="Q49" s="574" t="s">
        <v>1028</v>
      </c>
      <c r="R49" s="574" t="s">
        <v>1028</v>
      </c>
      <c r="S49" s="574" t="s">
        <v>1028</v>
      </c>
      <c r="T49" s="574" t="s">
        <v>1028</v>
      </c>
      <c r="U49" s="574" t="s">
        <v>1028</v>
      </c>
      <c r="V49" s="574" t="s">
        <v>1028</v>
      </c>
      <c r="W49" s="575" t="s">
        <v>1028</v>
      </c>
      <c r="X49" s="576" t="s">
        <v>1028</v>
      </c>
      <c r="Y49" s="577"/>
      <c r="Z49" s="578" t="s">
        <v>1028</v>
      </c>
      <c r="AA49" s="579" t="s">
        <v>1110</v>
      </c>
      <c r="AB49" s="579" t="s">
        <v>414</v>
      </c>
      <c r="AC49" s="579"/>
      <c r="AD49" s="579" t="s">
        <v>140</v>
      </c>
      <c r="AE49" s="579">
        <v>11</v>
      </c>
      <c r="AF49" s="580">
        <f>H49</f>
        <v>46132</v>
      </c>
      <c r="AG49" s="579">
        <f>A49</f>
        <v>1574</v>
      </c>
      <c r="AH49" s="579"/>
      <c r="AJ49" s="542"/>
    </row>
    <row r="50" spans="1:36" s="46" customFormat="1" x14ac:dyDescent="0.15">
      <c r="A50" s="566">
        <v>1575</v>
      </c>
      <c r="B50" s="566">
        <v>929</v>
      </c>
      <c r="C50" s="567"/>
      <c r="D50" s="566">
        <v>982</v>
      </c>
      <c r="E50" s="567"/>
      <c r="F50" s="568" t="s">
        <v>140</v>
      </c>
      <c r="G50" s="569">
        <v>46104</v>
      </c>
      <c r="H50" s="569">
        <v>46132</v>
      </c>
      <c r="I50" s="569"/>
      <c r="J50" s="581"/>
      <c r="K50" s="571">
        <v>46127</v>
      </c>
      <c r="L50" s="572">
        <v>46121</v>
      </c>
      <c r="M50" s="573">
        <v>46132</v>
      </c>
      <c r="N50" s="570"/>
      <c r="O50" s="574" t="s">
        <v>1028</v>
      </c>
      <c r="P50" s="574" t="s">
        <v>1028</v>
      </c>
      <c r="Q50" s="574" t="s">
        <v>1028</v>
      </c>
      <c r="R50" s="574" t="s">
        <v>1028</v>
      </c>
      <c r="S50" s="574" t="s">
        <v>1028</v>
      </c>
      <c r="T50" s="574" t="s">
        <v>1028</v>
      </c>
      <c r="U50" s="574" t="s">
        <v>1028</v>
      </c>
      <c r="V50" s="574" t="s">
        <v>1028</v>
      </c>
      <c r="W50" s="575" t="s">
        <v>1028</v>
      </c>
      <c r="X50" s="576" t="s">
        <v>1028</v>
      </c>
      <c r="Y50" s="577"/>
      <c r="Z50" s="578" t="s">
        <v>1028</v>
      </c>
      <c r="AA50" s="579" t="s">
        <v>1111</v>
      </c>
      <c r="AB50" s="579" t="s">
        <v>414</v>
      </c>
      <c r="AC50" s="579"/>
      <c r="AD50" s="579" t="s">
        <v>140</v>
      </c>
      <c r="AE50" s="579">
        <v>11</v>
      </c>
      <c r="AF50" s="580">
        <f>H50</f>
        <v>46132</v>
      </c>
      <c r="AG50" s="579">
        <f>A50</f>
        <v>1575</v>
      </c>
      <c r="AH50" s="579"/>
      <c r="AJ50" s="542"/>
    </row>
    <row r="51" spans="1:36" s="46" customFormat="1" x14ac:dyDescent="0.15">
      <c r="A51" s="566">
        <v>1576</v>
      </c>
      <c r="B51" s="566">
        <v>930</v>
      </c>
      <c r="C51" s="567"/>
      <c r="D51" s="566">
        <v>983</v>
      </c>
      <c r="E51" s="567"/>
      <c r="F51" s="568" t="s">
        <v>140</v>
      </c>
      <c r="G51" s="569">
        <v>46104</v>
      </c>
      <c r="H51" s="569">
        <v>46133</v>
      </c>
      <c r="I51" s="569"/>
      <c r="J51" s="581"/>
      <c r="K51" s="571">
        <v>46127</v>
      </c>
      <c r="L51" s="572">
        <v>46121</v>
      </c>
      <c r="M51" s="573">
        <v>46133</v>
      </c>
      <c r="N51" s="570"/>
      <c r="O51" s="574" t="s">
        <v>1028</v>
      </c>
      <c r="P51" s="574" t="s">
        <v>1028</v>
      </c>
      <c r="Q51" s="574" t="s">
        <v>1028</v>
      </c>
      <c r="R51" s="574" t="s">
        <v>1028</v>
      </c>
      <c r="S51" s="574" t="s">
        <v>1028</v>
      </c>
      <c r="T51" s="574" t="s">
        <v>1028</v>
      </c>
      <c r="U51" s="574" t="s">
        <v>1028</v>
      </c>
      <c r="V51" s="574" t="s">
        <v>1028</v>
      </c>
      <c r="W51" s="575" t="s">
        <v>1028</v>
      </c>
      <c r="X51" s="576" t="s">
        <v>1028</v>
      </c>
      <c r="Y51" s="577"/>
      <c r="Z51" s="578" t="s">
        <v>1028</v>
      </c>
      <c r="AA51" s="579" t="s">
        <v>1112</v>
      </c>
      <c r="AB51" s="579" t="s">
        <v>414</v>
      </c>
      <c r="AC51" s="579"/>
      <c r="AD51" s="579" t="s">
        <v>140</v>
      </c>
      <c r="AE51" s="579">
        <v>11</v>
      </c>
      <c r="AF51" s="580">
        <f>H51</f>
        <v>46133</v>
      </c>
      <c r="AG51" s="579">
        <f>A51</f>
        <v>1576</v>
      </c>
      <c r="AH51" s="579"/>
      <c r="AJ51" s="542"/>
    </row>
    <row r="52" spans="1:36" s="46" customFormat="1" x14ac:dyDescent="0.15">
      <c r="A52" s="566">
        <v>1577</v>
      </c>
      <c r="B52" s="566">
        <v>931</v>
      </c>
      <c r="C52" s="567"/>
      <c r="D52" s="566">
        <v>984</v>
      </c>
      <c r="E52" s="567"/>
      <c r="F52" s="568" t="s">
        <v>140</v>
      </c>
      <c r="G52" s="569">
        <v>46104</v>
      </c>
      <c r="H52" s="569">
        <v>46133</v>
      </c>
      <c r="I52" s="569"/>
      <c r="J52" s="581"/>
      <c r="K52" s="571">
        <v>46127</v>
      </c>
      <c r="L52" s="572">
        <v>46121</v>
      </c>
      <c r="M52" s="573">
        <v>46133</v>
      </c>
      <c r="N52" s="570"/>
      <c r="O52" s="574" t="s">
        <v>1028</v>
      </c>
      <c r="P52" s="574" t="s">
        <v>1028</v>
      </c>
      <c r="Q52" s="574" t="s">
        <v>1028</v>
      </c>
      <c r="R52" s="574" t="s">
        <v>1028</v>
      </c>
      <c r="S52" s="574" t="s">
        <v>1028</v>
      </c>
      <c r="T52" s="574" t="s">
        <v>1028</v>
      </c>
      <c r="U52" s="574" t="s">
        <v>1028</v>
      </c>
      <c r="V52" s="574" t="s">
        <v>1028</v>
      </c>
      <c r="W52" s="575" t="s">
        <v>1028</v>
      </c>
      <c r="X52" s="576" t="s">
        <v>1028</v>
      </c>
      <c r="Y52" s="577"/>
      <c r="Z52" s="578" t="s">
        <v>1028</v>
      </c>
      <c r="AA52" s="579" t="s">
        <v>1113</v>
      </c>
      <c r="AB52" s="579" t="s">
        <v>414</v>
      </c>
      <c r="AC52" s="579"/>
      <c r="AD52" s="579" t="s">
        <v>140</v>
      </c>
      <c r="AE52" s="579">
        <v>11</v>
      </c>
      <c r="AF52" s="580">
        <f>H52</f>
        <v>46133</v>
      </c>
      <c r="AG52" s="579">
        <f>A52</f>
        <v>1577</v>
      </c>
      <c r="AH52" s="579"/>
      <c r="AJ52" s="542"/>
    </row>
    <row r="53" spans="1:36" s="46" customFormat="1" x14ac:dyDescent="0.15">
      <c r="A53" s="566">
        <v>1578</v>
      </c>
      <c r="B53" s="566">
        <v>932</v>
      </c>
      <c r="C53" s="567"/>
      <c r="D53" s="566">
        <v>985</v>
      </c>
      <c r="E53" s="567"/>
      <c r="F53" s="568" t="s">
        <v>140</v>
      </c>
      <c r="G53" s="569">
        <v>46104</v>
      </c>
      <c r="H53" s="569">
        <v>46133</v>
      </c>
      <c r="I53" s="569"/>
      <c r="J53" s="581"/>
      <c r="K53" s="571">
        <v>46128</v>
      </c>
      <c r="L53" s="572">
        <v>46122</v>
      </c>
      <c r="M53" s="573">
        <v>46133</v>
      </c>
      <c r="N53" s="570"/>
      <c r="O53" s="574" t="s">
        <v>1028</v>
      </c>
      <c r="P53" s="574" t="s">
        <v>1028</v>
      </c>
      <c r="Q53" s="574" t="s">
        <v>1028</v>
      </c>
      <c r="R53" s="574" t="s">
        <v>1028</v>
      </c>
      <c r="S53" s="574" t="s">
        <v>1028</v>
      </c>
      <c r="T53" s="574" t="s">
        <v>1028</v>
      </c>
      <c r="U53" s="574" t="s">
        <v>1028</v>
      </c>
      <c r="V53" s="574" t="s">
        <v>1028</v>
      </c>
      <c r="W53" s="575" t="s">
        <v>1028</v>
      </c>
      <c r="X53" s="576" t="s">
        <v>1028</v>
      </c>
      <c r="Y53" s="577"/>
      <c r="Z53" s="578" t="s">
        <v>1028</v>
      </c>
      <c r="AA53" s="579" t="s">
        <v>1114</v>
      </c>
      <c r="AB53" s="579" t="s">
        <v>414</v>
      </c>
      <c r="AC53" s="579"/>
      <c r="AD53" s="579" t="s">
        <v>140</v>
      </c>
      <c r="AE53" s="579">
        <v>11</v>
      </c>
      <c r="AF53" s="580">
        <f>H53</f>
        <v>46133</v>
      </c>
      <c r="AG53" s="579">
        <f>A53</f>
        <v>1578</v>
      </c>
      <c r="AH53" s="579"/>
      <c r="AJ53" s="542"/>
    </row>
    <row r="54" spans="1:36" s="46" customFormat="1" x14ac:dyDescent="0.15">
      <c r="A54" s="566">
        <v>1579</v>
      </c>
      <c r="B54" s="566">
        <v>933</v>
      </c>
      <c r="C54" s="567"/>
      <c r="D54" s="566">
        <v>986</v>
      </c>
      <c r="E54" s="567"/>
      <c r="F54" s="568" t="s">
        <v>140</v>
      </c>
      <c r="G54" s="569">
        <v>46104</v>
      </c>
      <c r="H54" s="569">
        <v>46133</v>
      </c>
      <c r="I54" s="569"/>
      <c r="J54" s="581"/>
      <c r="K54" s="571">
        <v>46128</v>
      </c>
      <c r="L54" s="572">
        <v>46122</v>
      </c>
      <c r="M54" s="573">
        <v>46133</v>
      </c>
      <c r="N54" s="570"/>
      <c r="O54" s="574" t="s">
        <v>1028</v>
      </c>
      <c r="P54" s="574" t="s">
        <v>1028</v>
      </c>
      <c r="Q54" s="574" t="s">
        <v>1028</v>
      </c>
      <c r="R54" s="574" t="s">
        <v>1028</v>
      </c>
      <c r="S54" s="574" t="s">
        <v>1028</v>
      </c>
      <c r="T54" s="574" t="s">
        <v>1028</v>
      </c>
      <c r="U54" s="574" t="s">
        <v>1028</v>
      </c>
      <c r="V54" s="574" t="s">
        <v>1028</v>
      </c>
      <c r="W54" s="575" t="s">
        <v>1028</v>
      </c>
      <c r="X54" s="576" t="s">
        <v>1028</v>
      </c>
      <c r="Y54" s="577"/>
      <c r="Z54" s="578" t="s">
        <v>1028</v>
      </c>
      <c r="AA54" s="579" t="s">
        <v>1115</v>
      </c>
      <c r="AB54" s="579" t="s">
        <v>414</v>
      </c>
      <c r="AC54" s="579"/>
      <c r="AD54" s="579" t="s">
        <v>140</v>
      </c>
      <c r="AE54" s="579">
        <v>11</v>
      </c>
      <c r="AF54" s="580">
        <f>H54</f>
        <v>46133</v>
      </c>
      <c r="AG54" s="579">
        <f>A54</f>
        <v>1579</v>
      </c>
      <c r="AH54" s="579"/>
      <c r="AJ54" s="542"/>
    </row>
    <row r="55" spans="1:36" s="46" customFormat="1" x14ac:dyDescent="0.15">
      <c r="A55" s="566">
        <v>1580</v>
      </c>
      <c r="B55" s="566">
        <v>934</v>
      </c>
      <c r="C55" s="567"/>
      <c r="D55" s="566">
        <v>987</v>
      </c>
      <c r="E55" s="567"/>
      <c r="F55" s="568" t="s">
        <v>140</v>
      </c>
      <c r="G55" s="569">
        <v>46104</v>
      </c>
      <c r="H55" s="569">
        <v>46133</v>
      </c>
      <c r="I55" s="569"/>
      <c r="J55" s="581"/>
      <c r="K55" s="571">
        <v>46128</v>
      </c>
      <c r="L55" s="572">
        <v>46122</v>
      </c>
      <c r="M55" s="573">
        <v>46133</v>
      </c>
      <c r="N55" s="570"/>
      <c r="O55" s="574" t="s">
        <v>1028</v>
      </c>
      <c r="P55" s="574" t="s">
        <v>1028</v>
      </c>
      <c r="Q55" s="574" t="s">
        <v>1028</v>
      </c>
      <c r="R55" s="574" t="s">
        <v>1028</v>
      </c>
      <c r="S55" s="574" t="s">
        <v>1028</v>
      </c>
      <c r="T55" s="574" t="s">
        <v>1028</v>
      </c>
      <c r="U55" s="574" t="s">
        <v>1028</v>
      </c>
      <c r="V55" s="574" t="s">
        <v>1028</v>
      </c>
      <c r="W55" s="575" t="s">
        <v>1028</v>
      </c>
      <c r="X55" s="576" t="s">
        <v>1028</v>
      </c>
      <c r="Y55" s="577"/>
      <c r="Z55" s="578" t="s">
        <v>1028</v>
      </c>
      <c r="AA55" s="579" t="s">
        <v>1116</v>
      </c>
      <c r="AB55" s="579" t="s">
        <v>414</v>
      </c>
      <c r="AC55" s="579"/>
      <c r="AD55" s="579" t="s">
        <v>140</v>
      </c>
      <c r="AE55" s="579">
        <v>11</v>
      </c>
      <c r="AF55" s="580">
        <f>H55</f>
        <v>46133</v>
      </c>
      <c r="AG55" s="579">
        <f>A55</f>
        <v>1580</v>
      </c>
      <c r="AH55" s="579"/>
      <c r="AJ55" s="542"/>
    </row>
    <row r="56" spans="1:36" s="46" customFormat="1" x14ac:dyDescent="0.15">
      <c r="A56" s="566">
        <v>1581</v>
      </c>
      <c r="B56" s="566">
        <v>935</v>
      </c>
      <c r="C56" s="567"/>
      <c r="D56" s="566">
        <v>988</v>
      </c>
      <c r="E56" s="567"/>
      <c r="F56" s="568" t="s">
        <v>140</v>
      </c>
      <c r="G56" s="569">
        <v>46104</v>
      </c>
      <c r="H56" s="569">
        <v>46133</v>
      </c>
      <c r="I56" s="569"/>
      <c r="J56" s="581"/>
      <c r="K56" s="571">
        <v>46129</v>
      </c>
      <c r="L56" s="572">
        <v>46125</v>
      </c>
      <c r="M56" s="573">
        <v>46133</v>
      </c>
      <c r="N56" s="570"/>
      <c r="O56" s="574" t="s">
        <v>1028</v>
      </c>
      <c r="P56" s="574" t="s">
        <v>1028</v>
      </c>
      <c r="Q56" s="574" t="s">
        <v>1028</v>
      </c>
      <c r="R56" s="574" t="s">
        <v>1028</v>
      </c>
      <c r="S56" s="574" t="s">
        <v>1028</v>
      </c>
      <c r="T56" s="574" t="s">
        <v>1028</v>
      </c>
      <c r="U56" s="574" t="s">
        <v>1028</v>
      </c>
      <c r="V56" s="574" t="s">
        <v>1028</v>
      </c>
      <c r="W56" s="575" t="s">
        <v>1028</v>
      </c>
      <c r="X56" s="576" t="s">
        <v>1028</v>
      </c>
      <c r="Y56" s="577"/>
      <c r="Z56" s="578" t="s">
        <v>1028</v>
      </c>
      <c r="AA56" s="579" t="s">
        <v>1117</v>
      </c>
      <c r="AB56" s="579" t="s">
        <v>414</v>
      </c>
      <c r="AC56" s="579"/>
      <c r="AD56" s="579" t="s">
        <v>140</v>
      </c>
      <c r="AE56" s="579">
        <v>11</v>
      </c>
      <c r="AF56" s="580">
        <f>H56</f>
        <v>46133</v>
      </c>
      <c r="AG56" s="579">
        <f>A56</f>
        <v>1581</v>
      </c>
      <c r="AH56" s="579"/>
      <c r="AJ56" s="542"/>
    </row>
    <row r="57" spans="1:36" s="46" customFormat="1" x14ac:dyDescent="0.15">
      <c r="A57" s="566">
        <v>1582</v>
      </c>
      <c r="B57" s="566">
        <v>936</v>
      </c>
      <c r="C57" s="567"/>
      <c r="D57" s="566">
        <v>989</v>
      </c>
      <c r="E57" s="567"/>
      <c r="F57" s="568" t="s">
        <v>140</v>
      </c>
      <c r="G57" s="569">
        <v>46104</v>
      </c>
      <c r="H57" s="569">
        <v>46134</v>
      </c>
      <c r="I57" s="569"/>
      <c r="J57" s="581"/>
      <c r="K57" s="571">
        <v>46129</v>
      </c>
      <c r="L57" s="572">
        <v>46125</v>
      </c>
      <c r="M57" s="573">
        <v>46134</v>
      </c>
      <c r="N57" s="570"/>
      <c r="O57" s="574" t="s">
        <v>1028</v>
      </c>
      <c r="P57" s="574" t="s">
        <v>1028</v>
      </c>
      <c r="Q57" s="574" t="s">
        <v>1028</v>
      </c>
      <c r="R57" s="574" t="s">
        <v>1028</v>
      </c>
      <c r="S57" s="574" t="s">
        <v>1028</v>
      </c>
      <c r="T57" s="574" t="s">
        <v>1028</v>
      </c>
      <c r="U57" s="574" t="s">
        <v>1028</v>
      </c>
      <c r="V57" s="574" t="s">
        <v>1028</v>
      </c>
      <c r="W57" s="575" t="s">
        <v>1028</v>
      </c>
      <c r="X57" s="576" t="s">
        <v>1028</v>
      </c>
      <c r="Y57" s="577"/>
      <c r="Z57" s="578" t="s">
        <v>1028</v>
      </c>
      <c r="AA57" s="579" t="s">
        <v>1118</v>
      </c>
      <c r="AB57" s="579" t="s">
        <v>414</v>
      </c>
      <c r="AC57" s="579"/>
      <c r="AD57" s="579" t="s">
        <v>140</v>
      </c>
      <c r="AE57" s="579">
        <v>11</v>
      </c>
      <c r="AF57" s="580">
        <f>H57</f>
        <v>46134</v>
      </c>
      <c r="AG57" s="579">
        <f>A57</f>
        <v>1582</v>
      </c>
      <c r="AH57" s="579"/>
      <c r="AJ57" s="542"/>
    </row>
    <row r="58" spans="1:36" s="46" customFormat="1" x14ac:dyDescent="0.15">
      <c r="A58" s="566">
        <v>1583</v>
      </c>
      <c r="B58" s="566">
        <v>937</v>
      </c>
      <c r="C58" s="567"/>
      <c r="D58" s="566">
        <v>990</v>
      </c>
      <c r="E58" s="567"/>
      <c r="F58" s="568" t="s">
        <v>140</v>
      </c>
      <c r="G58" s="569">
        <v>46104</v>
      </c>
      <c r="H58" s="569">
        <v>46134</v>
      </c>
      <c r="I58" s="569"/>
      <c r="J58" s="581"/>
      <c r="K58" s="571">
        <v>46129</v>
      </c>
      <c r="L58" s="572">
        <v>46125</v>
      </c>
      <c r="M58" s="573">
        <v>46134</v>
      </c>
      <c r="N58" s="570"/>
      <c r="O58" s="574" t="s">
        <v>1028</v>
      </c>
      <c r="P58" s="574" t="s">
        <v>1028</v>
      </c>
      <c r="Q58" s="574" t="s">
        <v>1028</v>
      </c>
      <c r="R58" s="574" t="s">
        <v>1028</v>
      </c>
      <c r="S58" s="574" t="s">
        <v>1028</v>
      </c>
      <c r="T58" s="574" t="s">
        <v>1028</v>
      </c>
      <c r="U58" s="574" t="s">
        <v>1028</v>
      </c>
      <c r="V58" s="574" t="s">
        <v>1028</v>
      </c>
      <c r="W58" s="575" t="s">
        <v>1028</v>
      </c>
      <c r="X58" s="576" t="s">
        <v>1028</v>
      </c>
      <c r="Y58" s="577"/>
      <c r="Z58" s="578" t="s">
        <v>1028</v>
      </c>
      <c r="AA58" s="579" t="s">
        <v>1119</v>
      </c>
      <c r="AB58" s="579" t="s">
        <v>414</v>
      </c>
      <c r="AC58" s="579"/>
      <c r="AD58" s="579" t="s">
        <v>140</v>
      </c>
      <c r="AE58" s="579">
        <v>11</v>
      </c>
      <c r="AF58" s="580">
        <f>H58</f>
        <v>46134</v>
      </c>
      <c r="AG58" s="579">
        <f>A58</f>
        <v>1583</v>
      </c>
      <c r="AH58" s="579"/>
      <c r="AJ58" s="542"/>
    </row>
    <row r="59" spans="1:36" s="46" customFormat="1" x14ac:dyDescent="0.15">
      <c r="A59" s="566">
        <v>1584</v>
      </c>
      <c r="B59" s="566">
        <v>938</v>
      </c>
      <c r="C59" s="567"/>
      <c r="D59" s="566">
        <v>991</v>
      </c>
      <c r="E59" s="567"/>
      <c r="F59" s="568" t="s">
        <v>140</v>
      </c>
      <c r="G59" s="569">
        <v>46104</v>
      </c>
      <c r="H59" s="569">
        <v>46134</v>
      </c>
      <c r="I59" s="569"/>
      <c r="J59" s="581"/>
      <c r="K59" s="571">
        <v>46132</v>
      </c>
      <c r="L59" s="572">
        <v>46126</v>
      </c>
      <c r="M59" s="573">
        <v>46134</v>
      </c>
      <c r="N59" s="570"/>
      <c r="O59" s="574" t="s">
        <v>1028</v>
      </c>
      <c r="P59" s="574" t="s">
        <v>1028</v>
      </c>
      <c r="Q59" s="574" t="s">
        <v>1028</v>
      </c>
      <c r="R59" s="574" t="s">
        <v>1028</v>
      </c>
      <c r="S59" s="574" t="s">
        <v>1028</v>
      </c>
      <c r="T59" s="574" t="s">
        <v>1028</v>
      </c>
      <c r="U59" s="574" t="s">
        <v>1028</v>
      </c>
      <c r="V59" s="574" t="s">
        <v>1028</v>
      </c>
      <c r="W59" s="575" t="s">
        <v>1028</v>
      </c>
      <c r="X59" s="576" t="s">
        <v>1028</v>
      </c>
      <c r="Y59" s="577"/>
      <c r="Z59" s="578" t="s">
        <v>1028</v>
      </c>
      <c r="AA59" s="579" t="s">
        <v>1120</v>
      </c>
      <c r="AB59" s="579" t="s">
        <v>414</v>
      </c>
      <c r="AC59" s="579"/>
      <c r="AD59" s="579" t="s">
        <v>140</v>
      </c>
      <c r="AE59" s="579">
        <v>11</v>
      </c>
      <c r="AF59" s="580">
        <f>H59</f>
        <v>46134</v>
      </c>
      <c r="AG59" s="579">
        <f>A59</f>
        <v>1584</v>
      </c>
      <c r="AH59" s="579"/>
      <c r="AJ59" s="542"/>
    </row>
    <row r="60" spans="1:36" s="46" customFormat="1" x14ac:dyDescent="0.15">
      <c r="A60" s="566">
        <v>1585</v>
      </c>
      <c r="B60" s="566">
        <v>939</v>
      </c>
      <c r="C60" s="567"/>
      <c r="D60" s="566">
        <v>992</v>
      </c>
      <c r="E60" s="567"/>
      <c r="F60" s="568" t="s">
        <v>140</v>
      </c>
      <c r="G60" s="569">
        <v>46104</v>
      </c>
      <c r="H60" s="569">
        <v>46134</v>
      </c>
      <c r="I60" s="569"/>
      <c r="J60" s="581"/>
      <c r="K60" s="571">
        <v>46132</v>
      </c>
      <c r="L60" s="572">
        <v>46126</v>
      </c>
      <c r="M60" s="573">
        <v>46134</v>
      </c>
      <c r="N60" s="570"/>
      <c r="O60" s="574" t="s">
        <v>1028</v>
      </c>
      <c r="P60" s="574" t="s">
        <v>1028</v>
      </c>
      <c r="Q60" s="574" t="s">
        <v>1028</v>
      </c>
      <c r="R60" s="574" t="s">
        <v>1028</v>
      </c>
      <c r="S60" s="574" t="s">
        <v>1028</v>
      </c>
      <c r="T60" s="574" t="s">
        <v>1028</v>
      </c>
      <c r="U60" s="574" t="s">
        <v>1028</v>
      </c>
      <c r="V60" s="574" t="s">
        <v>1028</v>
      </c>
      <c r="W60" s="575" t="s">
        <v>1028</v>
      </c>
      <c r="X60" s="576" t="s">
        <v>1028</v>
      </c>
      <c r="Y60" s="577"/>
      <c r="Z60" s="578" t="s">
        <v>1028</v>
      </c>
      <c r="AA60" s="579" t="s">
        <v>1121</v>
      </c>
      <c r="AB60" s="579" t="s">
        <v>414</v>
      </c>
      <c r="AC60" s="579"/>
      <c r="AD60" s="579" t="s">
        <v>140</v>
      </c>
      <c r="AE60" s="579">
        <v>11</v>
      </c>
      <c r="AF60" s="580">
        <f>H60</f>
        <v>46134</v>
      </c>
      <c r="AG60" s="579">
        <f>A60</f>
        <v>1585</v>
      </c>
      <c r="AH60" s="579"/>
      <c r="AJ60" s="542"/>
    </row>
    <row r="61" spans="1:36" s="46" customFormat="1" x14ac:dyDescent="0.15">
      <c r="A61" s="566">
        <v>1586</v>
      </c>
      <c r="B61" s="566">
        <v>940</v>
      </c>
      <c r="C61" s="567"/>
      <c r="D61" s="566">
        <v>993</v>
      </c>
      <c r="E61" s="567"/>
      <c r="F61" s="568" t="s">
        <v>140</v>
      </c>
      <c r="G61" s="569">
        <v>46104</v>
      </c>
      <c r="H61" s="569">
        <v>46134</v>
      </c>
      <c r="I61" s="569"/>
      <c r="J61" s="581"/>
      <c r="K61" s="571">
        <v>46132</v>
      </c>
      <c r="L61" s="572">
        <v>46126</v>
      </c>
      <c r="M61" s="573">
        <v>46134</v>
      </c>
      <c r="N61" s="570"/>
      <c r="O61" s="574" t="s">
        <v>1028</v>
      </c>
      <c r="P61" s="574" t="s">
        <v>1028</v>
      </c>
      <c r="Q61" s="574" t="s">
        <v>1028</v>
      </c>
      <c r="R61" s="574" t="s">
        <v>1028</v>
      </c>
      <c r="S61" s="574" t="s">
        <v>1028</v>
      </c>
      <c r="T61" s="574" t="s">
        <v>1028</v>
      </c>
      <c r="U61" s="574" t="s">
        <v>1028</v>
      </c>
      <c r="V61" s="574" t="s">
        <v>1028</v>
      </c>
      <c r="W61" s="575" t="s">
        <v>1028</v>
      </c>
      <c r="X61" s="576" t="s">
        <v>1028</v>
      </c>
      <c r="Y61" s="577"/>
      <c r="Z61" s="578" t="s">
        <v>1028</v>
      </c>
      <c r="AA61" s="579" t="s">
        <v>1122</v>
      </c>
      <c r="AB61" s="579" t="s">
        <v>414</v>
      </c>
      <c r="AC61" s="579"/>
      <c r="AD61" s="579" t="s">
        <v>140</v>
      </c>
      <c r="AE61" s="579">
        <v>11</v>
      </c>
      <c r="AF61" s="580">
        <f>H61</f>
        <v>46134</v>
      </c>
      <c r="AG61" s="579">
        <f>A61</f>
        <v>1586</v>
      </c>
      <c r="AH61" s="579"/>
      <c r="AJ61" s="542"/>
    </row>
    <row r="62" spans="1:36" s="46" customFormat="1" x14ac:dyDescent="0.15">
      <c r="A62" s="566">
        <v>1587</v>
      </c>
      <c r="B62" s="566">
        <v>941</v>
      </c>
      <c r="C62" s="567"/>
      <c r="D62" s="566">
        <v>994</v>
      </c>
      <c r="E62" s="567"/>
      <c r="F62" s="568" t="s">
        <v>140</v>
      </c>
      <c r="G62" s="569">
        <v>46104</v>
      </c>
      <c r="H62" s="569">
        <v>46134</v>
      </c>
      <c r="I62" s="569"/>
      <c r="J62" s="581"/>
      <c r="K62" s="571">
        <v>46132</v>
      </c>
      <c r="L62" s="572">
        <v>46126</v>
      </c>
      <c r="M62" s="573">
        <v>46134</v>
      </c>
      <c r="N62" s="570"/>
      <c r="O62" s="574" t="s">
        <v>1028</v>
      </c>
      <c r="P62" s="574" t="s">
        <v>1028</v>
      </c>
      <c r="Q62" s="574" t="s">
        <v>1028</v>
      </c>
      <c r="R62" s="574" t="s">
        <v>1028</v>
      </c>
      <c r="S62" s="574" t="s">
        <v>1028</v>
      </c>
      <c r="T62" s="574" t="s">
        <v>1028</v>
      </c>
      <c r="U62" s="574" t="s">
        <v>1028</v>
      </c>
      <c r="V62" s="574" t="s">
        <v>1028</v>
      </c>
      <c r="W62" s="575" t="s">
        <v>1028</v>
      </c>
      <c r="X62" s="576" t="s">
        <v>1028</v>
      </c>
      <c r="Y62" s="577"/>
      <c r="Z62" s="578" t="s">
        <v>1028</v>
      </c>
      <c r="AA62" s="579" t="s">
        <v>1123</v>
      </c>
      <c r="AB62" s="579" t="s">
        <v>414</v>
      </c>
      <c r="AC62" s="579"/>
      <c r="AD62" s="579" t="s">
        <v>140</v>
      </c>
      <c r="AE62" s="579">
        <v>11</v>
      </c>
      <c r="AF62" s="580">
        <f>H62</f>
        <v>46134</v>
      </c>
      <c r="AG62" s="579">
        <f>A62</f>
        <v>1587</v>
      </c>
      <c r="AH62" s="579"/>
      <c r="AJ62" s="542"/>
    </row>
    <row r="63" spans="1:36" s="46" customFormat="1" x14ac:dyDescent="0.15">
      <c r="A63" s="567"/>
      <c r="B63" s="567"/>
      <c r="C63" s="567"/>
      <c r="D63" s="567"/>
      <c r="E63" s="567"/>
      <c r="F63" s="582"/>
      <c r="G63" s="569">
        <v>46084</v>
      </c>
      <c r="H63" s="569">
        <v>46134</v>
      </c>
      <c r="I63" s="569"/>
      <c r="J63" s="583" t="s">
        <v>1124</v>
      </c>
      <c r="K63" s="584"/>
      <c r="L63" s="572">
        <v>46126</v>
      </c>
      <c r="M63" s="573">
        <v>46134</v>
      </c>
      <c r="N63" s="585" t="s">
        <v>1066</v>
      </c>
      <c r="O63" s="577"/>
      <c r="P63" s="577"/>
      <c r="Q63" s="577"/>
      <c r="R63" s="577"/>
      <c r="S63" s="577"/>
      <c r="T63" s="577"/>
      <c r="U63" s="574" t="s">
        <v>1028</v>
      </c>
      <c r="V63" s="577"/>
      <c r="W63" s="586"/>
      <c r="X63" s="587"/>
      <c r="Y63" s="577"/>
      <c r="Z63" s="577"/>
      <c r="AA63" s="588" t="s">
        <v>1125</v>
      </c>
      <c r="AB63" s="589" t="s">
        <v>513</v>
      </c>
      <c r="AC63" s="589" t="s">
        <v>1062</v>
      </c>
      <c r="AD63" s="589" t="s">
        <v>1063</v>
      </c>
      <c r="AE63" s="579">
        <f>F63</f>
        <v>0</v>
      </c>
      <c r="AF63" s="580">
        <f>H63</f>
        <v>46134</v>
      </c>
      <c r="AG63" s="579">
        <f>A63</f>
        <v>0</v>
      </c>
      <c r="AH63" s="589" t="s">
        <v>1064</v>
      </c>
      <c r="AJ63" s="542"/>
    </row>
    <row r="64" spans="1:36" s="46" customFormat="1" x14ac:dyDescent="0.15">
      <c r="A64" s="567"/>
      <c r="B64" s="567"/>
      <c r="C64" s="567"/>
      <c r="D64" s="567"/>
      <c r="E64" s="567"/>
      <c r="F64" s="582"/>
      <c r="G64" s="569">
        <v>46084</v>
      </c>
      <c r="H64" s="569">
        <v>46134</v>
      </c>
      <c r="I64" s="569"/>
      <c r="J64" s="583" t="s">
        <v>1124</v>
      </c>
      <c r="K64" s="584"/>
      <c r="L64" s="572">
        <v>46126</v>
      </c>
      <c r="M64" s="573">
        <v>46134</v>
      </c>
      <c r="N64" s="585" t="s">
        <v>1066</v>
      </c>
      <c r="O64" s="577"/>
      <c r="P64" s="577"/>
      <c r="Q64" s="577"/>
      <c r="R64" s="577"/>
      <c r="S64" s="577"/>
      <c r="T64" s="577"/>
      <c r="U64" s="574" t="s">
        <v>1028</v>
      </c>
      <c r="V64" s="577"/>
      <c r="W64" s="586"/>
      <c r="X64" s="587"/>
      <c r="Y64" s="577"/>
      <c r="Z64" s="577"/>
      <c r="AA64" s="588" t="s">
        <v>1125</v>
      </c>
      <c r="AB64" s="589" t="s">
        <v>513</v>
      </c>
      <c r="AC64" s="589" t="s">
        <v>1068</v>
      </c>
      <c r="AD64" s="589" t="s">
        <v>1063</v>
      </c>
      <c r="AE64" s="579">
        <f>F64</f>
        <v>0</v>
      </c>
      <c r="AF64" s="580">
        <f>H64</f>
        <v>46134</v>
      </c>
      <c r="AG64" s="579">
        <f>A64</f>
        <v>0</v>
      </c>
      <c r="AH64" s="589" t="s">
        <v>1064</v>
      </c>
      <c r="AJ64" s="542"/>
    </row>
    <row r="65" spans="1:36" s="46" customFormat="1" x14ac:dyDescent="0.15">
      <c r="A65" s="567"/>
      <c r="B65" s="567"/>
      <c r="C65" s="567"/>
      <c r="D65" s="567"/>
      <c r="E65" s="567"/>
      <c r="F65" s="582"/>
      <c r="G65" s="569">
        <v>46084</v>
      </c>
      <c r="H65" s="569">
        <v>46134</v>
      </c>
      <c r="I65" s="569"/>
      <c r="J65" s="583" t="s">
        <v>1124</v>
      </c>
      <c r="K65" s="584"/>
      <c r="L65" s="572">
        <v>46126</v>
      </c>
      <c r="M65" s="573">
        <v>46134</v>
      </c>
      <c r="N65" s="585" t="s">
        <v>1066</v>
      </c>
      <c r="O65" s="577"/>
      <c r="P65" s="577"/>
      <c r="Q65" s="577"/>
      <c r="R65" s="577"/>
      <c r="S65" s="577"/>
      <c r="T65" s="577"/>
      <c r="U65" s="574" t="s">
        <v>1028</v>
      </c>
      <c r="V65" s="577"/>
      <c r="W65" s="586"/>
      <c r="X65" s="587"/>
      <c r="Y65" s="577"/>
      <c r="Z65" s="577"/>
      <c r="AA65" s="588" t="s">
        <v>1125</v>
      </c>
      <c r="AB65" s="589" t="s">
        <v>513</v>
      </c>
      <c r="AC65" s="589" t="s">
        <v>1069</v>
      </c>
      <c r="AD65" s="589" t="s">
        <v>1063</v>
      </c>
      <c r="AE65" s="579">
        <f>F65</f>
        <v>0</v>
      </c>
      <c r="AF65" s="580">
        <f>H65</f>
        <v>46134</v>
      </c>
      <c r="AG65" s="579">
        <f>A65</f>
        <v>0</v>
      </c>
      <c r="AH65" s="589" t="s">
        <v>1064</v>
      </c>
      <c r="AJ65" s="542"/>
    </row>
    <row r="66" spans="1:36" s="46" customFormat="1" x14ac:dyDescent="0.15">
      <c r="A66" s="567"/>
      <c r="B66" s="567"/>
      <c r="C66" s="567"/>
      <c r="D66" s="567"/>
      <c r="E66" s="567"/>
      <c r="F66" s="582"/>
      <c r="G66" s="569">
        <v>46084</v>
      </c>
      <c r="H66" s="569">
        <v>46134</v>
      </c>
      <c r="I66" s="569"/>
      <c r="J66" s="583" t="s">
        <v>1124</v>
      </c>
      <c r="K66" s="584"/>
      <c r="L66" s="572">
        <v>46126</v>
      </c>
      <c r="M66" s="573">
        <v>46134</v>
      </c>
      <c r="N66" s="585" t="s">
        <v>1066</v>
      </c>
      <c r="O66" s="577"/>
      <c r="P66" s="577"/>
      <c r="Q66" s="577"/>
      <c r="R66" s="577"/>
      <c r="S66" s="577"/>
      <c r="T66" s="577"/>
      <c r="U66" s="574" t="s">
        <v>1028</v>
      </c>
      <c r="V66" s="577"/>
      <c r="W66" s="586"/>
      <c r="X66" s="587"/>
      <c r="Y66" s="577"/>
      <c r="Z66" s="577"/>
      <c r="AA66" s="588" t="s">
        <v>1125</v>
      </c>
      <c r="AB66" s="589" t="s">
        <v>513</v>
      </c>
      <c r="AC66" s="589" t="s">
        <v>1070</v>
      </c>
      <c r="AD66" s="589" t="s">
        <v>1063</v>
      </c>
      <c r="AE66" s="579">
        <f>F66</f>
        <v>0</v>
      </c>
      <c r="AF66" s="580">
        <f>H66</f>
        <v>46134</v>
      </c>
      <c r="AG66" s="579">
        <f>A66</f>
        <v>0</v>
      </c>
      <c r="AH66" s="589" t="s">
        <v>1064</v>
      </c>
      <c r="AJ66" s="542"/>
    </row>
    <row r="67" spans="1:36" s="46" customFormat="1" x14ac:dyDescent="0.15">
      <c r="A67" s="567"/>
      <c r="B67" s="567"/>
      <c r="C67" s="567"/>
      <c r="D67" s="567"/>
      <c r="E67" s="567"/>
      <c r="F67" s="582"/>
      <c r="G67" s="569">
        <v>46084</v>
      </c>
      <c r="H67" s="569">
        <v>46134</v>
      </c>
      <c r="I67" s="569"/>
      <c r="J67" s="583" t="s">
        <v>1124</v>
      </c>
      <c r="K67" s="584"/>
      <c r="L67" s="572">
        <v>46126</v>
      </c>
      <c r="M67" s="573">
        <v>46134</v>
      </c>
      <c r="N67" s="585" t="s">
        <v>1066</v>
      </c>
      <c r="O67" s="577"/>
      <c r="P67" s="577"/>
      <c r="Q67" s="577"/>
      <c r="R67" s="577"/>
      <c r="S67" s="577"/>
      <c r="T67" s="577"/>
      <c r="U67" s="574" t="s">
        <v>1028</v>
      </c>
      <c r="V67" s="577"/>
      <c r="W67" s="586"/>
      <c r="X67" s="587"/>
      <c r="Y67" s="577"/>
      <c r="Z67" s="577"/>
      <c r="AA67" s="588" t="s">
        <v>1125</v>
      </c>
      <c r="AB67" s="589" t="s">
        <v>513</v>
      </c>
      <c r="AC67" s="589" t="s">
        <v>1071</v>
      </c>
      <c r="AD67" s="589" t="s">
        <v>1063</v>
      </c>
      <c r="AE67" s="579">
        <f>F67</f>
        <v>0</v>
      </c>
      <c r="AF67" s="580">
        <f>H67</f>
        <v>46134</v>
      </c>
      <c r="AG67" s="579">
        <f>A67</f>
        <v>0</v>
      </c>
      <c r="AH67" s="589" t="s">
        <v>1105</v>
      </c>
      <c r="AJ67" s="542"/>
    </row>
    <row r="68" spans="1:36" s="46" customFormat="1" x14ac:dyDescent="0.15">
      <c r="A68" s="566">
        <v>1588</v>
      </c>
      <c r="B68" s="566">
        <v>942</v>
      </c>
      <c r="C68" s="567"/>
      <c r="D68" s="566">
        <v>995</v>
      </c>
      <c r="E68" s="567"/>
      <c r="F68" s="568" t="s">
        <v>140</v>
      </c>
      <c r="G68" s="569">
        <v>46104</v>
      </c>
      <c r="H68" s="569">
        <v>46135</v>
      </c>
      <c r="I68" s="569"/>
      <c r="J68" s="570"/>
      <c r="K68" s="571">
        <v>46133</v>
      </c>
      <c r="L68" s="572">
        <v>46127</v>
      </c>
      <c r="M68" s="573">
        <v>46135</v>
      </c>
      <c r="N68" s="570"/>
      <c r="O68" s="574" t="s">
        <v>1028</v>
      </c>
      <c r="P68" s="574" t="s">
        <v>1028</v>
      </c>
      <c r="Q68" s="574" t="s">
        <v>1028</v>
      </c>
      <c r="R68" s="574" t="s">
        <v>1028</v>
      </c>
      <c r="S68" s="574" t="s">
        <v>1028</v>
      </c>
      <c r="T68" s="574" t="s">
        <v>1028</v>
      </c>
      <c r="U68" s="574" t="s">
        <v>1028</v>
      </c>
      <c r="V68" s="574" t="s">
        <v>1028</v>
      </c>
      <c r="W68" s="575" t="s">
        <v>1028</v>
      </c>
      <c r="X68" s="576" t="s">
        <v>1028</v>
      </c>
      <c r="Y68" s="577"/>
      <c r="Z68" s="578" t="s">
        <v>1028</v>
      </c>
      <c r="AA68" s="579" t="s">
        <v>1126</v>
      </c>
      <c r="AB68" s="579" t="s">
        <v>414</v>
      </c>
      <c r="AC68" s="579"/>
      <c r="AD68" s="579" t="s">
        <v>140</v>
      </c>
      <c r="AE68" s="579">
        <v>11</v>
      </c>
      <c r="AF68" s="580">
        <f>H68</f>
        <v>46135</v>
      </c>
      <c r="AG68" s="579">
        <f>A68</f>
        <v>1588</v>
      </c>
      <c r="AH68" s="579"/>
      <c r="AJ68" s="542"/>
    </row>
    <row r="69" spans="1:36" s="46" customFormat="1" x14ac:dyDescent="0.15">
      <c r="A69" s="566">
        <v>1589</v>
      </c>
      <c r="B69" s="566">
        <v>943</v>
      </c>
      <c r="C69" s="567"/>
      <c r="D69" s="566">
        <v>996</v>
      </c>
      <c r="E69" s="567"/>
      <c r="F69" s="568" t="s">
        <v>140</v>
      </c>
      <c r="G69" s="569">
        <v>46104</v>
      </c>
      <c r="H69" s="569">
        <v>46135</v>
      </c>
      <c r="I69" s="569"/>
      <c r="J69" s="581"/>
      <c r="K69" s="571">
        <v>46133</v>
      </c>
      <c r="L69" s="572">
        <v>46127</v>
      </c>
      <c r="M69" s="573">
        <v>46135</v>
      </c>
      <c r="N69" s="570"/>
      <c r="O69" s="574" t="s">
        <v>1028</v>
      </c>
      <c r="P69" s="574" t="s">
        <v>1028</v>
      </c>
      <c r="Q69" s="574" t="s">
        <v>1028</v>
      </c>
      <c r="R69" s="574" t="s">
        <v>1028</v>
      </c>
      <c r="S69" s="574" t="s">
        <v>1028</v>
      </c>
      <c r="T69" s="574" t="s">
        <v>1028</v>
      </c>
      <c r="U69" s="574" t="s">
        <v>1028</v>
      </c>
      <c r="V69" s="574" t="s">
        <v>1028</v>
      </c>
      <c r="W69" s="575" t="s">
        <v>1028</v>
      </c>
      <c r="X69" s="576" t="s">
        <v>1028</v>
      </c>
      <c r="Y69" s="577"/>
      <c r="Z69" s="578" t="s">
        <v>1028</v>
      </c>
      <c r="AA69" s="579" t="s">
        <v>1127</v>
      </c>
      <c r="AB69" s="579" t="s">
        <v>414</v>
      </c>
      <c r="AC69" s="579"/>
      <c r="AD69" s="579" t="s">
        <v>140</v>
      </c>
      <c r="AE69" s="579">
        <v>11</v>
      </c>
      <c r="AF69" s="580">
        <f>H69</f>
        <v>46135</v>
      </c>
      <c r="AG69" s="579">
        <f>A69</f>
        <v>1589</v>
      </c>
      <c r="AH69" s="579"/>
      <c r="AJ69" s="542"/>
    </row>
    <row r="70" spans="1:36" s="46" customFormat="1" x14ac:dyDescent="0.15">
      <c r="A70" s="566">
        <v>1590</v>
      </c>
      <c r="B70" s="566">
        <v>944</v>
      </c>
      <c r="C70" s="567"/>
      <c r="D70" s="566">
        <v>997</v>
      </c>
      <c r="E70" s="567"/>
      <c r="F70" s="568" t="s">
        <v>140</v>
      </c>
      <c r="G70" s="569">
        <v>46104</v>
      </c>
      <c r="H70" s="569">
        <v>46135</v>
      </c>
      <c r="I70" s="569"/>
      <c r="J70" s="581"/>
      <c r="K70" s="571">
        <v>46133</v>
      </c>
      <c r="L70" s="572">
        <v>46127</v>
      </c>
      <c r="M70" s="573">
        <v>46135</v>
      </c>
      <c r="N70" s="570"/>
      <c r="O70" s="574" t="s">
        <v>1028</v>
      </c>
      <c r="P70" s="574" t="s">
        <v>1028</v>
      </c>
      <c r="Q70" s="574" t="s">
        <v>1028</v>
      </c>
      <c r="R70" s="574" t="s">
        <v>1028</v>
      </c>
      <c r="S70" s="574" t="s">
        <v>1028</v>
      </c>
      <c r="T70" s="574" t="s">
        <v>1028</v>
      </c>
      <c r="U70" s="574" t="s">
        <v>1028</v>
      </c>
      <c r="V70" s="574" t="s">
        <v>1028</v>
      </c>
      <c r="W70" s="575" t="s">
        <v>1028</v>
      </c>
      <c r="X70" s="576" t="s">
        <v>1028</v>
      </c>
      <c r="Y70" s="577"/>
      <c r="Z70" s="578" t="s">
        <v>1028</v>
      </c>
      <c r="AA70" s="579" t="s">
        <v>1128</v>
      </c>
      <c r="AB70" s="579" t="s">
        <v>414</v>
      </c>
      <c r="AC70" s="579"/>
      <c r="AD70" s="579" t="s">
        <v>140</v>
      </c>
      <c r="AE70" s="579">
        <v>11</v>
      </c>
      <c r="AF70" s="580">
        <f>H70</f>
        <v>46135</v>
      </c>
      <c r="AG70" s="579">
        <f>A70</f>
        <v>1590</v>
      </c>
      <c r="AH70" s="579"/>
      <c r="AJ70" s="542"/>
    </row>
    <row r="71" spans="1:36" s="46" customFormat="1" x14ac:dyDescent="0.15">
      <c r="A71" s="566">
        <v>1591</v>
      </c>
      <c r="B71" s="566">
        <v>945</v>
      </c>
      <c r="C71" s="567"/>
      <c r="D71" s="566">
        <v>998</v>
      </c>
      <c r="E71" s="567"/>
      <c r="F71" s="568" t="s">
        <v>140</v>
      </c>
      <c r="G71" s="569">
        <v>46104</v>
      </c>
      <c r="H71" s="569">
        <v>46135</v>
      </c>
      <c r="I71" s="569"/>
      <c r="J71" s="581"/>
      <c r="K71" s="571">
        <v>46133</v>
      </c>
      <c r="L71" s="572">
        <v>46127</v>
      </c>
      <c r="M71" s="573">
        <v>46135</v>
      </c>
      <c r="N71" s="570"/>
      <c r="O71" s="574" t="s">
        <v>1028</v>
      </c>
      <c r="P71" s="574" t="s">
        <v>1028</v>
      </c>
      <c r="Q71" s="574" t="s">
        <v>1028</v>
      </c>
      <c r="R71" s="574" t="s">
        <v>1028</v>
      </c>
      <c r="S71" s="574" t="s">
        <v>1028</v>
      </c>
      <c r="T71" s="574" t="s">
        <v>1028</v>
      </c>
      <c r="U71" s="574" t="s">
        <v>1028</v>
      </c>
      <c r="V71" s="574" t="s">
        <v>1028</v>
      </c>
      <c r="W71" s="575" t="s">
        <v>1028</v>
      </c>
      <c r="X71" s="576" t="s">
        <v>1028</v>
      </c>
      <c r="Y71" s="577"/>
      <c r="Z71" s="578" t="s">
        <v>1028</v>
      </c>
      <c r="AA71" s="579" t="s">
        <v>1129</v>
      </c>
      <c r="AB71" s="579" t="s">
        <v>414</v>
      </c>
      <c r="AC71" s="579"/>
      <c r="AD71" s="579" t="s">
        <v>140</v>
      </c>
      <c r="AE71" s="579">
        <v>11</v>
      </c>
      <c r="AF71" s="580">
        <f>H71</f>
        <v>46135</v>
      </c>
      <c r="AG71" s="579">
        <f>A71</f>
        <v>1591</v>
      </c>
      <c r="AH71" s="579"/>
      <c r="AJ71" s="542"/>
    </row>
    <row r="72" spans="1:36" s="46" customFormat="1" x14ac:dyDescent="0.15">
      <c r="A72" s="566">
        <v>1592</v>
      </c>
      <c r="B72" s="566">
        <v>946</v>
      </c>
      <c r="C72" s="567"/>
      <c r="D72" s="566">
        <v>999</v>
      </c>
      <c r="E72" s="567"/>
      <c r="F72" s="568" t="s">
        <v>140</v>
      </c>
      <c r="G72" s="569">
        <v>46104</v>
      </c>
      <c r="H72" s="569">
        <v>46135</v>
      </c>
      <c r="I72" s="569"/>
      <c r="J72" s="581"/>
      <c r="K72" s="571">
        <v>46134</v>
      </c>
      <c r="L72" s="572">
        <v>46128</v>
      </c>
      <c r="M72" s="573">
        <v>46135</v>
      </c>
      <c r="N72" s="570"/>
      <c r="O72" s="574" t="s">
        <v>1028</v>
      </c>
      <c r="P72" s="574" t="s">
        <v>1028</v>
      </c>
      <c r="Q72" s="574" t="s">
        <v>1028</v>
      </c>
      <c r="R72" s="574" t="s">
        <v>1028</v>
      </c>
      <c r="S72" s="574" t="s">
        <v>1028</v>
      </c>
      <c r="T72" s="574" t="s">
        <v>1028</v>
      </c>
      <c r="U72" s="574" t="s">
        <v>1028</v>
      </c>
      <c r="V72" s="574" t="s">
        <v>1028</v>
      </c>
      <c r="W72" s="575" t="s">
        <v>1028</v>
      </c>
      <c r="X72" s="576" t="s">
        <v>1028</v>
      </c>
      <c r="Y72" s="577"/>
      <c r="Z72" s="578" t="s">
        <v>1028</v>
      </c>
      <c r="AA72" s="579" t="s">
        <v>1130</v>
      </c>
      <c r="AB72" s="579" t="s">
        <v>414</v>
      </c>
      <c r="AC72" s="579"/>
      <c r="AD72" s="579" t="s">
        <v>140</v>
      </c>
      <c r="AE72" s="579">
        <v>11</v>
      </c>
      <c r="AF72" s="580">
        <f>H72</f>
        <v>46135</v>
      </c>
      <c r="AG72" s="579">
        <f>A72</f>
        <v>1592</v>
      </c>
      <c r="AH72" s="579"/>
      <c r="AJ72" s="542"/>
    </row>
    <row r="73" spans="1:36" s="46" customFormat="1" x14ac:dyDescent="0.15">
      <c r="A73" s="566">
        <v>1593</v>
      </c>
      <c r="B73" s="566">
        <v>947</v>
      </c>
      <c r="C73" s="567"/>
      <c r="D73" s="566">
        <v>1000</v>
      </c>
      <c r="E73" s="567"/>
      <c r="F73" s="568" t="s">
        <v>140</v>
      </c>
      <c r="G73" s="569">
        <v>46104</v>
      </c>
      <c r="H73" s="569">
        <v>46135</v>
      </c>
      <c r="I73" s="569"/>
      <c r="J73" s="581"/>
      <c r="K73" s="571">
        <v>46134</v>
      </c>
      <c r="L73" s="572">
        <v>46128</v>
      </c>
      <c r="M73" s="573">
        <v>46135</v>
      </c>
      <c r="N73" s="570"/>
      <c r="O73" s="574" t="s">
        <v>1028</v>
      </c>
      <c r="P73" s="574" t="s">
        <v>1028</v>
      </c>
      <c r="Q73" s="574" t="s">
        <v>1028</v>
      </c>
      <c r="R73" s="574" t="s">
        <v>1028</v>
      </c>
      <c r="S73" s="574" t="s">
        <v>1028</v>
      </c>
      <c r="T73" s="574" t="s">
        <v>1028</v>
      </c>
      <c r="U73" s="574" t="s">
        <v>1028</v>
      </c>
      <c r="V73" s="574" t="s">
        <v>1028</v>
      </c>
      <c r="W73" s="575" t="s">
        <v>1028</v>
      </c>
      <c r="X73" s="576" t="s">
        <v>1028</v>
      </c>
      <c r="Y73" s="577"/>
      <c r="Z73" s="578" t="s">
        <v>1028</v>
      </c>
      <c r="AA73" s="579" t="s">
        <v>1131</v>
      </c>
      <c r="AB73" s="579" t="s">
        <v>414</v>
      </c>
      <c r="AC73" s="579"/>
      <c r="AD73" s="579" t="s">
        <v>140</v>
      </c>
      <c r="AE73" s="579">
        <v>11</v>
      </c>
      <c r="AF73" s="580">
        <f>H73</f>
        <v>46135</v>
      </c>
      <c r="AG73" s="579">
        <f>A73</f>
        <v>1593</v>
      </c>
      <c r="AH73" s="579"/>
      <c r="AJ73" s="542"/>
    </row>
    <row r="74" spans="1:36" s="46" customFormat="1" x14ac:dyDescent="0.15">
      <c r="A74" s="567"/>
      <c r="B74" s="567"/>
      <c r="C74" s="567"/>
      <c r="D74" s="567"/>
      <c r="E74" s="567"/>
      <c r="F74" s="582"/>
      <c r="G74" s="569">
        <v>46084</v>
      </c>
      <c r="H74" s="569">
        <v>46135</v>
      </c>
      <c r="I74" s="569"/>
      <c r="J74" s="583" t="s">
        <v>1132</v>
      </c>
      <c r="K74" s="584"/>
      <c r="L74" s="572">
        <v>46128</v>
      </c>
      <c r="M74" s="573">
        <v>46135</v>
      </c>
      <c r="N74" s="585" t="s">
        <v>1066</v>
      </c>
      <c r="O74" s="577"/>
      <c r="P74" s="577"/>
      <c r="Q74" s="577"/>
      <c r="R74" s="577"/>
      <c r="S74" s="577"/>
      <c r="T74" s="577"/>
      <c r="U74" s="574" t="s">
        <v>1028</v>
      </c>
      <c r="V74" s="577"/>
      <c r="W74" s="586"/>
      <c r="X74" s="587"/>
      <c r="Y74" s="577"/>
      <c r="Z74" s="577"/>
      <c r="AA74" s="588" t="s">
        <v>1133</v>
      </c>
      <c r="AB74" s="589" t="s">
        <v>513</v>
      </c>
      <c r="AC74" s="589" t="s">
        <v>1062</v>
      </c>
      <c r="AD74" s="589" t="s">
        <v>1063</v>
      </c>
      <c r="AE74" s="579">
        <f>F74</f>
        <v>0</v>
      </c>
      <c r="AF74" s="580">
        <f>H74</f>
        <v>46135</v>
      </c>
      <c r="AG74" s="579">
        <f>A74</f>
        <v>0</v>
      </c>
      <c r="AH74" s="589" t="s">
        <v>1064</v>
      </c>
      <c r="AJ74" s="542"/>
    </row>
    <row r="75" spans="1:36" s="46" customFormat="1" x14ac:dyDescent="0.15">
      <c r="A75" s="567"/>
      <c r="B75" s="567"/>
      <c r="C75" s="567"/>
      <c r="D75" s="567"/>
      <c r="E75" s="567"/>
      <c r="F75" s="582"/>
      <c r="G75" s="569">
        <v>46084</v>
      </c>
      <c r="H75" s="569">
        <v>46135</v>
      </c>
      <c r="I75" s="569"/>
      <c r="J75" s="583" t="s">
        <v>1132</v>
      </c>
      <c r="K75" s="584"/>
      <c r="L75" s="572">
        <v>46128</v>
      </c>
      <c r="M75" s="573">
        <v>46135</v>
      </c>
      <c r="N75" s="585" t="s">
        <v>1066</v>
      </c>
      <c r="O75" s="577"/>
      <c r="P75" s="577"/>
      <c r="Q75" s="577"/>
      <c r="R75" s="577"/>
      <c r="S75" s="577"/>
      <c r="T75" s="577"/>
      <c r="U75" s="574" t="s">
        <v>1028</v>
      </c>
      <c r="V75" s="577"/>
      <c r="W75" s="586"/>
      <c r="X75" s="587"/>
      <c r="Y75" s="577"/>
      <c r="Z75" s="577"/>
      <c r="AA75" s="588" t="s">
        <v>1133</v>
      </c>
      <c r="AB75" s="589" t="s">
        <v>513</v>
      </c>
      <c r="AC75" s="589" t="s">
        <v>1068</v>
      </c>
      <c r="AD75" s="589" t="s">
        <v>1063</v>
      </c>
      <c r="AE75" s="579">
        <f>F75</f>
        <v>0</v>
      </c>
      <c r="AF75" s="580">
        <f>H75</f>
        <v>46135</v>
      </c>
      <c r="AG75" s="579">
        <f>A75</f>
        <v>0</v>
      </c>
      <c r="AH75" s="589" t="s">
        <v>1064</v>
      </c>
      <c r="AJ75" s="542"/>
    </row>
    <row r="76" spans="1:36" s="46" customFormat="1" x14ac:dyDescent="0.15">
      <c r="A76" s="567"/>
      <c r="B76" s="567"/>
      <c r="C76" s="567"/>
      <c r="D76" s="567"/>
      <c r="E76" s="567"/>
      <c r="F76" s="582"/>
      <c r="G76" s="569">
        <v>46084</v>
      </c>
      <c r="H76" s="569">
        <v>46135</v>
      </c>
      <c r="I76" s="569"/>
      <c r="J76" s="583" t="s">
        <v>1132</v>
      </c>
      <c r="K76" s="584"/>
      <c r="L76" s="572">
        <v>46128</v>
      </c>
      <c r="M76" s="573">
        <v>46135</v>
      </c>
      <c r="N76" s="585" t="s">
        <v>1066</v>
      </c>
      <c r="O76" s="577"/>
      <c r="P76" s="577"/>
      <c r="Q76" s="577"/>
      <c r="R76" s="577"/>
      <c r="S76" s="577"/>
      <c r="T76" s="577"/>
      <c r="U76" s="574" t="s">
        <v>1028</v>
      </c>
      <c r="V76" s="577"/>
      <c r="W76" s="586"/>
      <c r="X76" s="587"/>
      <c r="Y76" s="577"/>
      <c r="Z76" s="577"/>
      <c r="AA76" s="588" t="s">
        <v>1133</v>
      </c>
      <c r="AB76" s="589" t="s">
        <v>513</v>
      </c>
      <c r="AC76" s="589" t="s">
        <v>1069</v>
      </c>
      <c r="AD76" s="589" t="s">
        <v>1063</v>
      </c>
      <c r="AE76" s="579">
        <f>F76</f>
        <v>0</v>
      </c>
      <c r="AF76" s="580">
        <f>H76</f>
        <v>46135</v>
      </c>
      <c r="AG76" s="579">
        <f>A76</f>
        <v>0</v>
      </c>
      <c r="AH76" s="589" t="s">
        <v>1064</v>
      </c>
      <c r="AJ76" s="542"/>
    </row>
    <row r="77" spans="1:36" s="46" customFormat="1" x14ac:dyDescent="0.15">
      <c r="A77" s="567"/>
      <c r="B77" s="567"/>
      <c r="C77" s="567"/>
      <c r="D77" s="567"/>
      <c r="E77" s="567"/>
      <c r="F77" s="582"/>
      <c r="G77" s="569">
        <v>46084</v>
      </c>
      <c r="H77" s="569">
        <v>46135</v>
      </c>
      <c r="I77" s="569"/>
      <c r="J77" s="583" t="s">
        <v>1132</v>
      </c>
      <c r="K77" s="584"/>
      <c r="L77" s="572">
        <v>46128</v>
      </c>
      <c r="M77" s="573">
        <v>46135</v>
      </c>
      <c r="N77" s="585" t="s">
        <v>1066</v>
      </c>
      <c r="O77" s="577"/>
      <c r="P77" s="577"/>
      <c r="Q77" s="577"/>
      <c r="R77" s="577"/>
      <c r="S77" s="577"/>
      <c r="T77" s="577"/>
      <c r="U77" s="574" t="s">
        <v>1028</v>
      </c>
      <c r="V77" s="577"/>
      <c r="W77" s="586"/>
      <c r="X77" s="587"/>
      <c r="Y77" s="577"/>
      <c r="Z77" s="577"/>
      <c r="AA77" s="588" t="s">
        <v>1133</v>
      </c>
      <c r="AB77" s="589" t="s">
        <v>513</v>
      </c>
      <c r="AC77" s="589" t="s">
        <v>1070</v>
      </c>
      <c r="AD77" s="589" t="s">
        <v>1063</v>
      </c>
      <c r="AE77" s="579">
        <f>F77</f>
        <v>0</v>
      </c>
      <c r="AF77" s="580">
        <f>H77</f>
        <v>46135</v>
      </c>
      <c r="AG77" s="579">
        <f>A77</f>
        <v>0</v>
      </c>
      <c r="AH77" s="589" t="s">
        <v>1064</v>
      </c>
      <c r="AJ77" s="542"/>
    </row>
    <row r="78" spans="1:36" s="46" customFormat="1" x14ac:dyDescent="0.15">
      <c r="A78" s="567"/>
      <c r="B78" s="567"/>
      <c r="C78" s="567"/>
      <c r="D78" s="567"/>
      <c r="E78" s="567"/>
      <c r="F78" s="582"/>
      <c r="G78" s="569">
        <v>46084</v>
      </c>
      <c r="H78" s="569">
        <v>46135</v>
      </c>
      <c r="I78" s="569"/>
      <c r="J78" s="583" t="s">
        <v>1132</v>
      </c>
      <c r="K78" s="584"/>
      <c r="L78" s="572">
        <v>46128</v>
      </c>
      <c r="M78" s="573">
        <v>46135</v>
      </c>
      <c r="N78" s="585" t="s">
        <v>1066</v>
      </c>
      <c r="O78" s="577"/>
      <c r="P78" s="577"/>
      <c r="Q78" s="577"/>
      <c r="R78" s="577"/>
      <c r="S78" s="577"/>
      <c r="T78" s="577"/>
      <c r="U78" s="574" t="s">
        <v>1028</v>
      </c>
      <c r="V78" s="577"/>
      <c r="W78" s="586"/>
      <c r="X78" s="587"/>
      <c r="Y78" s="577"/>
      <c r="Z78" s="577"/>
      <c r="AA78" s="588" t="s">
        <v>1133</v>
      </c>
      <c r="AB78" s="589" t="s">
        <v>513</v>
      </c>
      <c r="AC78" s="589" t="s">
        <v>1071</v>
      </c>
      <c r="AD78" s="589" t="s">
        <v>1063</v>
      </c>
      <c r="AE78" s="579">
        <f>F78</f>
        <v>0</v>
      </c>
      <c r="AF78" s="580">
        <f>H78</f>
        <v>46135</v>
      </c>
      <c r="AG78" s="579">
        <f>A78</f>
        <v>0</v>
      </c>
      <c r="AH78" s="589" t="s">
        <v>1064</v>
      </c>
      <c r="AJ78" s="542"/>
    </row>
    <row r="79" spans="1:36" s="46" customFormat="1" x14ac:dyDescent="0.15">
      <c r="A79" s="566">
        <v>1594</v>
      </c>
      <c r="B79" s="566">
        <v>948</v>
      </c>
      <c r="C79" s="567"/>
      <c r="D79" s="566">
        <v>1001</v>
      </c>
      <c r="E79" s="567"/>
      <c r="F79" s="568" t="s">
        <v>140</v>
      </c>
      <c r="G79" s="569">
        <v>46104</v>
      </c>
      <c r="H79" s="569">
        <v>46136</v>
      </c>
      <c r="I79" s="569"/>
      <c r="J79" s="570"/>
      <c r="K79" s="571">
        <v>46134</v>
      </c>
      <c r="L79" s="572">
        <v>46128</v>
      </c>
      <c r="M79" s="573">
        <v>46136</v>
      </c>
      <c r="N79" s="570"/>
      <c r="O79" s="574" t="s">
        <v>1028</v>
      </c>
      <c r="P79" s="574" t="s">
        <v>1028</v>
      </c>
      <c r="Q79" s="574" t="s">
        <v>1028</v>
      </c>
      <c r="R79" s="574" t="s">
        <v>1028</v>
      </c>
      <c r="S79" s="574" t="s">
        <v>1028</v>
      </c>
      <c r="T79" s="574" t="s">
        <v>1028</v>
      </c>
      <c r="U79" s="574" t="s">
        <v>1028</v>
      </c>
      <c r="V79" s="574" t="s">
        <v>1028</v>
      </c>
      <c r="W79" s="575" t="s">
        <v>1028</v>
      </c>
      <c r="X79" s="576" t="s">
        <v>1028</v>
      </c>
      <c r="Y79" s="577"/>
      <c r="Z79" s="578" t="s">
        <v>1028</v>
      </c>
      <c r="AA79" s="579" t="s">
        <v>1134</v>
      </c>
      <c r="AB79" s="579" t="s">
        <v>414</v>
      </c>
      <c r="AC79" s="579"/>
      <c r="AD79" s="579" t="s">
        <v>140</v>
      </c>
      <c r="AE79" s="579">
        <v>11</v>
      </c>
      <c r="AF79" s="580">
        <f>H79</f>
        <v>46136</v>
      </c>
      <c r="AG79" s="579">
        <f>A79</f>
        <v>1594</v>
      </c>
      <c r="AH79" s="579"/>
      <c r="AJ79" s="542"/>
    </row>
    <row r="80" spans="1:36" s="46" customFormat="1" x14ac:dyDescent="0.15">
      <c r="A80" s="566">
        <v>1595</v>
      </c>
      <c r="B80" s="566">
        <v>949</v>
      </c>
      <c r="C80" s="567"/>
      <c r="D80" s="566">
        <v>1002</v>
      </c>
      <c r="E80" s="567"/>
      <c r="F80" s="568" t="s">
        <v>140</v>
      </c>
      <c r="G80" s="569">
        <v>46104</v>
      </c>
      <c r="H80" s="569">
        <v>46136</v>
      </c>
      <c r="I80" s="569"/>
      <c r="J80" s="581"/>
      <c r="K80" s="571">
        <v>46134</v>
      </c>
      <c r="L80" s="572">
        <v>46128</v>
      </c>
      <c r="M80" s="573">
        <v>46136</v>
      </c>
      <c r="N80" s="570"/>
      <c r="O80" s="574" t="s">
        <v>1028</v>
      </c>
      <c r="P80" s="574" t="s">
        <v>1028</v>
      </c>
      <c r="Q80" s="574" t="s">
        <v>1028</v>
      </c>
      <c r="R80" s="574" t="s">
        <v>1028</v>
      </c>
      <c r="S80" s="574" t="s">
        <v>1028</v>
      </c>
      <c r="T80" s="574" t="s">
        <v>1028</v>
      </c>
      <c r="U80" s="574" t="s">
        <v>1028</v>
      </c>
      <c r="V80" s="574" t="s">
        <v>1028</v>
      </c>
      <c r="W80" s="575" t="s">
        <v>1028</v>
      </c>
      <c r="X80" s="576" t="s">
        <v>1028</v>
      </c>
      <c r="Y80" s="577"/>
      <c r="Z80" s="578" t="s">
        <v>1028</v>
      </c>
      <c r="AA80" s="579" t="s">
        <v>1135</v>
      </c>
      <c r="AB80" s="579" t="s">
        <v>414</v>
      </c>
      <c r="AC80" s="579"/>
      <c r="AD80" s="579" t="s">
        <v>140</v>
      </c>
      <c r="AE80" s="579">
        <v>11</v>
      </c>
      <c r="AF80" s="580">
        <f>H80</f>
        <v>46136</v>
      </c>
      <c r="AG80" s="579">
        <f>A80</f>
        <v>1595</v>
      </c>
      <c r="AH80" s="579"/>
      <c r="AJ80" s="542"/>
    </row>
    <row r="81" spans="1:36" s="46" customFormat="1" x14ac:dyDescent="0.15">
      <c r="A81" s="566">
        <v>1596</v>
      </c>
      <c r="B81" s="566">
        <v>950</v>
      </c>
      <c r="C81" s="567"/>
      <c r="D81" s="566">
        <v>1003</v>
      </c>
      <c r="E81" s="567"/>
      <c r="F81" s="568" t="s">
        <v>140</v>
      </c>
      <c r="G81" s="569">
        <v>46104</v>
      </c>
      <c r="H81" s="569">
        <v>46136</v>
      </c>
      <c r="I81" s="569"/>
      <c r="J81" s="581"/>
      <c r="K81" s="571">
        <v>46135</v>
      </c>
      <c r="L81" s="572">
        <v>46129</v>
      </c>
      <c r="M81" s="573">
        <v>46136</v>
      </c>
      <c r="N81" s="570"/>
      <c r="O81" s="574" t="s">
        <v>1028</v>
      </c>
      <c r="P81" s="574" t="s">
        <v>1028</v>
      </c>
      <c r="Q81" s="574" t="s">
        <v>1028</v>
      </c>
      <c r="R81" s="574" t="s">
        <v>1028</v>
      </c>
      <c r="S81" s="574" t="s">
        <v>1028</v>
      </c>
      <c r="T81" s="574" t="s">
        <v>1028</v>
      </c>
      <c r="U81" s="574" t="s">
        <v>1028</v>
      </c>
      <c r="V81" s="574" t="s">
        <v>1028</v>
      </c>
      <c r="W81" s="575" t="s">
        <v>1028</v>
      </c>
      <c r="X81" s="576" t="s">
        <v>1028</v>
      </c>
      <c r="Y81" s="577"/>
      <c r="Z81" s="578" t="s">
        <v>1028</v>
      </c>
      <c r="AA81" s="579" t="s">
        <v>1136</v>
      </c>
      <c r="AB81" s="579" t="s">
        <v>414</v>
      </c>
      <c r="AC81" s="579"/>
      <c r="AD81" s="579" t="s">
        <v>140</v>
      </c>
      <c r="AE81" s="579">
        <v>11</v>
      </c>
      <c r="AF81" s="580">
        <f>H81</f>
        <v>46136</v>
      </c>
      <c r="AG81" s="579">
        <f>A81</f>
        <v>1596</v>
      </c>
      <c r="AH81" s="579"/>
      <c r="AJ81" s="542"/>
    </row>
    <row r="82" spans="1:36" s="46" customFormat="1" x14ac:dyDescent="0.15">
      <c r="A82" s="566">
        <v>1597</v>
      </c>
      <c r="B82" s="566">
        <v>951</v>
      </c>
      <c r="C82" s="567"/>
      <c r="D82" s="566">
        <v>1004</v>
      </c>
      <c r="E82" s="567"/>
      <c r="F82" s="568" t="s">
        <v>140</v>
      </c>
      <c r="G82" s="569">
        <v>46104</v>
      </c>
      <c r="H82" s="569">
        <v>46136</v>
      </c>
      <c r="I82" s="569"/>
      <c r="J82" s="581"/>
      <c r="K82" s="571">
        <v>46135</v>
      </c>
      <c r="L82" s="572">
        <v>46129</v>
      </c>
      <c r="M82" s="573">
        <v>46136</v>
      </c>
      <c r="N82" s="570"/>
      <c r="O82" s="574" t="s">
        <v>1028</v>
      </c>
      <c r="P82" s="574" t="s">
        <v>1028</v>
      </c>
      <c r="Q82" s="574" t="s">
        <v>1028</v>
      </c>
      <c r="R82" s="574" t="s">
        <v>1028</v>
      </c>
      <c r="S82" s="574" t="s">
        <v>1028</v>
      </c>
      <c r="T82" s="574" t="s">
        <v>1028</v>
      </c>
      <c r="U82" s="574" t="s">
        <v>1028</v>
      </c>
      <c r="V82" s="574" t="s">
        <v>1028</v>
      </c>
      <c r="W82" s="575" t="s">
        <v>1028</v>
      </c>
      <c r="X82" s="576" t="s">
        <v>1028</v>
      </c>
      <c r="Y82" s="577"/>
      <c r="Z82" s="578" t="s">
        <v>1028</v>
      </c>
      <c r="AA82" s="579" t="s">
        <v>1137</v>
      </c>
      <c r="AB82" s="579" t="s">
        <v>414</v>
      </c>
      <c r="AC82" s="579"/>
      <c r="AD82" s="579" t="s">
        <v>140</v>
      </c>
      <c r="AE82" s="579">
        <v>11</v>
      </c>
      <c r="AF82" s="580">
        <f>H82</f>
        <v>46136</v>
      </c>
      <c r="AG82" s="579">
        <f>A82</f>
        <v>1597</v>
      </c>
      <c r="AH82" s="579"/>
      <c r="AJ82" s="542"/>
    </row>
    <row r="83" spans="1:36" s="46" customFormat="1" x14ac:dyDescent="0.15">
      <c r="A83" s="566">
        <v>1598</v>
      </c>
      <c r="B83" s="566">
        <v>952</v>
      </c>
      <c r="C83" s="567"/>
      <c r="D83" s="566">
        <v>1005</v>
      </c>
      <c r="E83" s="567"/>
      <c r="F83" s="568" t="s">
        <v>140</v>
      </c>
      <c r="G83" s="569">
        <v>46104</v>
      </c>
      <c r="H83" s="569">
        <v>46136</v>
      </c>
      <c r="I83" s="569"/>
      <c r="J83" s="581"/>
      <c r="K83" s="571">
        <v>46135</v>
      </c>
      <c r="L83" s="572">
        <v>46129</v>
      </c>
      <c r="M83" s="573">
        <v>46136</v>
      </c>
      <c r="N83" s="570"/>
      <c r="O83" s="574" t="s">
        <v>1028</v>
      </c>
      <c r="P83" s="574" t="s">
        <v>1028</v>
      </c>
      <c r="Q83" s="574" t="s">
        <v>1028</v>
      </c>
      <c r="R83" s="574" t="s">
        <v>1028</v>
      </c>
      <c r="S83" s="574" t="s">
        <v>1028</v>
      </c>
      <c r="T83" s="574" t="s">
        <v>1028</v>
      </c>
      <c r="U83" s="574" t="s">
        <v>1028</v>
      </c>
      <c r="V83" s="574" t="s">
        <v>1028</v>
      </c>
      <c r="W83" s="575" t="s">
        <v>1028</v>
      </c>
      <c r="X83" s="576" t="s">
        <v>1028</v>
      </c>
      <c r="Y83" s="577"/>
      <c r="Z83" s="578" t="s">
        <v>1028</v>
      </c>
      <c r="AA83" s="579" t="s">
        <v>1138</v>
      </c>
      <c r="AB83" s="579" t="s">
        <v>414</v>
      </c>
      <c r="AC83" s="579"/>
      <c r="AD83" s="579" t="s">
        <v>140</v>
      </c>
      <c r="AE83" s="579">
        <v>11</v>
      </c>
      <c r="AF83" s="580">
        <f>H83</f>
        <v>46136</v>
      </c>
      <c r="AG83" s="579">
        <f>A83</f>
        <v>1598</v>
      </c>
      <c r="AH83" s="579"/>
      <c r="AJ83" s="542"/>
    </row>
    <row r="84" spans="1:36" s="46" customFormat="1" x14ac:dyDescent="0.15">
      <c r="A84" s="566">
        <v>1599</v>
      </c>
      <c r="B84" s="566">
        <v>953</v>
      </c>
      <c r="C84" s="567"/>
      <c r="D84" s="566">
        <v>1006</v>
      </c>
      <c r="E84" s="567"/>
      <c r="F84" s="568" t="s">
        <v>140</v>
      </c>
      <c r="G84" s="569">
        <v>46104</v>
      </c>
      <c r="H84" s="569">
        <v>46139</v>
      </c>
      <c r="I84" s="569"/>
      <c r="J84" s="581"/>
      <c r="K84" s="571">
        <v>46135</v>
      </c>
      <c r="L84" s="572">
        <v>46129</v>
      </c>
      <c r="M84" s="573">
        <v>46139</v>
      </c>
      <c r="N84" s="570"/>
      <c r="O84" s="574" t="s">
        <v>1028</v>
      </c>
      <c r="P84" s="574" t="s">
        <v>1028</v>
      </c>
      <c r="Q84" s="574" t="s">
        <v>1028</v>
      </c>
      <c r="R84" s="574" t="s">
        <v>1028</v>
      </c>
      <c r="S84" s="574" t="s">
        <v>1028</v>
      </c>
      <c r="T84" s="574" t="s">
        <v>1028</v>
      </c>
      <c r="U84" s="574" t="s">
        <v>1028</v>
      </c>
      <c r="V84" s="574" t="s">
        <v>1028</v>
      </c>
      <c r="W84" s="575" t="s">
        <v>1028</v>
      </c>
      <c r="X84" s="576" t="s">
        <v>1028</v>
      </c>
      <c r="Y84" s="577"/>
      <c r="Z84" s="578" t="s">
        <v>1028</v>
      </c>
      <c r="AA84" s="579" t="s">
        <v>1139</v>
      </c>
      <c r="AB84" s="579" t="s">
        <v>414</v>
      </c>
      <c r="AC84" s="579"/>
      <c r="AD84" s="579" t="s">
        <v>140</v>
      </c>
      <c r="AE84" s="579">
        <v>11</v>
      </c>
      <c r="AF84" s="580">
        <f>H84</f>
        <v>46139</v>
      </c>
      <c r="AG84" s="579">
        <f>A84</f>
        <v>1599</v>
      </c>
      <c r="AH84" s="579"/>
      <c r="AJ84" s="542"/>
    </row>
    <row r="85" spans="1:36" s="46" customFormat="1" x14ac:dyDescent="0.15">
      <c r="A85" s="566">
        <v>1600</v>
      </c>
      <c r="B85" s="566">
        <v>954</v>
      </c>
      <c r="C85" s="567"/>
      <c r="D85" s="566">
        <v>1007</v>
      </c>
      <c r="E85" s="567"/>
      <c r="F85" s="568" t="s">
        <v>140</v>
      </c>
      <c r="G85" s="569">
        <v>46104</v>
      </c>
      <c r="H85" s="569">
        <v>46139</v>
      </c>
      <c r="I85" s="569"/>
      <c r="J85" s="581"/>
      <c r="K85" s="571">
        <v>46136</v>
      </c>
      <c r="L85" s="572">
        <v>46132</v>
      </c>
      <c r="M85" s="573">
        <v>46139</v>
      </c>
      <c r="N85" s="570"/>
      <c r="O85" s="574" t="s">
        <v>1028</v>
      </c>
      <c r="P85" s="574" t="s">
        <v>1028</v>
      </c>
      <c r="Q85" s="574" t="s">
        <v>1028</v>
      </c>
      <c r="R85" s="574" t="s">
        <v>1028</v>
      </c>
      <c r="S85" s="574" t="s">
        <v>1028</v>
      </c>
      <c r="T85" s="574" t="s">
        <v>1028</v>
      </c>
      <c r="U85" s="574" t="s">
        <v>1028</v>
      </c>
      <c r="V85" s="574" t="s">
        <v>1028</v>
      </c>
      <c r="W85" s="575" t="s">
        <v>1028</v>
      </c>
      <c r="X85" s="576" t="s">
        <v>1028</v>
      </c>
      <c r="Y85" s="577"/>
      <c r="Z85" s="578" t="s">
        <v>1028</v>
      </c>
      <c r="AA85" s="579" t="s">
        <v>1140</v>
      </c>
      <c r="AB85" s="579" t="s">
        <v>414</v>
      </c>
      <c r="AC85" s="579"/>
      <c r="AD85" s="579" t="s">
        <v>140</v>
      </c>
      <c r="AE85" s="579">
        <v>11</v>
      </c>
      <c r="AF85" s="580">
        <f>H85</f>
        <v>46139</v>
      </c>
      <c r="AG85" s="579">
        <f>A85</f>
        <v>1600</v>
      </c>
      <c r="AH85" s="579"/>
      <c r="AJ85" s="542"/>
    </row>
    <row r="86" spans="1:36" s="46" customFormat="1" x14ac:dyDescent="0.15">
      <c r="A86" s="566">
        <v>1601</v>
      </c>
      <c r="B86" s="566">
        <v>955</v>
      </c>
      <c r="C86" s="567"/>
      <c r="D86" s="566">
        <v>1008</v>
      </c>
      <c r="E86" s="567"/>
      <c r="F86" s="568" t="s">
        <v>140</v>
      </c>
      <c r="G86" s="569">
        <v>46104</v>
      </c>
      <c r="H86" s="569">
        <v>46139</v>
      </c>
      <c r="I86" s="569"/>
      <c r="J86" s="581"/>
      <c r="K86" s="571">
        <v>46136</v>
      </c>
      <c r="L86" s="572">
        <v>46132</v>
      </c>
      <c r="M86" s="573">
        <v>46139</v>
      </c>
      <c r="N86" s="570"/>
      <c r="O86" s="574" t="s">
        <v>1028</v>
      </c>
      <c r="P86" s="574" t="s">
        <v>1028</v>
      </c>
      <c r="Q86" s="574" t="s">
        <v>1028</v>
      </c>
      <c r="R86" s="574" t="s">
        <v>1028</v>
      </c>
      <c r="S86" s="574" t="s">
        <v>1028</v>
      </c>
      <c r="T86" s="574" t="s">
        <v>1028</v>
      </c>
      <c r="U86" s="574" t="s">
        <v>1028</v>
      </c>
      <c r="V86" s="574" t="s">
        <v>1028</v>
      </c>
      <c r="W86" s="575" t="s">
        <v>1028</v>
      </c>
      <c r="X86" s="576" t="s">
        <v>1028</v>
      </c>
      <c r="Y86" s="577"/>
      <c r="Z86" s="578" t="s">
        <v>1028</v>
      </c>
      <c r="AA86" s="579" t="s">
        <v>1141</v>
      </c>
      <c r="AB86" s="579" t="s">
        <v>414</v>
      </c>
      <c r="AC86" s="579"/>
      <c r="AD86" s="579" t="s">
        <v>140</v>
      </c>
      <c r="AE86" s="579">
        <v>11</v>
      </c>
      <c r="AF86" s="580">
        <f>H86</f>
        <v>46139</v>
      </c>
      <c r="AG86" s="579">
        <f>A86</f>
        <v>1601</v>
      </c>
      <c r="AH86" s="579"/>
      <c r="AJ86" s="542"/>
    </row>
    <row r="87" spans="1:36" s="46" customFormat="1" x14ac:dyDescent="0.15">
      <c r="A87" s="566">
        <v>1602</v>
      </c>
      <c r="B87" s="566">
        <v>956</v>
      </c>
      <c r="C87" s="567"/>
      <c r="D87" s="566">
        <v>1009</v>
      </c>
      <c r="E87" s="567"/>
      <c r="F87" s="568" t="s">
        <v>140</v>
      </c>
      <c r="G87" s="569">
        <v>46104</v>
      </c>
      <c r="H87" s="569">
        <v>46139</v>
      </c>
      <c r="I87" s="569"/>
      <c r="J87" s="581"/>
      <c r="K87" s="571">
        <v>46136</v>
      </c>
      <c r="L87" s="572">
        <v>46132</v>
      </c>
      <c r="M87" s="573">
        <v>46139</v>
      </c>
      <c r="N87" s="570"/>
      <c r="O87" s="574" t="s">
        <v>1028</v>
      </c>
      <c r="P87" s="574" t="s">
        <v>1028</v>
      </c>
      <c r="Q87" s="574" t="s">
        <v>1028</v>
      </c>
      <c r="R87" s="574" t="s">
        <v>1028</v>
      </c>
      <c r="S87" s="574" t="s">
        <v>1028</v>
      </c>
      <c r="T87" s="574" t="s">
        <v>1028</v>
      </c>
      <c r="U87" s="574" t="s">
        <v>1028</v>
      </c>
      <c r="V87" s="574" t="s">
        <v>1028</v>
      </c>
      <c r="W87" s="575" t="s">
        <v>1028</v>
      </c>
      <c r="X87" s="576" t="s">
        <v>1028</v>
      </c>
      <c r="Y87" s="577"/>
      <c r="Z87" s="578" t="s">
        <v>1028</v>
      </c>
      <c r="AA87" s="579" t="s">
        <v>1142</v>
      </c>
      <c r="AB87" s="579" t="s">
        <v>414</v>
      </c>
      <c r="AC87" s="579"/>
      <c r="AD87" s="579" t="s">
        <v>140</v>
      </c>
      <c r="AE87" s="579">
        <v>11</v>
      </c>
      <c r="AF87" s="580">
        <f>H87</f>
        <v>46139</v>
      </c>
      <c r="AG87" s="579">
        <f>A87</f>
        <v>1602</v>
      </c>
      <c r="AH87" s="579"/>
      <c r="AJ87" s="542"/>
    </row>
    <row r="88" spans="1:36" s="46" customFormat="1" x14ac:dyDescent="0.15">
      <c r="A88" s="566">
        <v>1603</v>
      </c>
      <c r="B88" s="566">
        <v>957</v>
      </c>
      <c r="C88" s="567"/>
      <c r="D88" s="566">
        <v>1010</v>
      </c>
      <c r="E88" s="567"/>
      <c r="F88" s="568" t="s">
        <v>140</v>
      </c>
      <c r="G88" s="569">
        <v>46104</v>
      </c>
      <c r="H88" s="569">
        <v>46139</v>
      </c>
      <c r="I88" s="569"/>
      <c r="J88" s="581"/>
      <c r="K88" s="571">
        <v>46136</v>
      </c>
      <c r="L88" s="572">
        <v>46132</v>
      </c>
      <c r="M88" s="573">
        <v>46139</v>
      </c>
      <c r="N88" s="570"/>
      <c r="O88" s="574" t="s">
        <v>1028</v>
      </c>
      <c r="P88" s="574" t="s">
        <v>1028</v>
      </c>
      <c r="Q88" s="574" t="s">
        <v>1028</v>
      </c>
      <c r="R88" s="574" t="s">
        <v>1028</v>
      </c>
      <c r="S88" s="574" t="s">
        <v>1028</v>
      </c>
      <c r="T88" s="574" t="s">
        <v>1028</v>
      </c>
      <c r="U88" s="574" t="s">
        <v>1028</v>
      </c>
      <c r="V88" s="574" t="s">
        <v>1028</v>
      </c>
      <c r="W88" s="575" t="s">
        <v>1028</v>
      </c>
      <c r="X88" s="576" t="s">
        <v>1028</v>
      </c>
      <c r="Y88" s="577"/>
      <c r="Z88" s="578" t="s">
        <v>1028</v>
      </c>
      <c r="AA88" s="579" t="s">
        <v>1143</v>
      </c>
      <c r="AB88" s="579" t="s">
        <v>414</v>
      </c>
      <c r="AC88" s="579"/>
      <c r="AD88" s="579" t="s">
        <v>140</v>
      </c>
      <c r="AE88" s="579">
        <v>11</v>
      </c>
      <c r="AF88" s="580">
        <f>H88</f>
        <v>46139</v>
      </c>
      <c r="AG88" s="579">
        <f>A88</f>
        <v>1603</v>
      </c>
      <c r="AH88" s="579"/>
      <c r="AJ88" s="542"/>
    </row>
    <row r="89" spans="1:36" s="46" customFormat="1" x14ac:dyDescent="0.15">
      <c r="A89" s="566">
        <v>1604</v>
      </c>
      <c r="B89" s="566">
        <v>958</v>
      </c>
      <c r="C89" s="567"/>
      <c r="D89" s="566">
        <v>1011</v>
      </c>
      <c r="E89" s="567"/>
      <c r="F89" s="568" t="s">
        <v>140</v>
      </c>
      <c r="G89" s="569">
        <v>46104</v>
      </c>
      <c r="H89" s="569">
        <v>46140</v>
      </c>
      <c r="I89" s="569"/>
      <c r="J89" s="581"/>
      <c r="K89" s="571">
        <v>46136</v>
      </c>
      <c r="L89" s="572">
        <v>46132</v>
      </c>
      <c r="M89" s="573">
        <v>46140</v>
      </c>
      <c r="N89" s="570"/>
      <c r="O89" s="574" t="s">
        <v>1028</v>
      </c>
      <c r="P89" s="574" t="s">
        <v>1028</v>
      </c>
      <c r="Q89" s="574" t="s">
        <v>1028</v>
      </c>
      <c r="R89" s="574" t="s">
        <v>1028</v>
      </c>
      <c r="S89" s="574" t="s">
        <v>1028</v>
      </c>
      <c r="T89" s="574" t="s">
        <v>1028</v>
      </c>
      <c r="U89" s="574" t="s">
        <v>1028</v>
      </c>
      <c r="V89" s="574" t="s">
        <v>1028</v>
      </c>
      <c r="W89" s="575" t="s">
        <v>1028</v>
      </c>
      <c r="X89" s="576" t="s">
        <v>1028</v>
      </c>
      <c r="Y89" s="577"/>
      <c r="Z89" s="578" t="s">
        <v>1028</v>
      </c>
      <c r="AA89" s="579" t="s">
        <v>1144</v>
      </c>
      <c r="AB89" s="579" t="s">
        <v>414</v>
      </c>
      <c r="AC89" s="579"/>
      <c r="AD89" s="579" t="s">
        <v>140</v>
      </c>
      <c r="AE89" s="579">
        <v>11</v>
      </c>
      <c r="AF89" s="580">
        <f>H89</f>
        <v>46140</v>
      </c>
      <c r="AG89" s="579">
        <f>A89</f>
        <v>1604</v>
      </c>
      <c r="AH89" s="579"/>
      <c r="AJ89" s="542"/>
    </row>
    <row r="90" spans="1:36" s="46" customFormat="1" x14ac:dyDescent="0.15">
      <c r="A90" s="566">
        <v>1605</v>
      </c>
      <c r="B90" s="566">
        <v>959</v>
      </c>
      <c r="C90" s="567"/>
      <c r="D90" s="566">
        <v>1012</v>
      </c>
      <c r="E90" s="567"/>
      <c r="F90" s="568" t="s">
        <v>140</v>
      </c>
      <c r="G90" s="569">
        <v>46104</v>
      </c>
      <c r="H90" s="569">
        <v>46140</v>
      </c>
      <c r="I90" s="569"/>
      <c r="J90" s="581"/>
      <c r="K90" s="571">
        <v>46139</v>
      </c>
      <c r="L90" s="572">
        <v>46133</v>
      </c>
      <c r="M90" s="573">
        <v>46140</v>
      </c>
      <c r="N90" s="570"/>
      <c r="O90" s="574" t="s">
        <v>1028</v>
      </c>
      <c r="P90" s="574" t="s">
        <v>1028</v>
      </c>
      <c r="Q90" s="574" t="s">
        <v>1028</v>
      </c>
      <c r="R90" s="574" t="s">
        <v>1028</v>
      </c>
      <c r="S90" s="574" t="s">
        <v>1028</v>
      </c>
      <c r="T90" s="574" t="s">
        <v>1028</v>
      </c>
      <c r="U90" s="574" t="s">
        <v>1028</v>
      </c>
      <c r="V90" s="574" t="s">
        <v>1028</v>
      </c>
      <c r="W90" s="575" t="s">
        <v>1028</v>
      </c>
      <c r="X90" s="576" t="s">
        <v>1028</v>
      </c>
      <c r="Y90" s="577"/>
      <c r="Z90" s="578" t="s">
        <v>1028</v>
      </c>
      <c r="AA90" s="579" t="s">
        <v>1145</v>
      </c>
      <c r="AB90" s="579" t="s">
        <v>414</v>
      </c>
      <c r="AC90" s="579"/>
      <c r="AD90" s="579" t="s">
        <v>140</v>
      </c>
      <c r="AE90" s="579">
        <v>11</v>
      </c>
      <c r="AF90" s="580">
        <f>H90</f>
        <v>46140</v>
      </c>
      <c r="AG90" s="579">
        <f>A90</f>
        <v>1605</v>
      </c>
      <c r="AH90" s="579"/>
      <c r="AJ90" s="542"/>
    </row>
    <row r="91" spans="1:36" s="46" customFormat="1" x14ac:dyDescent="0.15">
      <c r="A91" s="566">
        <v>1606</v>
      </c>
      <c r="B91" s="566">
        <v>960</v>
      </c>
      <c r="C91" s="567"/>
      <c r="D91" s="566">
        <v>1013</v>
      </c>
      <c r="E91" s="567"/>
      <c r="F91" s="568" t="s">
        <v>140</v>
      </c>
      <c r="G91" s="569">
        <v>46104</v>
      </c>
      <c r="H91" s="569">
        <v>46140</v>
      </c>
      <c r="I91" s="569"/>
      <c r="J91" s="581"/>
      <c r="K91" s="571">
        <v>46139</v>
      </c>
      <c r="L91" s="572">
        <v>46133</v>
      </c>
      <c r="M91" s="573">
        <v>46140</v>
      </c>
      <c r="N91" s="570"/>
      <c r="O91" s="574" t="s">
        <v>1028</v>
      </c>
      <c r="P91" s="574" t="s">
        <v>1028</v>
      </c>
      <c r="Q91" s="574" t="s">
        <v>1028</v>
      </c>
      <c r="R91" s="574" t="s">
        <v>1028</v>
      </c>
      <c r="S91" s="574" t="s">
        <v>1028</v>
      </c>
      <c r="T91" s="574" t="s">
        <v>1028</v>
      </c>
      <c r="U91" s="574" t="s">
        <v>1028</v>
      </c>
      <c r="V91" s="574" t="s">
        <v>1028</v>
      </c>
      <c r="W91" s="575" t="s">
        <v>1028</v>
      </c>
      <c r="X91" s="576" t="s">
        <v>1028</v>
      </c>
      <c r="Y91" s="577"/>
      <c r="Z91" s="578" t="s">
        <v>1028</v>
      </c>
      <c r="AA91" s="579" t="s">
        <v>1146</v>
      </c>
      <c r="AB91" s="579" t="s">
        <v>414</v>
      </c>
      <c r="AC91" s="579"/>
      <c r="AD91" s="579" t="s">
        <v>140</v>
      </c>
      <c r="AE91" s="579">
        <v>11</v>
      </c>
      <c r="AF91" s="580">
        <f>H91</f>
        <v>46140</v>
      </c>
      <c r="AG91" s="579">
        <f>A91</f>
        <v>1606</v>
      </c>
      <c r="AH91" s="579"/>
      <c r="AJ91" s="542"/>
    </row>
    <row r="92" spans="1:36" s="46" customFormat="1" x14ac:dyDescent="0.15">
      <c r="A92" s="566">
        <v>1607</v>
      </c>
      <c r="B92" s="566">
        <v>961</v>
      </c>
      <c r="C92" s="567"/>
      <c r="D92" s="566">
        <v>1014</v>
      </c>
      <c r="E92" s="567"/>
      <c r="F92" s="568" t="s">
        <v>140</v>
      </c>
      <c r="G92" s="569">
        <v>46104</v>
      </c>
      <c r="H92" s="569">
        <v>46140</v>
      </c>
      <c r="I92" s="569"/>
      <c r="J92" s="581"/>
      <c r="K92" s="571">
        <v>46139</v>
      </c>
      <c r="L92" s="572">
        <v>46133</v>
      </c>
      <c r="M92" s="573">
        <v>46140</v>
      </c>
      <c r="N92" s="570"/>
      <c r="O92" s="574" t="s">
        <v>1028</v>
      </c>
      <c r="P92" s="574" t="s">
        <v>1028</v>
      </c>
      <c r="Q92" s="574" t="s">
        <v>1028</v>
      </c>
      <c r="R92" s="574" t="s">
        <v>1028</v>
      </c>
      <c r="S92" s="574" t="s">
        <v>1028</v>
      </c>
      <c r="T92" s="574" t="s">
        <v>1028</v>
      </c>
      <c r="U92" s="574" t="s">
        <v>1028</v>
      </c>
      <c r="V92" s="574" t="s">
        <v>1028</v>
      </c>
      <c r="W92" s="575" t="s">
        <v>1028</v>
      </c>
      <c r="X92" s="576" t="s">
        <v>1028</v>
      </c>
      <c r="Y92" s="577"/>
      <c r="Z92" s="578" t="s">
        <v>1028</v>
      </c>
      <c r="AA92" s="579" t="s">
        <v>1147</v>
      </c>
      <c r="AB92" s="579" t="s">
        <v>414</v>
      </c>
      <c r="AC92" s="579"/>
      <c r="AD92" s="579" t="s">
        <v>140</v>
      </c>
      <c r="AE92" s="579">
        <v>11</v>
      </c>
      <c r="AF92" s="580">
        <f>H92</f>
        <v>46140</v>
      </c>
      <c r="AG92" s="579">
        <f>A92</f>
        <v>1607</v>
      </c>
      <c r="AH92" s="579"/>
      <c r="AJ92" s="542"/>
    </row>
    <row r="93" spans="1:36" s="46" customFormat="1" x14ac:dyDescent="0.15">
      <c r="A93" s="566">
        <v>1608</v>
      </c>
      <c r="B93" s="566">
        <v>962</v>
      </c>
      <c r="C93" s="567"/>
      <c r="D93" s="566">
        <v>1015</v>
      </c>
      <c r="E93" s="567"/>
      <c r="F93" s="568" t="s">
        <v>140</v>
      </c>
      <c r="G93" s="569">
        <v>46104</v>
      </c>
      <c r="H93" s="569">
        <v>46140</v>
      </c>
      <c r="I93" s="569"/>
      <c r="J93" s="581"/>
      <c r="K93" s="571">
        <v>46139</v>
      </c>
      <c r="L93" s="572">
        <v>46133</v>
      </c>
      <c r="M93" s="573">
        <v>46140</v>
      </c>
      <c r="N93" s="570"/>
      <c r="O93" s="574" t="s">
        <v>1028</v>
      </c>
      <c r="P93" s="574" t="s">
        <v>1028</v>
      </c>
      <c r="Q93" s="574" t="s">
        <v>1028</v>
      </c>
      <c r="R93" s="574" t="s">
        <v>1028</v>
      </c>
      <c r="S93" s="574" t="s">
        <v>1028</v>
      </c>
      <c r="T93" s="574" t="s">
        <v>1028</v>
      </c>
      <c r="U93" s="574" t="s">
        <v>1028</v>
      </c>
      <c r="V93" s="574" t="s">
        <v>1028</v>
      </c>
      <c r="W93" s="575" t="s">
        <v>1028</v>
      </c>
      <c r="X93" s="576" t="s">
        <v>1028</v>
      </c>
      <c r="Y93" s="577"/>
      <c r="Z93" s="578" t="s">
        <v>1028</v>
      </c>
      <c r="AA93" s="579" t="s">
        <v>1148</v>
      </c>
      <c r="AB93" s="579" t="s">
        <v>414</v>
      </c>
      <c r="AC93" s="579"/>
      <c r="AD93" s="579" t="s">
        <v>140</v>
      </c>
      <c r="AE93" s="579">
        <v>11</v>
      </c>
      <c r="AF93" s="580">
        <f>H93</f>
        <v>46140</v>
      </c>
      <c r="AG93" s="579">
        <f>A93</f>
        <v>1608</v>
      </c>
      <c r="AH93" s="579"/>
      <c r="AJ93" s="542"/>
    </row>
    <row r="94" spans="1:36" s="46" customFormat="1" x14ac:dyDescent="0.15">
      <c r="A94" s="566">
        <v>1609</v>
      </c>
      <c r="B94" s="566">
        <v>963</v>
      </c>
      <c r="C94" s="567"/>
      <c r="D94" s="566">
        <v>1016</v>
      </c>
      <c r="E94" s="567"/>
      <c r="F94" s="568" t="s">
        <v>140</v>
      </c>
      <c r="G94" s="569">
        <v>46104</v>
      </c>
      <c r="H94" s="569">
        <v>46140</v>
      </c>
      <c r="I94" s="569"/>
      <c r="J94" s="581"/>
      <c r="K94" s="571">
        <v>46139</v>
      </c>
      <c r="L94" s="572">
        <v>46133</v>
      </c>
      <c r="M94" s="573">
        <v>46140</v>
      </c>
      <c r="N94" s="570"/>
      <c r="O94" s="574" t="s">
        <v>1028</v>
      </c>
      <c r="P94" s="574" t="s">
        <v>1028</v>
      </c>
      <c r="Q94" s="574" t="s">
        <v>1028</v>
      </c>
      <c r="R94" s="574" t="s">
        <v>1028</v>
      </c>
      <c r="S94" s="574" t="s">
        <v>1028</v>
      </c>
      <c r="T94" s="574" t="s">
        <v>1028</v>
      </c>
      <c r="U94" s="574" t="s">
        <v>1028</v>
      </c>
      <c r="V94" s="574" t="s">
        <v>1028</v>
      </c>
      <c r="W94" s="575" t="s">
        <v>1028</v>
      </c>
      <c r="X94" s="576" t="s">
        <v>1028</v>
      </c>
      <c r="Y94" s="577"/>
      <c r="Z94" s="578" t="s">
        <v>1028</v>
      </c>
      <c r="AA94" s="579" t="s">
        <v>1149</v>
      </c>
      <c r="AB94" s="579" t="s">
        <v>414</v>
      </c>
      <c r="AC94" s="579"/>
      <c r="AD94" s="579" t="s">
        <v>140</v>
      </c>
      <c r="AE94" s="579">
        <v>11</v>
      </c>
      <c r="AF94" s="580">
        <f>H94</f>
        <v>46140</v>
      </c>
      <c r="AG94" s="579">
        <f>A94</f>
        <v>1609</v>
      </c>
      <c r="AH94" s="579"/>
      <c r="AJ94" s="542"/>
    </row>
    <row r="95" spans="1:36" s="46" customFormat="1" x14ac:dyDescent="0.15">
      <c r="A95" s="566">
        <v>1610</v>
      </c>
      <c r="B95" s="566">
        <v>964</v>
      </c>
      <c r="C95" s="567"/>
      <c r="D95" s="566">
        <v>1017</v>
      </c>
      <c r="E95" s="567"/>
      <c r="F95" s="568" t="s">
        <v>140</v>
      </c>
      <c r="G95" s="569">
        <v>46104</v>
      </c>
      <c r="H95" s="569">
        <v>46149</v>
      </c>
      <c r="I95" s="569"/>
      <c r="J95" s="581"/>
      <c r="K95" s="571">
        <v>46140</v>
      </c>
      <c r="L95" s="572">
        <v>46134</v>
      </c>
      <c r="M95" s="573">
        <v>46149</v>
      </c>
      <c r="N95" s="570"/>
      <c r="O95" s="574" t="s">
        <v>1028</v>
      </c>
      <c r="P95" s="574" t="s">
        <v>1028</v>
      </c>
      <c r="Q95" s="574" t="s">
        <v>1028</v>
      </c>
      <c r="R95" s="574" t="s">
        <v>1028</v>
      </c>
      <c r="S95" s="574" t="s">
        <v>1028</v>
      </c>
      <c r="T95" s="574" t="s">
        <v>1028</v>
      </c>
      <c r="U95" s="574" t="s">
        <v>1028</v>
      </c>
      <c r="V95" s="574" t="s">
        <v>1028</v>
      </c>
      <c r="W95" s="575" t="s">
        <v>1028</v>
      </c>
      <c r="X95" s="576" t="s">
        <v>1028</v>
      </c>
      <c r="Y95" s="577"/>
      <c r="Z95" s="578" t="s">
        <v>1028</v>
      </c>
      <c r="AA95" s="579" t="s">
        <v>1150</v>
      </c>
      <c r="AB95" s="579" t="s">
        <v>414</v>
      </c>
      <c r="AC95" s="579"/>
      <c r="AD95" s="579" t="s">
        <v>140</v>
      </c>
      <c r="AE95" s="579">
        <v>11</v>
      </c>
      <c r="AF95" s="580">
        <f>H95</f>
        <v>46149</v>
      </c>
      <c r="AG95" s="579">
        <f>A95</f>
        <v>1610</v>
      </c>
      <c r="AH95" s="579"/>
      <c r="AJ95" s="542"/>
    </row>
    <row r="96" spans="1:36" s="46" customFormat="1" x14ac:dyDescent="0.15">
      <c r="A96" s="566">
        <v>1611</v>
      </c>
      <c r="B96" s="566">
        <v>965</v>
      </c>
      <c r="C96" s="567"/>
      <c r="D96" s="566">
        <v>1018</v>
      </c>
      <c r="E96" s="567"/>
      <c r="F96" s="568" t="s">
        <v>140</v>
      </c>
      <c r="G96" s="569">
        <v>46104</v>
      </c>
      <c r="H96" s="569">
        <v>46149</v>
      </c>
      <c r="I96" s="569"/>
      <c r="J96" s="581"/>
      <c r="K96" s="571">
        <v>46140</v>
      </c>
      <c r="L96" s="572">
        <v>46134</v>
      </c>
      <c r="M96" s="573">
        <v>46149</v>
      </c>
      <c r="N96" s="570"/>
      <c r="O96" s="574" t="s">
        <v>1028</v>
      </c>
      <c r="P96" s="574" t="s">
        <v>1028</v>
      </c>
      <c r="Q96" s="574" t="s">
        <v>1028</v>
      </c>
      <c r="R96" s="574" t="s">
        <v>1028</v>
      </c>
      <c r="S96" s="574" t="s">
        <v>1028</v>
      </c>
      <c r="T96" s="574" t="s">
        <v>1028</v>
      </c>
      <c r="U96" s="574" t="s">
        <v>1028</v>
      </c>
      <c r="V96" s="574" t="s">
        <v>1028</v>
      </c>
      <c r="W96" s="575" t="s">
        <v>1028</v>
      </c>
      <c r="X96" s="576" t="s">
        <v>1028</v>
      </c>
      <c r="Y96" s="577"/>
      <c r="Z96" s="578" t="s">
        <v>1028</v>
      </c>
      <c r="AA96" s="579" t="s">
        <v>1151</v>
      </c>
      <c r="AB96" s="579" t="s">
        <v>414</v>
      </c>
      <c r="AC96" s="579"/>
      <c r="AD96" s="579" t="s">
        <v>140</v>
      </c>
      <c r="AE96" s="579">
        <v>11</v>
      </c>
      <c r="AF96" s="580">
        <f>H96</f>
        <v>46149</v>
      </c>
      <c r="AG96" s="579">
        <f>A96</f>
        <v>1611</v>
      </c>
      <c r="AH96" s="579"/>
      <c r="AJ96" s="542"/>
    </row>
    <row r="97" spans="1:36" s="46" customFormat="1" x14ac:dyDescent="0.15">
      <c r="A97" s="566">
        <v>1612</v>
      </c>
      <c r="B97" s="566">
        <v>966</v>
      </c>
      <c r="C97" s="567"/>
      <c r="D97" s="566">
        <v>1019</v>
      </c>
      <c r="E97" s="567"/>
      <c r="F97" s="568" t="s">
        <v>140</v>
      </c>
      <c r="G97" s="569">
        <v>46104</v>
      </c>
      <c r="H97" s="569">
        <v>46149</v>
      </c>
      <c r="I97" s="569"/>
      <c r="J97" s="581"/>
      <c r="K97" s="571">
        <v>46140</v>
      </c>
      <c r="L97" s="572">
        <v>46134</v>
      </c>
      <c r="M97" s="573">
        <v>46149</v>
      </c>
      <c r="N97" s="570"/>
      <c r="O97" s="574" t="s">
        <v>1028</v>
      </c>
      <c r="P97" s="574" t="s">
        <v>1028</v>
      </c>
      <c r="Q97" s="574" t="s">
        <v>1028</v>
      </c>
      <c r="R97" s="574" t="s">
        <v>1028</v>
      </c>
      <c r="S97" s="574" t="s">
        <v>1028</v>
      </c>
      <c r="T97" s="574" t="s">
        <v>1028</v>
      </c>
      <c r="U97" s="574" t="s">
        <v>1028</v>
      </c>
      <c r="V97" s="574" t="s">
        <v>1028</v>
      </c>
      <c r="W97" s="575" t="s">
        <v>1028</v>
      </c>
      <c r="X97" s="576" t="s">
        <v>1028</v>
      </c>
      <c r="Y97" s="577"/>
      <c r="Z97" s="578" t="s">
        <v>1028</v>
      </c>
      <c r="AA97" s="579" t="s">
        <v>1152</v>
      </c>
      <c r="AB97" s="579" t="s">
        <v>414</v>
      </c>
      <c r="AC97" s="579"/>
      <c r="AD97" s="579" t="s">
        <v>140</v>
      </c>
      <c r="AE97" s="579">
        <v>11</v>
      </c>
      <c r="AF97" s="580">
        <f>H97</f>
        <v>46149</v>
      </c>
      <c r="AG97" s="579">
        <f>A97</f>
        <v>1612</v>
      </c>
      <c r="AH97" s="579"/>
      <c r="AJ97" s="542"/>
    </row>
    <row r="98" spans="1:36" s="46" customFormat="1" x14ac:dyDescent="0.15">
      <c r="A98" s="566">
        <v>1613</v>
      </c>
      <c r="B98" s="566">
        <v>967</v>
      </c>
      <c r="C98" s="567"/>
      <c r="D98" s="566">
        <v>1020</v>
      </c>
      <c r="E98" s="567"/>
      <c r="F98" s="568" t="s">
        <v>140</v>
      </c>
      <c r="G98" s="569">
        <v>46104</v>
      </c>
      <c r="H98" s="569">
        <v>46149</v>
      </c>
      <c r="I98" s="569"/>
      <c r="J98" s="581"/>
      <c r="K98" s="571">
        <v>46140</v>
      </c>
      <c r="L98" s="572">
        <v>46134</v>
      </c>
      <c r="M98" s="573">
        <v>46149</v>
      </c>
      <c r="N98" s="570"/>
      <c r="O98" s="574" t="s">
        <v>1028</v>
      </c>
      <c r="P98" s="574" t="s">
        <v>1028</v>
      </c>
      <c r="Q98" s="574" t="s">
        <v>1028</v>
      </c>
      <c r="R98" s="574" t="s">
        <v>1028</v>
      </c>
      <c r="S98" s="574" t="s">
        <v>1028</v>
      </c>
      <c r="T98" s="574" t="s">
        <v>1028</v>
      </c>
      <c r="U98" s="574" t="s">
        <v>1028</v>
      </c>
      <c r="V98" s="574" t="s">
        <v>1028</v>
      </c>
      <c r="W98" s="575" t="s">
        <v>1028</v>
      </c>
      <c r="X98" s="576" t="s">
        <v>1028</v>
      </c>
      <c r="Y98" s="577"/>
      <c r="Z98" s="578" t="s">
        <v>1028</v>
      </c>
      <c r="AA98" s="579" t="s">
        <v>1153</v>
      </c>
      <c r="AB98" s="579" t="s">
        <v>414</v>
      </c>
      <c r="AC98" s="579"/>
      <c r="AD98" s="579" t="s">
        <v>140</v>
      </c>
      <c r="AE98" s="579">
        <v>11</v>
      </c>
      <c r="AF98" s="580">
        <f>H98</f>
        <v>46149</v>
      </c>
      <c r="AG98" s="579">
        <f>A98</f>
        <v>1613</v>
      </c>
      <c r="AH98" s="579"/>
      <c r="AJ98" s="542"/>
    </row>
    <row r="99" spans="1:36" s="46" customFormat="1" x14ac:dyDescent="0.15">
      <c r="A99" s="566">
        <v>1614</v>
      </c>
      <c r="B99" s="566">
        <v>968</v>
      </c>
      <c r="C99" s="567"/>
      <c r="D99" s="566">
        <v>1021</v>
      </c>
      <c r="E99" s="567"/>
      <c r="F99" s="568" t="s">
        <v>140</v>
      </c>
      <c r="G99" s="569">
        <v>46104</v>
      </c>
      <c r="H99" s="569">
        <v>46149</v>
      </c>
      <c r="I99" s="569"/>
      <c r="J99" s="581"/>
      <c r="K99" s="571">
        <v>46140</v>
      </c>
      <c r="L99" s="572">
        <v>46134</v>
      </c>
      <c r="M99" s="573">
        <v>46149</v>
      </c>
      <c r="N99" s="570"/>
      <c r="O99" s="574" t="s">
        <v>1028</v>
      </c>
      <c r="P99" s="574" t="s">
        <v>1028</v>
      </c>
      <c r="Q99" s="574" t="s">
        <v>1028</v>
      </c>
      <c r="R99" s="574" t="s">
        <v>1028</v>
      </c>
      <c r="S99" s="574" t="s">
        <v>1028</v>
      </c>
      <c r="T99" s="574" t="s">
        <v>1028</v>
      </c>
      <c r="U99" s="574" t="s">
        <v>1028</v>
      </c>
      <c r="V99" s="574" t="s">
        <v>1028</v>
      </c>
      <c r="W99" s="575" t="s">
        <v>1028</v>
      </c>
      <c r="X99" s="576" t="s">
        <v>1028</v>
      </c>
      <c r="Y99" s="577"/>
      <c r="Z99" s="578" t="s">
        <v>1028</v>
      </c>
      <c r="AA99" s="579" t="s">
        <v>1154</v>
      </c>
      <c r="AB99" s="579" t="s">
        <v>414</v>
      </c>
      <c r="AC99" s="579"/>
      <c r="AD99" s="579" t="s">
        <v>140</v>
      </c>
      <c r="AE99" s="579">
        <v>11</v>
      </c>
      <c r="AF99" s="580">
        <f>H99</f>
        <v>46149</v>
      </c>
      <c r="AG99" s="579">
        <f>A99</f>
        <v>1614</v>
      </c>
      <c r="AH99" s="579"/>
      <c r="AJ99" s="542"/>
    </row>
    <row r="100" spans="1:36" s="46" customFormat="1" x14ac:dyDescent="0.15">
      <c r="A100" s="566">
        <v>1615</v>
      </c>
      <c r="B100" s="566">
        <v>969</v>
      </c>
      <c r="C100" s="567"/>
      <c r="D100" s="566">
        <v>1022</v>
      </c>
      <c r="E100" s="567"/>
      <c r="F100" s="568" t="s">
        <v>140</v>
      </c>
      <c r="G100" s="569">
        <v>46104</v>
      </c>
      <c r="H100" s="569">
        <v>46149</v>
      </c>
      <c r="I100" s="569"/>
      <c r="J100" s="581"/>
      <c r="K100" s="571">
        <v>46140</v>
      </c>
      <c r="L100" s="572">
        <v>46134</v>
      </c>
      <c r="M100" s="573">
        <v>46149</v>
      </c>
      <c r="N100" s="570"/>
      <c r="O100" s="574" t="s">
        <v>1028</v>
      </c>
      <c r="P100" s="574" t="s">
        <v>1028</v>
      </c>
      <c r="Q100" s="574" t="s">
        <v>1028</v>
      </c>
      <c r="R100" s="574" t="s">
        <v>1028</v>
      </c>
      <c r="S100" s="574" t="s">
        <v>1028</v>
      </c>
      <c r="T100" s="574" t="s">
        <v>1028</v>
      </c>
      <c r="U100" s="574" t="s">
        <v>1028</v>
      </c>
      <c r="V100" s="574" t="s">
        <v>1028</v>
      </c>
      <c r="W100" s="575" t="s">
        <v>1028</v>
      </c>
      <c r="X100" s="576" t="s">
        <v>1028</v>
      </c>
      <c r="Y100" s="577"/>
      <c r="Z100" s="578" t="s">
        <v>1028</v>
      </c>
      <c r="AA100" s="579" t="s">
        <v>1155</v>
      </c>
      <c r="AB100" s="579" t="s">
        <v>414</v>
      </c>
      <c r="AC100" s="579"/>
      <c r="AD100" s="579" t="s">
        <v>140</v>
      </c>
      <c r="AE100" s="579">
        <v>11</v>
      </c>
      <c r="AF100" s="580">
        <f>H100</f>
        <v>46149</v>
      </c>
      <c r="AG100" s="579">
        <f>A100</f>
        <v>1615</v>
      </c>
      <c r="AH100" s="579"/>
      <c r="AJ100" s="542"/>
    </row>
    <row r="101" spans="1:36" s="46" customFormat="1" x14ac:dyDescent="0.15">
      <c r="A101" s="566">
        <v>1616</v>
      </c>
      <c r="B101" s="566">
        <v>970</v>
      </c>
      <c r="C101" s="567"/>
      <c r="D101" s="566">
        <v>1023</v>
      </c>
      <c r="E101" s="567"/>
      <c r="F101" s="568" t="s">
        <v>140</v>
      </c>
      <c r="G101" s="569">
        <v>46104</v>
      </c>
      <c r="H101" s="569">
        <v>46150</v>
      </c>
      <c r="I101" s="569"/>
      <c r="J101" s="581"/>
      <c r="K101" s="571">
        <v>46149</v>
      </c>
      <c r="L101" s="572">
        <v>46135</v>
      </c>
      <c r="M101" s="573">
        <v>46150</v>
      </c>
      <c r="N101" s="570"/>
      <c r="O101" s="574" t="s">
        <v>1028</v>
      </c>
      <c r="P101" s="574" t="s">
        <v>1028</v>
      </c>
      <c r="Q101" s="574" t="s">
        <v>1028</v>
      </c>
      <c r="R101" s="574" t="s">
        <v>1028</v>
      </c>
      <c r="S101" s="574" t="s">
        <v>1028</v>
      </c>
      <c r="T101" s="574" t="s">
        <v>1028</v>
      </c>
      <c r="U101" s="574" t="s">
        <v>1028</v>
      </c>
      <c r="V101" s="574" t="s">
        <v>1028</v>
      </c>
      <c r="W101" s="575" t="s">
        <v>1028</v>
      </c>
      <c r="X101" s="576" t="s">
        <v>1028</v>
      </c>
      <c r="Y101" s="577"/>
      <c r="Z101" s="578" t="s">
        <v>1028</v>
      </c>
      <c r="AA101" s="579" t="s">
        <v>1156</v>
      </c>
      <c r="AB101" s="579" t="s">
        <v>414</v>
      </c>
      <c r="AC101" s="579"/>
      <c r="AD101" s="579" t="s">
        <v>140</v>
      </c>
      <c r="AE101" s="579">
        <v>11</v>
      </c>
      <c r="AF101" s="580">
        <f>H101</f>
        <v>46150</v>
      </c>
      <c r="AG101" s="579">
        <f>A101</f>
        <v>1616</v>
      </c>
      <c r="AH101" s="579"/>
      <c r="AJ101" s="542"/>
    </row>
    <row r="102" spans="1:36" s="46" customFormat="1" x14ac:dyDescent="0.15">
      <c r="A102" s="566">
        <v>1617</v>
      </c>
      <c r="B102" s="566">
        <v>971</v>
      </c>
      <c r="C102" s="567"/>
      <c r="D102" s="566">
        <v>1024</v>
      </c>
      <c r="E102" s="567"/>
      <c r="F102" s="568" t="s">
        <v>140</v>
      </c>
      <c r="G102" s="569">
        <v>46104</v>
      </c>
      <c r="H102" s="569">
        <v>46150</v>
      </c>
      <c r="I102" s="569"/>
      <c r="J102" s="581"/>
      <c r="K102" s="571">
        <v>46149</v>
      </c>
      <c r="L102" s="572">
        <v>46135</v>
      </c>
      <c r="M102" s="573">
        <v>46150</v>
      </c>
      <c r="N102" s="570"/>
      <c r="O102" s="574" t="s">
        <v>1028</v>
      </c>
      <c r="P102" s="574" t="s">
        <v>1028</v>
      </c>
      <c r="Q102" s="574" t="s">
        <v>1028</v>
      </c>
      <c r="R102" s="574" t="s">
        <v>1028</v>
      </c>
      <c r="S102" s="574" t="s">
        <v>1028</v>
      </c>
      <c r="T102" s="574" t="s">
        <v>1028</v>
      </c>
      <c r="U102" s="574" t="s">
        <v>1028</v>
      </c>
      <c r="V102" s="574" t="s">
        <v>1028</v>
      </c>
      <c r="W102" s="575" t="s">
        <v>1028</v>
      </c>
      <c r="X102" s="576" t="s">
        <v>1028</v>
      </c>
      <c r="Y102" s="577"/>
      <c r="Z102" s="578" t="s">
        <v>1028</v>
      </c>
      <c r="AA102" s="579" t="s">
        <v>1157</v>
      </c>
      <c r="AB102" s="579" t="s">
        <v>414</v>
      </c>
      <c r="AC102" s="579"/>
      <c r="AD102" s="579" t="s">
        <v>140</v>
      </c>
      <c r="AE102" s="579">
        <v>11</v>
      </c>
      <c r="AF102" s="580">
        <f>H102</f>
        <v>46150</v>
      </c>
      <c r="AG102" s="579">
        <f>A102</f>
        <v>1617</v>
      </c>
      <c r="AH102" s="579"/>
      <c r="AJ102" s="542"/>
    </row>
    <row r="103" spans="1:36" s="46" customFormat="1" x14ac:dyDescent="0.15">
      <c r="A103" s="566">
        <v>1618</v>
      </c>
      <c r="B103" s="566">
        <v>972</v>
      </c>
      <c r="C103" s="567"/>
      <c r="D103" s="566">
        <v>1025</v>
      </c>
      <c r="E103" s="567"/>
      <c r="F103" s="568" t="s">
        <v>140</v>
      </c>
      <c r="G103" s="569">
        <v>46104</v>
      </c>
      <c r="H103" s="569">
        <v>46150</v>
      </c>
      <c r="I103" s="569"/>
      <c r="J103" s="581"/>
      <c r="K103" s="571">
        <v>46149</v>
      </c>
      <c r="L103" s="572">
        <v>46135</v>
      </c>
      <c r="M103" s="573">
        <v>46150</v>
      </c>
      <c r="N103" s="570"/>
      <c r="O103" s="574" t="s">
        <v>1028</v>
      </c>
      <c r="P103" s="574" t="s">
        <v>1028</v>
      </c>
      <c r="Q103" s="574" t="s">
        <v>1028</v>
      </c>
      <c r="R103" s="574" t="s">
        <v>1028</v>
      </c>
      <c r="S103" s="574" t="s">
        <v>1028</v>
      </c>
      <c r="T103" s="574" t="s">
        <v>1028</v>
      </c>
      <c r="U103" s="574" t="s">
        <v>1028</v>
      </c>
      <c r="V103" s="574" t="s">
        <v>1028</v>
      </c>
      <c r="W103" s="575" t="s">
        <v>1028</v>
      </c>
      <c r="X103" s="576" t="s">
        <v>1028</v>
      </c>
      <c r="Y103" s="577"/>
      <c r="Z103" s="578" t="s">
        <v>1028</v>
      </c>
      <c r="AA103" s="579" t="s">
        <v>1158</v>
      </c>
      <c r="AB103" s="579" t="s">
        <v>414</v>
      </c>
      <c r="AC103" s="579"/>
      <c r="AD103" s="579" t="s">
        <v>140</v>
      </c>
      <c r="AE103" s="579">
        <v>11</v>
      </c>
      <c r="AF103" s="580">
        <f>H103</f>
        <v>46150</v>
      </c>
      <c r="AG103" s="579">
        <f>A103</f>
        <v>1618</v>
      </c>
      <c r="AH103" s="579"/>
      <c r="AJ103" s="542"/>
    </row>
    <row r="104" spans="1:36" s="46" customFormat="1" x14ac:dyDescent="0.15">
      <c r="A104" s="566">
        <v>1619</v>
      </c>
      <c r="B104" s="566">
        <v>973</v>
      </c>
      <c r="C104" s="567"/>
      <c r="D104" s="566">
        <v>1026</v>
      </c>
      <c r="E104" s="567"/>
      <c r="F104" s="568" t="s">
        <v>140</v>
      </c>
      <c r="G104" s="569">
        <v>46104</v>
      </c>
      <c r="H104" s="569">
        <v>46150</v>
      </c>
      <c r="I104" s="569"/>
      <c r="J104" s="581"/>
      <c r="K104" s="571">
        <v>46149</v>
      </c>
      <c r="L104" s="572">
        <v>46135</v>
      </c>
      <c r="M104" s="573">
        <v>46150</v>
      </c>
      <c r="N104" s="570"/>
      <c r="O104" s="574" t="s">
        <v>1028</v>
      </c>
      <c r="P104" s="574" t="s">
        <v>1028</v>
      </c>
      <c r="Q104" s="574" t="s">
        <v>1028</v>
      </c>
      <c r="R104" s="574" t="s">
        <v>1028</v>
      </c>
      <c r="S104" s="574" t="s">
        <v>1028</v>
      </c>
      <c r="T104" s="574" t="s">
        <v>1028</v>
      </c>
      <c r="U104" s="574" t="s">
        <v>1028</v>
      </c>
      <c r="V104" s="574" t="s">
        <v>1028</v>
      </c>
      <c r="W104" s="575" t="s">
        <v>1028</v>
      </c>
      <c r="X104" s="576" t="s">
        <v>1028</v>
      </c>
      <c r="Y104" s="577"/>
      <c r="Z104" s="578" t="s">
        <v>1028</v>
      </c>
      <c r="AA104" s="579" t="s">
        <v>1159</v>
      </c>
      <c r="AB104" s="579" t="s">
        <v>414</v>
      </c>
      <c r="AC104" s="579"/>
      <c r="AD104" s="579" t="s">
        <v>140</v>
      </c>
      <c r="AE104" s="579">
        <v>11</v>
      </c>
      <c r="AF104" s="580">
        <f>H104</f>
        <v>46150</v>
      </c>
      <c r="AG104" s="579">
        <f>A104</f>
        <v>1619</v>
      </c>
      <c r="AH104" s="579"/>
      <c r="AJ104" s="542"/>
    </row>
    <row r="105" spans="1:36" s="46" customFormat="1" x14ac:dyDescent="0.15">
      <c r="A105" s="566">
        <v>1620</v>
      </c>
      <c r="B105" s="566">
        <v>974</v>
      </c>
      <c r="C105" s="567"/>
      <c r="D105" s="566">
        <v>1027</v>
      </c>
      <c r="E105" s="567"/>
      <c r="F105" s="568" t="s">
        <v>140</v>
      </c>
      <c r="G105" s="569">
        <v>46104</v>
      </c>
      <c r="H105" s="569">
        <v>46150</v>
      </c>
      <c r="I105" s="569"/>
      <c r="J105" s="581"/>
      <c r="K105" s="571">
        <v>46149</v>
      </c>
      <c r="L105" s="572">
        <v>46135</v>
      </c>
      <c r="M105" s="573">
        <v>46150</v>
      </c>
      <c r="N105" s="570"/>
      <c r="O105" s="574" t="s">
        <v>1028</v>
      </c>
      <c r="P105" s="574" t="s">
        <v>1028</v>
      </c>
      <c r="Q105" s="574" t="s">
        <v>1028</v>
      </c>
      <c r="R105" s="574" t="s">
        <v>1028</v>
      </c>
      <c r="S105" s="574" t="s">
        <v>1028</v>
      </c>
      <c r="T105" s="574" t="s">
        <v>1028</v>
      </c>
      <c r="U105" s="574" t="s">
        <v>1028</v>
      </c>
      <c r="V105" s="574" t="s">
        <v>1028</v>
      </c>
      <c r="W105" s="575" t="s">
        <v>1028</v>
      </c>
      <c r="X105" s="576" t="s">
        <v>1028</v>
      </c>
      <c r="Y105" s="577"/>
      <c r="Z105" s="578" t="s">
        <v>1028</v>
      </c>
      <c r="AA105" s="579" t="s">
        <v>1160</v>
      </c>
      <c r="AB105" s="579" t="s">
        <v>414</v>
      </c>
      <c r="AC105" s="579"/>
      <c r="AD105" s="579" t="s">
        <v>140</v>
      </c>
      <c r="AE105" s="579">
        <v>11</v>
      </c>
      <c r="AF105" s="580">
        <f>H105</f>
        <v>46150</v>
      </c>
      <c r="AG105" s="579">
        <f>A105</f>
        <v>1620</v>
      </c>
      <c r="AH105" s="579"/>
      <c r="AJ105" s="542"/>
    </row>
    <row r="106" spans="1:36" s="46" customFormat="1" x14ac:dyDescent="0.15">
      <c r="A106" s="566">
        <v>1621</v>
      </c>
      <c r="B106" s="566">
        <v>975</v>
      </c>
      <c r="C106" s="567"/>
      <c r="D106" s="566">
        <v>1028</v>
      </c>
      <c r="E106" s="567"/>
      <c r="F106" s="568" t="s">
        <v>140</v>
      </c>
      <c r="G106" s="569">
        <v>46104</v>
      </c>
      <c r="H106" s="569">
        <v>46150</v>
      </c>
      <c r="I106" s="569"/>
      <c r="J106" s="581"/>
      <c r="K106" s="571">
        <v>46149</v>
      </c>
      <c r="L106" s="572">
        <v>46135</v>
      </c>
      <c r="M106" s="573">
        <v>46150</v>
      </c>
      <c r="N106" s="570"/>
      <c r="O106" s="574" t="s">
        <v>1028</v>
      </c>
      <c r="P106" s="574" t="s">
        <v>1028</v>
      </c>
      <c r="Q106" s="574" t="s">
        <v>1028</v>
      </c>
      <c r="R106" s="574" t="s">
        <v>1028</v>
      </c>
      <c r="S106" s="574" t="s">
        <v>1028</v>
      </c>
      <c r="T106" s="574" t="s">
        <v>1028</v>
      </c>
      <c r="U106" s="574" t="s">
        <v>1028</v>
      </c>
      <c r="V106" s="574" t="s">
        <v>1028</v>
      </c>
      <c r="W106" s="575" t="s">
        <v>1028</v>
      </c>
      <c r="X106" s="576" t="s">
        <v>1028</v>
      </c>
      <c r="Y106" s="577"/>
      <c r="Z106" s="578" t="s">
        <v>1028</v>
      </c>
      <c r="AA106" s="579" t="s">
        <v>1161</v>
      </c>
      <c r="AB106" s="579" t="s">
        <v>414</v>
      </c>
      <c r="AC106" s="579"/>
      <c r="AD106" s="579" t="s">
        <v>140</v>
      </c>
      <c r="AE106" s="579">
        <v>11</v>
      </c>
      <c r="AF106" s="580">
        <f>H106</f>
        <v>46150</v>
      </c>
      <c r="AG106" s="579">
        <f>A106</f>
        <v>1621</v>
      </c>
      <c r="AH106" s="579"/>
      <c r="AJ106" s="542"/>
    </row>
    <row r="107" spans="1:36" s="46" customFormat="1" x14ac:dyDescent="0.15">
      <c r="A107" s="566">
        <v>1622</v>
      </c>
      <c r="B107" s="566">
        <v>976</v>
      </c>
      <c r="C107" s="567"/>
      <c r="D107" s="566">
        <v>1029</v>
      </c>
      <c r="E107" s="567"/>
      <c r="F107" s="568" t="s">
        <v>140</v>
      </c>
      <c r="G107" s="569">
        <v>46104</v>
      </c>
      <c r="H107" s="569">
        <v>46153</v>
      </c>
      <c r="I107" s="569"/>
      <c r="J107" s="581"/>
      <c r="K107" s="571">
        <v>46150</v>
      </c>
      <c r="L107" s="572">
        <v>46136</v>
      </c>
      <c r="M107" s="573">
        <v>46153</v>
      </c>
      <c r="N107" s="570"/>
      <c r="O107" s="574" t="s">
        <v>1028</v>
      </c>
      <c r="P107" s="574" t="s">
        <v>1028</v>
      </c>
      <c r="Q107" s="574" t="s">
        <v>1028</v>
      </c>
      <c r="R107" s="574" t="s">
        <v>1028</v>
      </c>
      <c r="S107" s="574" t="s">
        <v>1028</v>
      </c>
      <c r="T107" s="574" t="s">
        <v>1028</v>
      </c>
      <c r="U107" s="574" t="s">
        <v>1028</v>
      </c>
      <c r="V107" s="574" t="s">
        <v>1028</v>
      </c>
      <c r="W107" s="575" t="s">
        <v>1028</v>
      </c>
      <c r="X107" s="576" t="s">
        <v>1028</v>
      </c>
      <c r="Y107" s="577"/>
      <c r="Z107" s="578" t="s">
        <v>1028</v>
      </c>
      <c r="AA107" s="579" t="s">
        <v>1162</v>
      </c>
      <c r="AB107" s="579" t="s">
        <v>414</v>
      </c>
      <c r="AC107" s="579"/>
      <c r="AD107" s="579" t="s">
        <v>140</v>
      </c>
      <c r="AE107" s="579">
        <v>11</v>
      </c>
      <c r="AF107" s="580">
        <f>H107</f>
        <v>46153</v>
      </c>
      <c r="AG107" s="579">
        <f>A107</f>
        <v>1622</v>
      </c>
      <c r="AH107" s="579"/>
      <c r="AJ107" s="542"/>
    </row>
    <row r="108" spans="1:36" s="46" customFormat="1" x14ac:dyDescent="0.15">
      <c r="A108" s="566">
        <v>1623</v>
      </c>
      <c r="B108" s="566">
        <v>977</v>
      </c>
      <c r="C108" s="567"/>
      <c r="D108" s="566">
        <v>1030</v>
      </c>
      <c r="E108" s="567"/>
      <c r="F108" s="568" t="s">
        <v>140</v>
      </c>
      <c r="G108" s="569">
        <v>46104</v>
      </c>
      <c r="H108" s="569">
        <v>46153</v>
      </c>
      <c r="I108" s="569"/>
      <c r="J108" s="581"/>
      <c r="K108" s="571">
        <v>46150</v>
      </c>
      <c r="L108" s="572">
        <v>46136</v>
      </c>
      <c r="M108" s="573">
        <v>46153</v>
      </c>
      <c r="N108" s="570"/>
      <c r="O108" s="574" t="s">
        <v>1028</v>
      </c>
      <c r="P108" s="574" t="s">
        <v>1028</v>
      </c>
      <c r="Q108" s="574" t="s">
        <v>1028</v>
      </c>
      <c r="R108" s="574" t="s">
        <v>1028</v>
      </c>
      <c r="S108" s="574" t="s">
        <v>1028</v>
      </c>
      <c r="T108" s="574" t="s">
        <v>1028</v>
      </c>
      <c r="U108" s="574" t="s">
        <v>1028</v>
      </c>
      <c r="V108" s="574" t="s">
        <v>1028</v>
      </c>
      <c r="W108" s="575" t="s">
        <v>1028</v>
      </c>
      <c r="X108" s="576" t="s">
        <v>1028</v>
      </c>
      <c r="Y108" s="577"/>
      <c r="Z108" s="578" t="s">
        <v>1028</v>
      </c>
      <c r="AA108" s="579" t="s">
        <v>1163</v>
      </c>
      <c r="AB108" s="579" t="s">
        <v>414</v>
      </c>
      <c r="AC108" s="579"/>
      <c r="AD108" s="579" t="s">
        <v>140</v>
      </c>
      <c r="AE108" s="579">
        <v>11</v>
      </c>
      <c r="AF108" s="580">
        <f>H108</f>
        <v>46153</v>
      </c>
      <c r="AG108" s="579">
        <f>A108</f>
        <v>1623</v>
      </c>
      <c r="AH108" s="579"/>
      <c r="AJ108" s="542"/>
    </row>
    <row r="109" spans="1:36" s="46" customFormat="1" x14ac:dyDescent="0.15">
      <c r="A109" s="566">
        <v>1624</v>
      </c>
      <c r="B109" s="566">
        <v>978</v>
      </c>
      <c r="C109" s="567"/>
      <c r="D109" s="566">
        <v>1031</v>
      </c>
      <c r="E109" s="567"/>
      <c r="F109" s="568" t="s">
        <v>140</v>
      </c>
      <c r="G109" s="569">
        <v>46104</v>
      </c>
      <c r="H109" s="569">
        <v>46153</v>
      </c>
      <c r="I109" s="569"/>
      <c r="J109" s="581"/>
      <c r="K109" s="571">
        <v>46150</v>
      </c>
      <c r="L109" s="572">
        <v>46136</v>
      </c>
      <c r="M109" s="573">
        <v>46153</v>
      </c>
      <c r="N109" s="570"/>
      <c r="O109" s="574" t="s">
        <v>1028</v>
      </c>
      <c r="P109" s="574" t="s">
        <v>1028</v>
      </c>
      <c r="Q109" s="574" t="s">
        <v>1028</v>
      </c>
      <c r="R109" s="574" t="s">
        <v>1028</v>
      </c>
      <c r="S109" s="574" t="s">
        <v>1028</v>
      </c>
      <c r="T109" s="574" t="s">
        <v>1028</v>
      </c>
      <c r="U109" s="574" t="s">
        <v>1028</v>
      </c>
      <c r="V109" s="574" t="s">
        <v>1028</v>
      </c>
      <c r="W109" s="575" t="s">
        <v>1028</v>
      </c>
      <c r="X109" s="576" t="s">
        <v>1028</v>
      </c>
      <c r="Y109" s="577"/>
      <c r="Z109" s="578" t="s">
        <v>1028</v>
      </c>
      <c r="AA109" s="579" t="s">
        <v>1164</v>
      </c>
      <c r="AB109" s="579" t="s">
        <v>414</v>
      </c>
      <c r="AC109" s="579"/>
      <c r="AD109" s="579" t="s">
        <v>140</v>
      </c>
      <c r="AE109" s="579">
        <v>11</v>
      </c>
      <c r="AF109" s="580">
        <f>H109</f>
        <v>46153</v>
      </c>
      <c r="AG109" s="579">
        <f>A109</f>
        <v>1624</v>
      </c>
      <c r="AH109" s="579"/>
      <c r="AJ109" s="542"/>
    </row>
    <row r="110" spans="1:36" s="46" customFormat="1" x14ac:dyDescent="0.15">
      <c r="A110" s="566">
        <v>1625</v>
      </c>
      <c r="B110" s="566">
        <v>979</v>
      </c>
      <c r="C110" s="567"/>
      <c r="D110" s="566">
        <v>1032</v>
      </c>
      <c r="E110" s="567"/>
      <c r="F110" s="568" t="s">
        <v>140</v>
      </c>
      <c r="G110" s="569">
        <v>46104</v>
      </c>
      <c r="H110" s="569">
        <v>46153</v>
      </c>
      <c r="I110" s="569"/>
      <c r="J110" s="581"/>
      <c r="K110" s="571">
        <v>46150</v>
      </c>
      <c r="L110" s="572">
        <v>46136</v>
      </c>
      <c r="M110" s="573">
        <v>46153</v>
      </c>
      <c r="N110" s="570"/>
      <c r="O110" s="574" t="s">
        <v>1028</v>
      </c>
      <c r="P110" s="574" t="s">
        <v>1028</v>
      </c>
      <c r="Q110" s="574" t="s">
        <v>1028</v>
      </c>
      <c r="R110" s="574" t="s">
        <v>1028</v>
      </c>
      <c r="S110" s="574" t="s">
        <v>1028</v>
      </c>
      <c r="T110" s="574" t="s">
        <v>1028</v>
      </c>
      <c r="U110" s="574" t="s">
        <v>1028</v>
      </c>
      <c r="V110" s="574" t="s">
        <v>1028</v>
      </c>
      <c r="W110" s="575" t="s">
        <v>1028</v>
      </c>
      <c r="X110" s="576" t="s">
        <v>1028</v>
      </c>
      <c r="Y110" s="577"/>
      <c r="Z110" s="578" t="s">
        <v>1028</v>
      </c>
      <c r="AA110" s="579" t="s">
        <v>1165</v>
      </c>
      <c r="AB110" s="579" t="s">
        <v>414</v>
      </c>
      <c r="AC110" s="579"/>
      <c r="AD110" s="579" t="s">
        <v>140</v>
      </c>
      <c r="AE110" s="579">
        <v>11</v>
      </c>
      <c r="AF110" s="580">
        <f>H110</f>
        <v>46153</v>
      </c>
      <c r="AG110" s="579">
        <f>A110</f>
        <v>1625</v>
      </c>
      <c r="AH110" s="579"/>
      <c r="AJ110" s="542"/>
    </row>
    <row r="111" spans="1:36" s="46" customFormat="1" x14ac:dyDescent="0.15">
      <c r="A111" s="566">
        <v>1626</v>
      </c>
      <c r="B111" s="566">
        <v>980</v>
      </c>
      <c r="C111" s="567"/>
      <c r="D111" s="566">
        <v>1033</v>
      </c>
      <c r="E111" s="567"/>
      <c r="F111" s="568" t="s">
        <v>140</v>
      </c>
      <c r="G111" s="569">
        <v>46104</v>
      </c>
      <c r="H111" s="569">
        <v>46153</v>
      </c>
      <c r="I111" s="569"/>
      <c r="J111" s="581"/>
      <c r="K111" s="571">
        <v>46150</v>
      </c>
      <c r="L111" s="572">
        <v>46136</v>
      </c>
      <c r="M111" s="573">
        <v>46153</v>
      </c>
      <c r="N111" s="570"/>
      <c r="O111" s="574" t="s">
        <v>1028</v>
      </c>
      <c r="P111" s="574" t="s">
        <v>1028</v>
      </c>
      <c r="Q111" s="574" t="s">
        <v>1028</v>
      </c>
      <c r="R111" s="574" t="s">
        <v>1028</v>
      </c>
      <c r="S111" s="574" t="s">
        <v>1028</v>
      </c>
      <c r="T111" s="574" t="s">
        <v>1028</v>
      </c>
      <c r="U111" s="574" t="s">
        <v>1028</v>
      </c>
      <c r="V111" s="574" t="s">
        <v>1028</v>
      </c>
      <c r="W111" s="575" t="s">
        <v>1028</v>
      </c>
      <c r="X111" s="576" t="s">
        <v>1028</v>
      </c>
      <c r="Y111" s="577"/>
      <c r="Z111" s="578" t="s">
        <v>1028</v>
      </c>
      <c r="AA111" s="579" t="s">
        <v>1166</v>
      </c>
      <c r="AB111" s="579" t="s">
        <v>414</v>
      </c>
      <c r="AC111" s="579"/>
      <c r="AD111" s="579" t="s">
        <v>140</v>
      </c>
      <c r="AE111" s="579">
        <v>11</v>
      </c>
      <c r="AF111" s="580">
        <f>H111</f>
        <v>46153</v>
      </c>
      <c r="AG111" s="579">
        <f>A111</f>
        <v>1626</v>
      </c>
      <c r="AH111" s="579"/>
      <c r="AJ111" s="542"/>
    </row>
    <row r="112" spans="1:36" s="46" customFormat="1" x14ac:dyDescent="0.15">
      <c r="A112" s="566">
        <v>1627</v>
      </c>
      <c r="B112" s="566">
        <v>981</v>
      </c>
      <c r="C112" s="567"/>
      <c r="D112" s="566">
        <v>1034</v>
      </c>
      <c r="E112" s="567"/>
      <c r="F112" s="568" t="s">
        <v>140</v>
      </c>
      <c r="G112" s="569">
        <v>46104</v>
      </c>
      <c r="H112" s="569">
        <v>46154</v>
      </c>
      <c r="I112" s="569"/>
      <c r="J112" s="581"/>
      <c r="K112" s="571">
        <v>46153</v>
      </c>
      <c r="L112" s="572">
        <v>46139</v>
      </c>
      <c r="M112" s="573">
        <v>46154</v>
      </c>
      <c r="N112" s="570"/>
      <c r="O112" s="574" t="s">
        <v>1028</v>
      </c>
      <c r="P112" s="574" t="s">
        <v>1028</v>
      </c>
      <c r="Q112" s="574" t="s">
        <v>1028</v>
      </c>
      <c r="R112" s="574" t="s">
        <v>1028</v>
      </c>
      <c r="S112" s="574" t="s">
        <v>1028</v>
      </c>
      <c r="T112" s="574" t="s">
        <v>1028</v>
      </c>
      <c r="U112" s="574" t="s">
        <v>1028</v>
      </c>
      <c r="V112" s="574" t="s">
        <v>1028</v>
      </c>
      <c r="W112" s="575" t="s">
        <v>1028</v>
      </c>
      <c r="X112" s="576" t="s">
        <v>1028</v>
      </c>
      <c r="Y112" s="577"/>
      <c r="Z112" s="578" t="s">
        <v>1028</v>
      </c>
      <c r="AA112" s="579" t="s">
        <v>1167</v>
      </c>
      <c r="AB112" s="579" t="s">
        <v>414</v>
      </c>
      <c r="AC112" s="579"/>
      <c r="AD112" s="579" t="s">
        <v>140</v>
      </c>
      <c r="AE112" s="579">
        <v>11</v>
      </c>
      <c r="AF112" s="580">
        <f>H112</f>
        <v>46154</v>
      </c>
      <c r="AG112" s="579">
        <f>A112</f>
        <v>1627</v>
      </c>
      <c r="AH112" s="579"/>
      <c r="AJ112" s="542"/>
    </row>
    <row r="113" spans="1:36" s="46" customFormat="1" x14ac:dyDescent="0.15">
      <c r="A113" s="566">
        <v>1628</v>
      </c>
      <c r="B113" s="566">
        <v>982</v>
      </c>
      <c r="C113" s="567"/>
      <c r="D113" s="566">
        <v>1035</v>
      </c>
      <c r="E113" s="567"/>
      <c r="F113" s="568" t="s">
        <v>140</v>
      </c>
      <c r="G113" s="569">
        <v>46104</v>
      </c>
      <c r="H113" s="569">
        <v>46154</v>
      </c>
      <c r="I113" s="569"/>
      <c r="J113" s="581"/>
      <c r="K113" s="571">
        <v>46153</v>
      </c>
      <c r="L113" s="572">
        <v>46139</v>
      </c>
      <c r="M113" s="573">
        <v>46154</v>
      </c>
      <c r="N113" s="570"/>
      <c r="O113" s="574" t="s">
        <v>1028</v>
      </c>
      <c r="P113" s="574" t="s">
        <v>1028</v>
      </c>
      <c r="Q113" s="574" t="s">
        <v>1028</v>
      </c>
      <c r="R113" s="574" t="s">
        <v>1028</v>
      </c>
      <c r="S113" s="574" t="s">
        <v>1028</v>
      </c>
      <c r="T113" s="574" t="s">
        <v>1028</v>
      </c>
      <c r="U113" s="574" t="s">
        <v>1028</v>
      </c>
      <c r="V113" s="574" t="s">
        <v>1028</v>
      </c>
      <c r="W113" s="575" t="s">
        <v>1028</v>
      </c>
      <c r="X113" s="576" t="s">
        <v>1028</v>
      </c>
      <c r="Y113" s="577"/>
      <c r="Z113" s="578" t="s">
        <v>1028</v>
      </c>
      <c r="AA113" s="579" t="s">
        <v>1168</v>
      </c>
      <c r="AB113" s="579" t="s">
        <v>414</v>
      </c>
      <c r="AC113" s="579"/>
      <c r="AD113" s="579" t="s">
        <v>140</v>
      </c>
      <c r="AE113" s="579">
        <v>11</v>
      </c>
      <c r="AF113" s="580">
        <f>H113</f>
        <v>46154</v>
      </c>
      <c r="AG113" s="579">
        <f>A113</f>
        <v>1628</v>
      </c>
      <c r="AH113" s="579"/>
      <c r="AJ113" s="542"/>
    </row>
    <row r="114" spans="1:36" s="46" customFormat="1" x14ac:dyDescent="0.15">
      <c r="A114" s="566">
        <v>1629</v>
      </c>
      <c r="B114" s="566">
        <v>983</v>
      </c>
      <c r="C114" s="567"/>
      <c r="D114" s="566">
        <v>1036</v>
      </c>
      <c r="E114" s="567"/>
      <c r="F114" s="568" t="s">
        <v>140</v>
      </c>
      <c r="G114" s="569">
        <v>46104</v>
      </c>
      <c r="H114" s="569">
        <v>46154</v>
      </c>
      <c r="I114" s="569"/>
      <c r="J114" s="581"/>
      <c r="K114" s="571">
        <v>46153</v>
      </c>
      <c r="L114" s="572">
        <v>46139</v>
      </c>
      <c r="M114" s="573">
        <v>46154</v>
      </c>
      <c r="N114" s="570"/>
      <c r="O114" s="574" t="s">
        <v>1028</v>
      </c>
      <c r="P114" s="574" t="s">
        <v>1028</v>
      </c>
      <c r="Q114" s="574" t="s">
        <v>1028</v>
      </c>
      <c r="R114" s="574" t="s">
        <v>1028</v>
      </c>
      <c r="S114" s="574" t="s">
        <v>1028</v>
      </c>
      <c r="T114" s="574" t="s">
        <v>1028</v>
      </c>
      <c r="U114" s="574" t="s">
        <v>1028</v>
      </c>
      <c r="V114" s="574" t="s">
        <v>1028</v>
      </c>
      <c r="W114" s="575" t="s">
        <v>1028</v>
      </c>
      <c r="X114" s="576" t="s">
        <v>1028</v>
      </c>
      <c r="Y114" s="577"/>
      <c r="Z114" s="578" t="s">
        <v>1028</v>
      </c>
      <c r="AA114" s="579" t="s">
        <v>1169</v>
      </c>
      <c r="AB114" s="579" t="s">
        <v>414</v>
      </c>
      <c r="AC114" s="579"/>
      <c r="AD114" s="579" t="s">
        <v>140</v>
      </c>
      <c r="AE114" s="579">
        <v>11</v>
      </c>
      <c r="AF114" s="580">
        <f>H114</f>
        <v>46154</v>
      </c>
      <c r="AG114" s="579">
        <f>A114</f>
        <v>1629</v>
      </c>
      <c r="AH114" s="579"/>
      <c r="AJ114" s="542"/>
    </row>
    <row r="115" spans="1:36" s="46" customFormat="1" x14ac:dyDescent="0.15">
      <c r="A115" s="566">
        <v>1630</v>
      </c>
      <c r="B115" s="566">
        <v>984</v>
      </c>
      <c r="C115" s="567"/>
      <c r="D115" s="566">
        <v>1037</v>
      </c>
      <c r="E115" s="567"/>
      <c r="F115" s="568" t="s">
        <v>140</v>
      </c>
      <c r="G115" s="569">
        <v>46104</v>
      </c>
      <c r="H115" s="569">
        <v>46154</v>
      </c>
      <c r="I115" s="569"/>
      <c r="J115" s="581"/>
      <c r="K115" s="571">
        <v>46153</v>
      </c>
      <c r="L115" s="572">
        <v>46139</v>
      </c>
      <c r="M115" s="573">
        <v>46154</v>
      </c>
      <c r="N115" s="570"/>
      <c r="O115" s="574" t="s">
        <v>1028</v>
      </c>
      <c r="P115" s="574" t="s">
        <v>1028</v>
      </c>
      <c r="Q115" s="574" t="s">
        <v>1028</v>
      </c>
      <c r="R115" s="574" t="s">
        <v>1028</v>
      </c>
      <c r="S115" s="574" t="s">
        <v>1028</v>
      </c>
      <c r="T115" s="574" t="s">
        <v>1028</v>
      </c>
      <c r="U115" s="574" t="s">
        <v>1028</v>
      </c>
      <c r="V115" s="574" t="s">
        <v>1028</v>
      </c>
      <c r="W115" s="575" t="s">
        <v>1028</v>
      </c>
      <c r="X115" s="576" t="s">
        <v>1028</v>
      </c>
      <c r="Y115" s="577"/>
      <c r="Z115" s="578" t="s">
        <v>1028</v>
      </c>
      <c r="AA115" s="579" t="s">
        <v>1170</v>
      </c>
      <c r="AB115" s="579" t="s">
        <v>414</v>
      </c>
      <c r="AC115" s="579"/>
      <c r="AD115" s="579" t="s">
        <v>140</v>
      </c>
      <c r="AE115" s="579">
        <v>11</v>
      </c>
      <c r="AF115" s="580">
        <f>H115</f>
        <v>46154</v>
      </c>
      <c r="AG115" s="579">
        <f>A115</f>
        <v>1630</v>
      </c>
      <c r="AH115" s="579"/>
      <c r="AJ115" s="542"/>
    </row>
    <row r="116" spans="1:36" s="46" customFormat="1" x14ac:dyDescent="0.15">
      <c r="A116" s="566">
        <v>1631</v>
      </c>
      <c r="B116" s="566">
        <v>985</v>
      </c>
      <c r="C116" s="567"/>
      <c r="D116" s="566">
        <v>1038</v>
      </c>
      <c r="E116" s="567"/>
      <c r="F116" s="568" t="s">
        <v>140</v>
      </c>
      <c r="G116" s="569">
        <v>46104</v>
      </c>
      <c r="H116" s="569">
        <v>46154</v>
      </c>
      <c r="I116" s="569"/>
      <c r="J116" s="581"/>
      <c r="K116" s="571">
        <v>46153</v>
      </c>
      <c r="L116" s="572">
        <v>46139</v>
      </c>
      <c r="M116" s="573">
        <v>46154</v>
      </c>
      <c r="N116" s="570"/>
      <c r="O116" s="574" t="s">
        <v>1028</v>
      </c>
      <c r="P116" s="574" t="s">
        <v>1028</v>
      </c>
      <c r="Q116" s="574" t="s">
        <v>1028</v>
      </c>
      <c r="R116" s="574" t="s">
        <v>1028</v>
      </c>
      <c r="S116" s="574" t="s">
        <v>1028</v>
      </c>
      <c r="T116" s="574" t="s">
        <v>1028</v>
      </c>
      <c r="U116" s="574" t="s">
        <v>1028</v>
      </c>
      <c r="V116" s="574" t="s">
        <v>1028</v>
      </c>
      <c r="W116" s="575" t="s">
        <v>1028</v>
      </c>
      <c r="X116" s="576" t="s">
        <v>1028</v>
      </c>
      <c r="Y116" s="577"/>
      <c r="Z116" s="578" t="s">
        <v>1028</v>
      </c>
      <c r="AA116" s="579" t="s">
        <v>1171</v>
      </c>
      <c r="AB116" s="579" t="s">
        <v>414</v>
      </c>
      <c r="AC116" s="579"/>
      <c r="AD116" s="579" t="s">
        <v>140</v>
      </c>
      <c r="AE116" s="579">
        <v>11</v>
      </c>
      <c r="AF116" s="580">
        <f>H116</f>
        <v>46154</v>
      </c>
      <c r="AG116" s="579">
        <f>A116</f>
        <v>1631</v>
      </c>
      <c r="AH116" s="579"/>
      <c r="AJ116" s="542"/>
    </row>
    <row r="117" spans="1:36" s="46" customFormat="1" x14ac:dyDescent="0.15">
      <c r="A117" s="566">
        <v>1632</v>
      </c>
      <c r="B117" s="566">
        <v>986</v>
      </c>
      <c r="C117" s="567"/>
      <c r="D117" s="566">
        <v>1039</v>
      </c>
      <c r="E117" s="567"/>
      <c r="F117" s="568" t="s">
        <v>140</v>
      </c>
      <c r="G117" s="569">
        <v>46135</v>
      </c>
      <c r="H117" s="569">
        <v>46155</v>
      </c>
      <c r="I117" s="569"/>
      <c r="J117" s="581"/>
      <c r="K117" s="571">
        <v>46154</v>
      </c>
      <c r="L117" s="572">
        <v>46140</v>
      </c>
      <c r="M117" s="573">
        <v>46155</v>
      </c>
      <c r="N117" s="570"/>
      <c r="O117" s="574" t="s">
        <v>1028</v>
      </c>
      <c r="P117" s="574" t="s">
        <v>1028</v>
      </c>
      <c r="Q117" s="574" t="s">
        <v>1028</v>
      </c>
      <c r="R117" s="574" t="s">
        <v>1028</v>
      </c>
      <c r="S117" s="574" t="s">
        <v>1028</v>
      </c>
      <c r="T117" s="574" t="s">
        <v>1028</v>
      </c>
      <c r="U117" s="574" t="s">
        <v>1028</v>
      </c>
      <c r="V117" s="574" t="s">
        <v>1028</v>
      </c>
      <c r="W117" s="575" t="s">
        <v>1028</v>
      </c>
      <c r="X117" s="576" t="s">
        <v>1028</v>
      </c>
      <c r="Y117" s="577"/>
      <c r="Z117" s="578" t="s">
        <v>1028</v>
      </c>
      <c r="AA117" s="579" t="s">
        <v>1172</v>
      </c>
      <c r="AB117" s="579" t="s">
        <v>414</v>
      </c>
      <c r="AC117" s="579"/>
      <c r="AD117" s="579" t="s">
        <v>140</v>
      </c>
      <c r="AE117" s="579">
        <v>11</v>
      </c>
      <c r="AF117" s="580">
        <f>H117</f>
        <v>46155</v>
      </c>
      <c r="AG117" s="579">
        <f>A117</f>
        <v>1632</v>
      </c>
      <c r="AH117" s="579"/>
      <c r="AJ117" s="542"/>
    </row>
    <row r="118" spans="1:36" s="46" customFormat="1" x14ac:dyDescent="0.15">
      <c r="A118" s="566">
        <v>1633</v>
      </c>
      <c r="B118" s="566">
        <v>987</v>
      </c>
      <c r="C118" s="567"/>
      <c r="D118" s="566">
        <v>1040</v>
      </c>
      <c r="E118" s="567"/>
      <c r="F118" s="568" t="s">
        <v>140</v>
      </c>
      <c r="G118" s="569">
        <v>46135</v>
      </c>
      <c r="H118" s="569">
        <v>46155</v>
      </c>
      <c r="I118" s="569"/>
      <c r="J118" s="581"/>
      <c r="K118" s="571">
        <v>46154</v>
      </c>
      <c r="L118" s="572">
        <v>46140</v>
      </c>
      <c r="M118" s="573">
        <v>46155</v>
      </c>
      <c r="N118" s="570"/>
      <c r="O118" s="574" t="s">
        <v>1028</v>
      </c>
      <c r="P118" s="574" t="s">
        <v>1028</v>
      </c>
      <c r="Q118" s="574" t="s">
        <v>1028</v>
      </c>
      <c r="R118" s="574" t="s">
        <v>1028</v>
      </c>
      <c r="S118" s="574" t="s">
        <v>1028</v>
      </c>
      <c r="T118" s="574" t="s">
        <v>1028</v>
      </c>
      <c r="U118" s="574" t="s">
        <v>1028</v>
      </c>
      <c r="V118" s="574" t="s">
        <v>1028</v>
      </c>
      <c r="W118" s="575" t="s">
        <v>1028</v>
      </c>
      <c r="X118" s="576" t="s">
        <v>1028</v>
      </c>
      <c r="Y118" s="577"/>
      <c r="Z118" s="578" t="s">
        <v>1028</v>
      </c>
      <c r="AA118" s="579" t="s">
        <v>1173</v>
      </c>
      <c r="AB118" s="579" t="s">
        <v>414</v>
      </c>
      <c r="AC118" s="579"/>
      <c r="AD118" s="579" t="s">
        <v>140</v>
      </c>
      <c r="AE118" s="579">
        <v>11</v>
      </c>
      <c r="AF118" s="580">
        <f>H118</f>
        <v>46155</v>
      </c>
      <c r="AG118" s="579">
        <f>A118</f>
        <v>1633</v>
      </c>
      <c r="AH118" s="579"/>
      <c r="AJ118" s="542"/>
    </row>
    <row r="119" spans="1:36" s="46" customFormat="1" x14ac:dyDescent="0.15">
      <c r="A119" s="566">
        <v>1634</v>
      </c>
      <c r="B119" s="566">
        <v>988</v>
      </c>
      <c r="C119" s="567"/>
      <c r="D119" s="566">
        <v>1041</v>
      </c>
      <c r="E119" s="567"/>
      <c r="F119" s="568" t="s">
        <v>140</v>
      </c>
      <c r="G119" s="569">
        <v>46135</v>
      </c>
      <c r="H119" s="569">
        <v>46155</v>
      </c>
      <c r="I119" s="569"/>
      <c r="J119" s="581"/>
      <c r="K119" s="571">
        <v>46154</v>
      </c>
      <c r="L119" s="572">
        <v>46140</v>
      </c>
      <c r="M119" s="573">
        <v>46155</v>
      </c>
      <c r="N119" s="570"/>
      <c r="O119" s="574" t="s">
        <v>1028</v>
      </c>
      <c r="P119" s="574" t="s">
        <v>1028</v>
      </c>
      <c r="Q119" s="574" t="s">
        <v>1028</v>
      </c>
      <c r="R119" s="574" t="s">
        <v>1028</v>
      </c>
      <c r="S119" s="574" t="s">
        <v>1028</v>
      </c>
      <c r="T119" s="574" t="s">
        <v>1028</v>
      </c>
      <c r="U119" s="574" t="s">
        <v>1028</v>
      </c>
      <c r="V119" s="574" t="s">
        <v>1028</v>
      </c>
      <c r="W119" s="575" t="s">
        <v>1028</v>
      </c>
      <c r="X119" s="576" t="s">
        <v>1028</v>
      </c>
      <c r="Y119" s="577"/>
      <c r="Z119" s="578" t="s">
        <v>1028</v>
      </c>
      <c r="AA119" s="579" t="s">
        <v>1174</v>
      </c>
      <c r="AB119" s="579" t="s">
        <v>414</v>
      </c>
      <c r="AC119" s="579"/>
      <c r="AD119" s="579" t="s">
        <v>140</v>
      </c>
      <c r="AE119" s="579">
        <v>11</v>
      </c>
      <c r="AF119" s="580">
        <f>H119</f>
        <v>46155</v>
      </c>
      <c r="AG119" s="579">
        <f>A119</f>
        <v>1634</v>
      </c>
      <c r="AH119" s="579"/>
      <c r="AJ119" s="542"/>
    </row>
    <row r="120" spans="1:36" s="46" customFormat="1" x14ac:dyDescent="0.15">
      <c r="A120" s="566">
        <v>1635</v>
      </c>
      <c r="B120" s="566">
        <v>989</v>
      </c>
      <c r="C120" s="567"/>
      <c r="D120" s="566">
        <v>1042</v>
      </c>
      <c r="E120" s="567"/>
      <c r="F120" s="568" t="s">
        <v>140</v>
      </c>
      <c r="G120" s="569">
        <v>46135</v>
      </c>
      <c r="H120" s="569">
        <v>46155</v>
      </c>
      <c r="I120" s="569"/>
      <c r="J120" s="581"/>
      <c r="K120" s="571">
        <v>46154</v>
      </c>
      <c r="L120" s="572">
        <v>46140</v>
      </c>
      <c r="M120" s="573">
        <v>46155</v>
      </c>
      <c r="N120" s="570"/>
      <c r="O120" s="574" t="s">
        <v>1028</v>
      </c>
      <c r="P120" s="574" t="s">
        <v>1028</v>
      </c>
      <c r="Q120" s="574" t="s">
        <v>1028</v>
      </c>
      <c r="R120" s="574" t="s">
        <v>1028</v>
      </c>
      <c r="S120" s="574" t="s">
        <v>1028</v>
      </c>
      <c r="T120" s="574" t="s">
        <v>1028</v>
      </c>
      <c r="U120" s="574" t="s">
        <v>1028</v>
      </c>
      <c r="V120" s="574" t="s">
        <v>1028</v>
      </c>
      <c r="W120" s="575" t="s">
        <v>1028</v>
      </c>
      <c r="X120" s="576" t="s">
        <v>1028</v>
      </c>
      <c r="Y120" s="577"/>
      <c r="Z120" s="578" t="s">
        <v>1028</v>
      </c>
      <c r="AA120" s="579" t="s">
        <v>1175</v>
      </c>
      <c r="AB120" s="579" t="s">
        <v>414</v>
      </c>
      <c r="AC120" s="579"/>
      <c r="AD120" s="579" t="s">
        <v>140</v>
      </c>
      <c r="AE120" s="579">
        <v>11</v>
      </c>
      <c r="AF120" s="580">
        <f>H120</f>
        <v>46155</v>
      </c>
      <c r="AG120" s="579">
        <f>A120</f>
        <v>1635</v>
      </c>
      <c r="AH120" s="579"/>
      <c r="AJ120" s="542"/>
    </row>
    <row r="121" spans="1:36" s="46" customFormat="1" x14ac:dyDescent="0.15">
      <c r="A121" s="566">
        <v>1636</v>
      </c>
      <c r="B121" s="566">
        <v>990</v>
      </c>
      <c r="C121" s="567"/>
      <c r="D121" s="566">
        <v>1043</v>
      </c>
      <c r="E121" s="567"/>
      <c r="F121" s="568" t="s">
        <v>140</v>
      </c>
      <c r="G121" s="569">
        <v>46135</v>
      </c>
      <c r="H121" s="569">
        <v>46155</v>
      </c>
      <c r="I121" s="569"/>
      <c r="J121" s="581"/>
      <c r="K121" s="571">
        <v>46154</v>
      </c>
      <c r="L121" s="572">
        <v>46140</v>
      </c>
      <c r="M121" s="573">
        <v>46155</v>
      </c>
      <c r="N121" s="570"/>
      <c r="O121" s="574" t="s">
        <v>1028</v>
      </c>
      <c r="P121" s="574" t="s">
        <v>1028</v>
      </c>
      <c r="Q121" s="574" t="s">
        <v>1028</v>
      </c>
      <c r="R121" s="574" t="s">
        <v>1028</v>
      </c>
      <c r="S121" s="574" t="s">
        <v>1028</v>
      </c>
      <c r="T121" s="574" t="s">
        <v>1028</v>
      </c>
      <c r="U121" s="574" t="s">
        <v>1028</v>
      </c>
      <c r="V121" s="574" t="s">
        <v>1028</v>
      </c>
      <c r="W121" s="575" t="s">
        <v>1028</v>
      </c>
      <c r="X121" s="576" t="s">
        <v>1028</v>
      </c>
      <c r="Y121" s="577"/>
      <c r="Z121" s="578" t="s">
        <v>1028</v>
      </c>
      <c r="AA121" s="579" t="s">
        <v>1176</v>
      </c>
      <c r="AB121" s="579" t="s">
        <v>414</v>
      </c>
      <c r="AC121" s="579"/>
      <c r="AD121" s="579" t="s">
        <v>140</v>
      </c>
      <c r="AE121" s="579">
        <v>11</v>
      </c>
      <c r="AF121" s="580">
        <f>H121</f>
        <v>46155</v>
      </c>
      <c r="AG121" s="579">
        <f>A121</f>
        <v>1636</v>
      </c>
      <c r="AH121" s="579"/>
      <c r="AJ121" s="542"/>
    </row>
    <row r="122" spans="1:36" s="46" customFormat="1" x14ac:dyDescent="0.15">
      <c r="A122" s="566">
        <v>1637</v>
      </c>
      <c r="B122" s="566">
        <v>991</v>
      </c>
      <c r="C122" s="567"/>
      <c r="D122" s="566">
        <v>1044</v>
      </c>
      <c r="E122" s="567"/>
      <c r="F122" s="568" t="s">
        <v>140</v>
      </c>
      <c r="G122" s="569">
        <v>46135</v>
      </c>
      <c r="H122" s="569">
        <v>46155</v>
      </c>
      <c r="I122" s="569"/>
      <c r="J122" s="581"/>
      <c r="K122" s="571">
        <v>46154</v>
      </c>
      <c r="L122" s="572">
        <v>46140</v>
      </c>
      <c r="M122" s="573">
        <v>46155</v>
      </c>
      <c r="N122" s="570"/>
      <c r="O122" s="574" t="s">
        <v>1028</v>
      </c>
      <c r="P122" s="574" t="s">
        <v>1028</v>
      </c>
      <c r="Q122" s="574" t="s">
        <v>1028</v>
      </c>
      <c r="R122" s="574" t="s">
        <v>1028</v>
      </c>
      <c r="S122" s="574" t="s">
        <v>1028</v>
      </c>
      <c r="T122" s="574" t="s">
        <v>1028</v>
      </c>
      <c r="U122" s="574" t="s">
        <v>1028</v>
      </c>
      <c r="V122" s="574" t="s">
        <v>1028</v>
      </c>
      <c r="W122" s="575" t="s">
        <v>1028</v>
      </c>
      <c r="X122" s="576" t="s">
        <v>1028</v>
      </c>
      <c r="Y122" s="577"/>
      <c r="Z122" s="578" t="s">
        <v>1028</v>
      </c>
      <c r="AA122" s="579" t="s">
        <v>1177</v>
      </c>
      <c r="AB122" s="579" t="s">
        <v>414</v>
      </c>
      <c r="AC122" s="579"/>
      <c r="AD122" s="579" t="s">
        <v>140</v>
      </c>
      <c r="AE122" s="579">
        <v>11</v>
      </c>
      <c r="AF122" s="580">
        <f>H122</f>
        <v>46155</v>
      </c>
      <c r="AG122" s="579">
        <f>A122</f>
        <v>1637</v>
      </c>
      <c r="AH122" s="579"/>
      <c r="AJ122" s="542"/>
    </row>
    <row r="123" spans="1:36" s="46" customFormat="1" x14ac:dyDescent="0.15">
      <c r="A123" s="566">
        <v>1638</v>
      </c>
      <c r="B123" s="566">
        <v>992</v>
      </c>
      <c r="C123" s="567"/>
      <c r="D123" s="566">
        <v>1045</v>
      </c>
      <c r="E123" s="567"/>
      <c r="F123" s="568" t="s">
        <v>140</v>
      </c>
      <c r="G123" s="569">
        <v>46135</v>
      </c>
      <c r="H123" s="569">
        <v>46156</v>
      </c>
      <c r="I123" s="569"/>
      <c r="J123" s="581"/>
      <c r="K123" s="571">
        <v>46155</v>
      </c>
      <c r="L123" s="572">
        <v>46149</v>
      </c>
      <c r="M123" s="573">
        <v>46156</v>
      </c>
      <c r="N123" s="570"/>
      <c r="O123" s="574" t="s">
        <v>1028</v>
      </c>
      <c r="P123" s="574" t="s">
        <v>1028</v>
      </c>
      <c r="Q123" s="574" t="s">
        <v>1028</v>
      </c>
      <c r="R123" s="574" t="s">
        <v>1028</v>
      </c>
      <c r="S123" s="574" t="s">
        <v>1028</v>
      </c>
      <c r="T123" s="574" t="s">
        <v>1028</v>
      </c>
      <c r="U123" s="574" t="s">
        <v>1028</v>
      </c>
      <c r="V123" s="574" t="s">
        <v>1028</v>
      </c>
      <c r="W123" s="575" t="s">
        <v>1028</v>
      </c>
      <c r="X123" s="576" t="s">
        <v>1028</v>
      </c>
      <c r="Y123" s="577"/>
      <c r="Z123" s="578" t="s">
        <v>1028</v>
      </c>
      <c r="AA123" s="579" t="s">
        <v>1178</v>
      </c>
      <c r="AB123" s="579" t="s">
        <v>414</v>
      </c>
      <c r="AC123" s="579"/>
      <c r="AD123" s="579" t="s">
        <v>140</v>
      </c>
      <c r="AE123" s="579">
        <v>11</v>
      </c>
      <c r="AF123" s="580">
        <f>H123</f>
        <v>46156</v>
      </c>
      <c r="AG123" s="579">
        <f>A123</f>
        <v>1638</v>
      </c>
      <c r="AH123" s="579"/>
      <c r="AJ123" s="542"/>
    </row>
    <row r="124" spans="1:36" s="46" customFormat="1" x14ac:dyDescent="0.15">
      <c r="A124" s="566">
        <v>1639</v>
      </c>
      <c r="B124" s="566">
        <v>993</v>
      </c>
      <c r="C124" s="567"/>
      <c r="D124" s="566">
        <v>1046</v>
      </c>
      <c r="E124" s="567"/>
      <c r="F124" s="568" t="s">
        <v>140</v>
      </c>
      <c r="G124" s="569">
        <v>46135</v>
      </c>
      <c r="H124" s="569">
        <v>46156</v>
      </c>
      <c r="I124" s="569"/>
      <c r="J124" s="581"/>
      <c r="K124" s="571">
        <v>46155</v>
      </c>
      <c r="L124" s="572">
        <v>46149</v>
      </c>
      <c r="M124" s="573">
        <v>46156</v>
      </c>
      <c r="N124" s="570"/>
      <c r="O124" s="574" t="s">
        <v>1028</v>
      </c>
      <c r="P124" s="574" t="s">
        <v>1028</v>
      </c>
      <c r="Q124" s="574" t="s">
        <v>1028</v>
      </c>
      <c r="R124" s="574" t="s">
        <v>1028</v>
      </c>
      <c r="S124" s="574" t="s">
        <v>1028</v>
      </c>
      <c r="T124" s="574" t="s">
        <v>1028</v>
      </c>
      <c r="U124" s="574" t="s">
        <v>1028</v>
      </c>
      <c r="V124" s="574" t="s">
        <v>1028</v>
      </c>
      <c r="W124" s="575" t="s">
        <v>1028</v>
      </c>
      <c r="X124" s="576" t="s">
        <v>1028</v>
      </c>
      <c r="Y124" s="577"/>
      <c r="Z124" s="578" t="s">
        <v>1028</v>
      </c>
      <c r="AA124" s="579" t="s">
        <v>1179</v>
      </c>
      <c r="AB124" s="579" t="s">
        <v>414</v>
      </c>
      <c r="AC124" s="579"/>
      <c r="AD124" s="579" t="s">
        <v>140</v>
      </c>
      <c r="AE124" s="579">
        <v>11</v>
      </c>
      <c r="AF124" s="580">
        <f>H124</f>
        <v>46156</v>
      </c>
      <c r="AG124" s="579">
        <f>A124</f>
        <v>1639</v>
      </c>
      <c r="AH124" s="579"/>
      <c r="AJ124" s="542"/>
    </row>
    <row r="125" spans="1:36" s="46" customFormat="1" x14ac:dyDescent="0.15">
      <c r="A125" s="566">
        <v>1640</v>
      </c>
      <c r="B125" s="566">
        <v>994</v>
      </c>
      <c r="C125" s="567"/>
      <c r="D125" s="566">
        <v>1047</v>
      </c>
      <c r="E125" s="567"/>
      <c r="F125" s="568" t="s">
        <v>140</v>
      </c>
      <c r="G125" s="569">
        <v>46135</v>
      </c>
      <c r="H125" s="569">
        <v>46156</v>
      </c>
      <c r="I125" s="569"/>
      <c r="J125" s="581"/>
      <c r="K125" s="571">
        <v>46155</v>
      </c>
      <c r="L125" s="572">
        <v>46149</v>
      </c>
      <c r="M125" s="573">
        <v>46156</v>
      </c>
      <c r="N125" s="570"/>
      <c r="O125" s="574" t="s">
        <v>1028</v>
      </c>
      <c r="P125" s="574" t="s">
        <v>1028</v>
      </c>
      <c r="Q125" s="574" t="s">
        <v>1028</v>
      </c>
      <c r="R125" s="574" t="s">
        <v>1028</v>
      </c>
      <c r="S125" s="574" t="s">
        <v>1028</v>
      </c>
      <c r="T125" s="574" t="s">
        <v>1028</v>
      </c>
      <c r="U125" s="574" t="s">
        <v>1028</v>
      </c>
      <c r="V125" s="574" t="s">
        <v>1028</v>
      </c>
      <c r="W125" s="575" t="s">
        <v>1028</v>
      </c>
      <c r="X125" s="576" t="s">
        <v>1028</v>
      </c>
      <c r="Y125" s="577"/>
      <c r="Z125" s="578" t="s">
        <v>1028</v>
      </c>
      <c r="AA125" s="579" t="s">
        <v>1180</v>
      </c>
      <c r="AB125" s="579" t="s">
        <v>414</v>
      </c>
      <c r="AC125" s="579"/>
      <c r="AD125" s="579" t="s">
        <v>140</v>
      </c>
      <c r="AE125" s="579">
        <v>11</v>
      </c>
      <c r="AF125" s="580">
        <f>H125</f>
        <v>46156</v>
      </c>
      <c r="AG125" s="579">
        <f>A125</f>
        <v>1640</v>
      </c>
      <c r="AH125" s="579"/>
      <c r="AJ125" s="542"/>
    </row>
    <row r="126" spans="1:36" s="46" customFormat="1" x14ac:dyDescent="0.15">
      <c r="A126" s="566">
        <v>1641</v>
      </c>
      <c r="B126" s="566">
        <v>995</v>
      </c>
      <c r="C126" s="567"/>
      <c r="D126" s="566">
        <v>1048</v>
      </c>
      <c r="E126" s="567"/>
      <c r="F126" s="568" t="s">
        <v>140</v>
      </c>
      <c r="G126" s="569">
        <v>46135</v>
      </c>
      <c r="H126" s="569">
        <v>46156</v>
      </c>
      <c r="I126" s="569"/>
      <c r="J126" s="581"/>
      <c r="K126" s="571">
        <v>46155</v>
      </c>
      <c r="L126" s="572">
        <v>46149</v>
      </c>
      <c r="M126" s="573">
        <v>46156</v>
      </c>
      <c r="N126" s="570"/>
      <c r="O126" s="574" t="s">
        <v>1028</v>
      </c>
      <c r="P126" s="574" t="s">
        <v>1028</v>
      </c>
      <c r="Q126" s="574" t="s">
        <v>1028</v>
      </c>
      <c r="R126" s="574" t="s">
        <v>1028</v>
      </c>
      <c r="S126" s="574" t="s">
        <v>1028</v>
      </c>
      <c r="T126" s="574" t="s">
        <v>1028</v>
      </c>
      <c r="U126" s="574" t="s">
        <v>1028</v>
      </c>
      <c r="V126" s="574" t="s">
        <v>1028</v>
      </c>
      <c r="W126" s="575" t="s">
        <v>1028</v>
      </c>
      <c r="X126" s="576" t="s">
        <v>1028</v>
      </c>
      <c r="Y126" s="577"/>
      <c r="Z126" s="578" t="s">
        <v>1028</v>
      </c>
      <c r="AA126" s="579" t="s">
        <v>1181</v>
      </c>
      <c r="AB126" s="579" t="s">
        <v>414</v>
      </c>
      <c r="AC126" s="579"/>
      <c r="AD126" s="579" t="s">
        <v>140</v>
      </c>
      <c r="AE126" s="579">
        <v>11</v>
      </c>
      <c r="AF126" s="580">
        <f>H126</f>
        <v>46156</v>
      </c>
      <c r="AG126" s="579">
        <f>A126</f>
        <v>1641</v>
      </c>
      <c r="AH126" s="579"/>
      <c r="AJ126" s="542"/>
    </row>
    <row r="127" spans="1:36" s="46" customFormat="1" x14ac:dyDescent="0.15">
      <c r="A127" s="566">
        <v>1642</v>
      </c>
      <c r="B127" s="566">
        <v>996</v>
      </c>
      <c r="C127" s="567"/>
      <c r="D127" s="566">
        <v>1049</v>
      </c>
      <c r="E127" s="567"/>
      <c r="F127" s="568" t="s">
        <v>140</v>
      </c>
      <c r="G127" s="569">
        <v>46135</v>
      </c>
      <c r="H127" s="569">
        <v>46156</v>
      </c>
      <c r="I127" s="569"/>
      <c r="J127" s="581"/>
      <c r="K127" s="571">
        <v>46155</v>
      </c>
      <c r="L127" s="572">
        <v>46149</v>
      </c>
      <c r="M127" s="573">
        <v>46156</v>
      </c>
      <c r="N127" s="570"/>
      <c r="O127" s="574" t="s">
        <v>1028</v>
      </c>
      <c r="P127" s="574" t="s">
        <v>1028</v>
      </c>
      <c r="Q127" s="574" t="s">
        <v>1028</v>
      </c>
      <c r="R127" s="574" t="s">
        <v>1028</v>
      </c>
      <c r="S127" s="574" t="s">
        <v>1028</v>
      </c>
      <c r="T127" s="574" t="s">
        <v>1028</v>
      </c>
      <c r="U127" s="574" t="s">
        <v>1028</v>
      </c>
      <c r="V127" s="574" t="s">
        <v>1028</v>
      </c>
      <c r="W127" s="575" t="s">
        <v>1028</v>
      </c>
      <c r="X127" s="576" t="s">
        <v>1028</v>
      </c>
      <c r="Y127" s="577"/>
      <c r="Z127" s="578" t="s">
        <v>1028</v>
      </c>
      <c r="AA127" s="579" t="s">
        <v>1182</v>
      </c>
      <c r="AB127" s="579" t="s">
        <v>414</v>
      </c>
      <c r="AC127" s="579"/>
      <c r="AD127" s="579" t="s">
        <v>140</v>
      </c>
      <c r="AE127" s="579">
        <v>11</v>
      </c>
      <c r="AF127" s="580">
        <f>H127</f>
        <v>46156</v>
      </c>
      <c r="AG127" s="579">
        <f>A127</f>
        <v>1642</v>
      </c>
      <c r="AH127" s="579"/>
      <c r="AJ127" s="542"/>
    </row>
    <row r="128" spans="1:36" s="46" customFormat="1" x14ac:dyDescent="0.15">
      <c r="A128" s="566">
        <v>1643</v>
      </c>
      <c r="B128" s="566">
        <v>997</v>
      </c>
      <c r="C128" s="567"/>
      <c r="D128" s="566">
        <v>1050</v>
      </c>
      <c r="E128" s="567"/>
      <c r="F128" s="568" t="s">
        <v>140</v>
      </c>
      <c r="G128" s="569">
        <v>46135</v>
      </c>
      <c r="H128" s="569">
        <v>46156</v>
      </c>
      <c r="I128" s="569"/>
      <c r="J128" s="581"/>
      <c r="K128" s="571">
        <v>46155</v>
      </c>
      <c r="L128" s="572">
        <v>46149</v>
      </c>
      <c r="M128" s="573">
        <v>46156</v>
      </c>
      <c r="N128" s="570"/>
      <c r="O128" s="574" t="s">
        <v>1028</v>
      </c>
      <c r="P128" s="574" t="s">
        <v>1028</v>
      </c>
      <c r="Q128" s="574" t="s">
        <v>1028</v>
      </c>
      <c r="R128" s="574" t="s">
        <v>1028</v>
      </c>
      <c r="S128" s="574" t="s">
        <v>1028</v>
      </c>
      <c r="T128" s="574" t="s">
        <v>1028</v>
      </c>
      <c r="U128" s="574" t="s">
        <v>1028</v>
      </c>
      <c r="V128" s="574" t="s">
        <v>1028</v>
      </c>
      <c r="W128" s="575" t="s">
        <v>1028</v>
      </c>
      <c r="X128" s="576" t="s">
        <v>1028</v>
      </c>
      <c r="Y128" s="577"/>
      <c r="Z128" s="578" t="s">
        <v>1028</v>
      </c>
      <c r="AA128" s="579" t="s">
        <v>1183</v>
      </c>
      <c r="AB128" s="579" t="s">
        <v>414</v>
      </c>
      <c r="AC128" s="579"/>
      <c r="AD128" s="579" t="s">
        <v>140</v>
      </c>
      <c r="AE128" s="579">
        <v>11</v>
      </c>
      <c r="AF128" s="580">
        <f>H128</f>
        <v>46156</v>
      </c>
      <c r="AG128" s="579">
        <f>A128</f>
        <v>1643</v>
      </c>
      <c r="AH128" s="579"/>
      <c r="AJ128" s="542"/>
    </row>
    <row r="129" spans="1:36" s="46" customFormat="1" x14ac:dyDescent="0.15">
      <c r="A129" s="566">
        <v>1644</v>
      </c>
      <c r="B129" s="566">
        <v>998</v>
      </c>
      <c r="C129" s="567"/>
      <c r="D129" s="566">
        <v>1051</v>
      </c>
      <c r="E129" s="567"/>
      <c r="F129" s="568" t="s">
        <v>140</v>
      </c>
      <c r="G129" s="569">
        <v>46135</v>
      </c>
      <c r="H129" s="569">
        <v>46157</v>
      </c>
      <c r="I129" s="569"/>
      <c r="J129" s="581"/>
      <c r="K129" s="571">
        <v>46156</v>
      </c>
      <c r="L129" s="572">
        <v>46150</v>
      </c>
      <c r="M129" s="573">
        <v>46157</v>
      </c>
      <c r="N129" s="570"/>
      <c r="O129" s="574" t="s">
        <v>1028</v>
      </c>
      <c r="P129" s="574" t="s">
        <v>1028</v>
      </c>
      <c r="Q129" s="574" t="s">
        <v>1028</v>
      </c>
      <c r="R129" s="574" t="s">
        <v>1028</v>
      </c>
      <c r="S129" s="574" t="s">
        <v>1028</v>
      </c>
      <c r="T129" s="574" t="s">
        <v>1028</v>
      </c>
      <c r="U129" s="574" t="s">
        <v>1028</v>
      </c>
      <c r="V129" s="574" t="s">
        <v>1028</v>
      </c>
      <c r="W129" s="575" t="s">
        <v>1028</v>
      </c>
      <c r="X129" s="576" t="s">
        <v>1028</v>
      </c>
      <c r="Y129" s="577"/>
      <c r="Z129" s="578" t="s">
        <v>1028</v>
      </c>
      <c r="AA129" s="579" t="s">
        <v>1184</v>
      </c>
      <c r="AB129" s="579" t="s">
        <v>414</v>
      </c>
      <c r="AC129" s="579"/>
      <c r="AD129" s="579" t="s">
        <v>140</v>
      </c>
      <c r="AE129" s="579">
        <v>11</v>
      </c>
      <c r="AF129" s="580">
        <f>H129</f>
        <v>46157</v>
      </c>
      <c r="AG129" s="579">
        <f>A129</f>
        <v>1644</v>
      </c>
      <c r="AH129" s="579"/>
      <c r="AJ129" s="542"/>
    </row>
    <row r="130" spans="1:36" s="46" customFormat="1" x14ac:dyDescent="0.15">
      <c r="A130" s="566">
        <v>1645</v>
      </c>
      <c r="B130" s="566">
        <v>999</v>
      </c>
      <c r="C130" s="567"/>
      <c r="D130" s="566">
        <v>1052</v>
      </c>
      <c r="E130" s="567"/>
      <c r="F130" s="568" t="s">
        <v>140</v>
      </c>
      <c r="G130" s="569">
        <v>46135</v>
      </c>
      <c r="H130" s="569">
        <v>46157</v>
      </c>
      <c r="I130" s="569"/>
      <c r="J130" s="581"/>
      <c r="K130" s="571">
        <v>46156</v>
      </c>
      <c r="L130" s="572">
        <v>46150</v>
      </c>
      <c r="M130" s="573">
        <v>46157</v>
      </c>
      <c r="N130" s="570"/>
      <c r="O130" s="574" t="s">
        <v>1028</v>
      </c>
      <c r="P130" s="574" t="s">
        <v>1028</v>
      </c>
      <c r="Q130" s="574" t="s">
        <v>1028</v>
      </c>
      <c r="R130" s="574" t="s">
        <v>1028</v>
      </c>
      <c r="S130" s="574" t="s">
        <v>1028</v>
      </c>
      <c r="T130" s="574" t="s">
        <v>1028</v>
      </c>
      <c r="U130" s="574" t="s">
        <v>1028</v>
      </c>
      <c r="V130" s="574" t="s">
        <v>1028</v>
      </c>
      <c r="W130" s="575" t="s">
        <v>1028</v>
      </c>
      <c r="X130" s="576" t="s">
        <v>1028</v>
      </c>
      <c r="Y130" s="577"/>
      <c r="Z130" s="578" t="s">
        <v>1028</v>
      </c>
      <c r="AA130" s="579" t="s">
        <v>1185</v>
      </c>
      <c r="AB130" s="579" t="s">
        <v>414</v>
      </c>
      <c r="AC130" s="579"/>
      <c r="AD130" s="579" t="s">
        <v>140</v>
      </c>
      <c r="AE130" s="579">
        <v>11</v>
      </c>
      <c r="AF130" s="580">
        <f>H130</f>
        <v>46157</v>
      </c>
      <c r="AG130" s="579">
        <f>A130</f>
        <v>1645</v>
      </c>
      <c r="AH130" s="579"/>
      <c r="AJ130" s="542"/>
    </row>
    <row r="131" spans="1:36" s="46" customFormat="1" x14ac:dyDescent="0.15">
      <c r="A131" s="566">
        <v>1646</v>
      </c>
      <c r="B131" s="566">
        <v>1000</v>
      </c>
      <c r="C131" s="567"/>
      <c r="D131" s="566">
        <v>1053</v>
      </c>
      <c r="E131" s="567"/>
      <c r="F131" s="568" t="s">
        <v>140</v>
      </c>
      <c r="G131" s="569">
        <v>46135</v>
      </c>
      <c r="H131" s="569">
        <v>46157</v>
      </c>
      <c r="I131" s="569"/>
      <c r="J131" s="581"/>
      <c r="K131" s="571">
        <v>46156</v>
      </c>
      <c r="L131" s="572">
        <v>46150</v>
      </c>
      <c r="M131" s="573">
        <v>46157</v>
      </c>
      <c r="N131" s="570"/>
      <c r="O131" s="574" t="s">
        <v>1028</v>
      </c>
      <c r="P131" s="574" t="s">
        <v>1028</v>
      </c>
      <c r="Q131" s="574" t="s">
        <v>1028</v>
      </c>
      <c r="R131" s="574" t="s">
        <v>1028</v>
      </c>
      <c r="S131" s="574" t="s">
        <v>1028</v>
      </c>
      <c r="T131" s="574" t="s">
        <v>1028</v>
      </c>
      <c r="U131" s="574" t="s">
        <v>1028</v>
      </c>
      <c r="V131" s="574" t="s">
        <v>1028</v>
      </c>
      <c r="W131" s="575" t="s">
        <v>1028</v>
      </c>
      <c r="X131" s="576" t="s">
        <v>1028</v>
      </c>
      <c r="Y131" s="577"/>
      <c r="Z131" s="578" t="s">
        <v>1028</v>
      </c>
      <c r="AA131" s="579" t="s">
        <v>1186</v>
      </c>
      <c r="AB131" s="579" t="s">
        <v>414</v>
      </c>
      <c r="AC131" s="579"/>
      <c r="AD131" s="579" t="s">
        <v>140</v>
      </c>
      <c r="AE131" s="579">
        <v>11</v>
      </c>
      <c r="AF131" s="580">
        <f>H131</f>
        <v>46157</v>
      </c>
      <c r="AG131" s="579">
        <f>A131</f>
        <v>1646</v>
      </c>
      <c r="AH131" s="579"/>
      <c r="AJ131" s="542"/>
    </row>
    <row r="132" spans="1:36" s="46" customFormat="1" x14ac:dyDescent="0.15">
      <c r="A132" s="566">
        <v>1647</v>
      </c>
      <c r="B132" s="566">
        <v>1001</v>
      </c>
      <c r="C132" s="567"/>
      <c r="D132" s="566">
        <v>1054</v>
      </c>
      <c r="E132" s="567"/>
      <c r="F132" s="568" t="s">
        <v>140</v>
      </c>
      <c r="G132" s="569">
        <v>46135</v>
      </c>
      <c r="H132" s="569">
        <v>46157</v>
      </c>
      <c r="I132" s="569"/>
      <c r="J132" s="581"/>
      <c r="K132" s="571">
        <v>46156</v>
      </c>
      <c r="L132" s="572">
        <v>46150</v>
      </c>
      <c r="M132" s="573">
        <v>46157</v>
      </c>
      <c r="N132" s="570"/>
      <c r="O132" s="574" t="s">
        <v>1028</v>
      </c>
      <c r="P132" s="574" t="s">
        <v>1028</v>
      </c>
      <c r="Q132" s="574" t="s">
        <v>1028</v>
      </c>
      <c r="R132" s="574" t="s">
        <v>1028</v>
      </c>
      <c r="S132" s="574" t="s">
        <v>1028</v>
      </c>
      <c r="T132" s="574" t="s">
        <v>1028</v>
      </c>
      <c r="U132" s="574" t="s">
        <v>1028</v>
      </c>
      <c r="V132" s="574" t="s">
        <v>1028</v>
      </c>
      <c r="W132" s="575" t="s">
        <v>1028</v>
      </c>
      <c r="X132" s="576" t="s">
        <v>1028</v>
      </c>
      <c r="Y132" s="577"/>
      <c r="Z132" s="578" t="s">
        <v>1028</v>
      </c>
      <c r="AA132" s="579" t="s">
        <v>1187</v>
      </c>
      <c r="AB132" s="579" t="s">
        <v>414</v>
      </c>
      <c r="AC132" s="579"/>
      <c r="AD132" s="579" t="s">
        <v>140</v>
      </c>
      <c r="AE132" s="579">
        <v>11</v>
      </c>
      <c r="AF132" s="580">
        <f>H132</f>
        <v>46157</v>
      </c>
      <c r="AG132" s="579">
        <f>A132</f>
        <v>1647</v>
      </c>
      <c r="AH132" s="579"/>
      <c r="AJ132" s="542"/>
    </row>
    <row r="133" spans="1:36" s="46" customFormat="1" x14ac:dyDescent="0.15">
      <c r="A133" s="566">
        <v>1648</v>
      </c>
      <c r="B133" s="566">
        <v>1002</v>
      </c>
      <c r="C133" s="567"/>
      <c r="D133" s="566">
        <v>1055</v>
      </c>
      <c r="E133" s="567"/>
      <c r="F133" s="568" t="s">
        <v>140</v>
      </c>
      <c r="G133" s="569">
        <v>46135</v>
      </c>
      <c r="H133" s="569">
        <v>46157</v>
      </c>
      <c r="I133" s="569"/>
      <c r="J133" s="581"/>
      <c r="K133" s="571">
        <v>46156</v>
      </c>
      <c r="L133" s="572">
        <v>46150</v>
      </c>
      <c r="M133" s="573">
        <v>46157</v>
      </c>
      <c r="N133" s="570"/>
      <c r="O133" s="574" t="s">
        <v>1028</v>
      </c>
      <c r="P133" s="574" t="s">
        <v>1028</v>
      </c>
      <c r="Q133" s="574" t="s">
        <v>1028</v>
      </c>
      <c r="R133" s="574" t="s">
        <v>1028</v>
      </c>
      <c r="S133" s="574" t="s">
        <v>1028</v>
      </c>
      <c r="T133" s="574" t="s">
        <v>1028</v>
      </c>
      <c r="U133" s="574" t="s">
        <v>1028</v>
      </c>
      <c r="V133" s="574" t="s">
        <v>1028</v>
      </c>
      <c r="W133" s="575" t="s">
        <v>1028</v>
      </c>
      <c r="X133" s="576" t="s">
        <v>1028</v>
      </c>
      <c r="Y133" s="577"/>
      <c r="Z133" s="578" t="s">
        <v>1028</v>
      </c>
      <c r="AA133" s="579" t="s">
        <v>1188</v>
      </c>
      <c r="AB133" s="579" t="s">
        <v>414</v>
      </c>
      <c r="AC133" s="579"/>
      <c r="AD133" s="579" t="s">
        <v>140</v>
      </c>
      <c r="AE133" s="579">
        <v>11</v>
      </c>
      <c r="AF133" s="580">
        <f>H133</f>
        <v>46157</v>
      </c>
      <c r="AG133" s="579">
        <f>A133</f>
        <v>1648</v>
      </c>
      <c r="AH133" s="579"/>
      <c r="AJ133" s="542"/>
    </row>
    <row r="134" spans="1:36" s="46" customFormat="1" x14ac:dyDescent="0.15">
      <c r="A134" s="566">
        <v>1649</v>
      </c>
      <c r="B134" s="566">
        <v>1003</v>
      </c>
      <c r="C134" s="567"/>
      <c r="D134" s="566">
        <v>1056</v>
      </c>
      <c r="E134" s="567"/>
      <c r="F134" s="568" t="s">
        <v>140</v>
      </c>
      <c r="G134" s="569">
        <v>46135</v>
      </c>
      <c r="H134" s="569">
        <v>46160</v>
      </c>
      <c r="I134" s="569"/>
      <c r="J134" s="581"/>
      <c r="K134" s="571">
        <v>46157</v>
      </c>
      <c r="L134" s="572">
        <v>46153</v>
      </c>
      <c r="M134" s="573">
        <v>46160</v>
      </c>
      <c r="N134" s="570"/>
      <c r="O134" s="574" t="s">
        <v>1028</v>
      </c>
      <c r="P134" s="574" t="s">
        <v>1028</v>
      </c>
      <c r="Q134" s="574" t="s">
        <v>1028</v>
      </c>
      <c r="R134" s="574" t="s">
        <v>1028</v>
      </c>
      <c r="S134" s="574" t="s">
        <v>1028</v>
      </c>
      <c r="T134" s="574" t="s">
        <v>1028</v>
      </c>
      <c r="U134" s="574" t="s">
        <v>1028</v>
      </c>
      <c r="V134" s="574" t="s">
        <v>1028</v>
      </c>
      <c r="W134" s="575" t="s">
        <v>1028</v>
      </c>
      <c r="X134" s="576" t="s">
        <v>1028</v>
      </c>
      <c r="Y134" s="577"/>
      <c r="Z134" s="578" t="s">
        <v>1028</v>
      </c>
      <c r="AA134" s="579" t="s">
        <v>1189</v>
      </c>
      <c r="AB134" s="579" t="s">
        <v>414</v>
      </c>
      <c r="AC134" s="579"/>
      <c r="AD134" s="579" t="s">
        <v>140</v>
      </c>
      <c r="AE134" s="579">
        <v>11</v>
      </c>
      <c r="AF134" s="580">
        <f>H134</f>
        <v>46160</v>
      </c>
      <c r="AG134" s="579">
        <f>A134</f>
        <v>1649</v>
      </c>
      <c r="AH134" s="579"/>
      <c r="AJ134" s="542"/>
    </row>
    <row r="135" spans="1:36" s="46" customFormat="1" x14ac:dyDescent="0.15">
      <c r="A135" s="566">
        <v>1650</v>
      </c>
      <c r="B135" s="566">
        <v>1004</v>
      </c>
      <c r="C135" s="567"/>
      <c r="D135" s="566">
        <v>1057</v>
      </c>
      <c r="E135" s="567"/>
      <c r="F135" s="568" t="s">
        <v>140</v>
      </c>
      <c r="G135" s="569">
        <v>46135</v>
      </c>
      <c r="H135" s="569">
        <v>46160</v>
      </c>
      <c r="I135" s="569"/>
      <c r="J135" s="581"/>
      <c r="K135" s="571">
        <v>46157</v>
      </c>
      <c r="L135" s="572">
        <v>46153</v>
      </c>
      <c r="M135" s="573">
        <v>46160</v>
      </c>
      <c r="N135" s="570"/>
      <c r="O135" s="574" t="s">
        <v>1028</v>
      </c>
      <c r="P135" s="574" t="s">
        <v>1028</v>
      </c>
      <c r="Q135" s="574" t="s">
        <v>1028</v>
      </c>
      <c r="R135" s="574" t="s">
        <v>1028</v>
      </c>
      <c r="S135" s="574" t="s">
        <v>1028</v>
      </c>
      <c r="T135" s="574" t="s">
        <v>1028</v>
      </c>
      <c r="U135" s="574" t="s">
        <v>1028</v>
      </c>
      <c r="V135" s="574" t="s">
        <v>1028</v>
      </c>
      <c r="W135" s="575" t="s">
        <v>1028</v>
      </c>
      <c r="X135" s="576" t="s">
        <v>1028</v>
      </c>
      <c r="Y135" s="577"/>
      <c r="Z135" s="578" t="s">
        <v>1028</v>
      </c>
      <c r="AA135" s="579" t="s">
        <v>1190</v>
      </c>
      <c r="AB135" s="579" t="s">
        <v>414</v>
      </c>
      <c r="AC135" s="579"/>
      <c r="AD135" s="579" t="s">
        <v>140</v>
      </c>
      <c r="AE135" s="579">
        <v>11</v>
      </c>
      <c r="AF135" s="580">
        <f>H135</f>
        <v>46160</v>
      </c>
      <c r="AG135" s="579">
        <f>A135</f>
        <v>1650</v>
      </c>
      <c r="AH135" s="579"/>
      <c r="AJ135" s="542"/>
    </row>
    <row r="136" spans="1:36" s="46" customFormat="1" x14ac:dyDescent="0.15">
      <c r="A136" s="566">
        <v>1651</v>
      </c>
      <c r="B136" s="566">
        <v>1005</v>
      </c>
      <c r="C136" s="567"/>
      <c r="D136" s="566">
        <v>1058</v>
      </c>
      <c r="E136" s="567"/>
      <c r="F136" s="568" t="s">
        <v>140</v>
      </c>
      <c r="G136" s="569">
        <v>46135</v>
      </c>
      <c r="H136" s="569">
        <v>46160</v>
      </c>
      <c r="I136" s="569"/>
      <c r="J136" s="581"/>
      <c r="K136" s="571">
        <v>46157</v>
      </c>
      <c r="L136" s="572">
        <v>46153</v>
      </c>
      <c r="M136" s="573">
        <v>46160</v>
      </c>
      <c r="N136" s="570"/>
      <c r="O136" s="574" t="s">
        <v>1028</v>
      </c>
      <c r="P136" s="574" t="s">
        <v>1028</v>
      </c>
      <c r="Q136" s="574" t="s">
        <v>1028</v>
      </c>
      <c r="R136" s="574" t="s">
        <v>1028</v>
      </c>
      <c r="S136" s="574" t="s">
        <v>1028</v>
      </c>
      <c r="T136" s="574" t="s">
        <v>1028</v>
      </c>
      <c r="U136" s="574" t="s">
        <v>1028</v>
      </c>
      <c r="V136" s="574" t="s">
        <v>1028</v>
      </c>
      <c r="W136" s="575" t="s">
        <v>1028</v>
      </c>
      <c r="X136" s="576" t="s">
        <v>1028</v>
      </c>
      <c r="Y136" s="577"/>
      <c r="Z136" s="578" t="s">
        <v>1028</v>
      </c>
      <c r="AA136" s="579" t="s">
        <v>1191</v>
      </c>
      <c r="AB136" s="579" t="s">
        <v>414</v>
      </c>
      <c r="AC136" s="579"/>
      <c r="AD136" s="579" t="s">
        <v>140</v>
      </c>
      <c r="AE136" s="579">
        <v>11</v>
      </c>
      <c r="AF136" s="580">
        <f>H136</f>
        <v>46160</v>
      </c>
      <c r="AG136" s="579">
        <f>A136</f>
        <v>1651</v>
      </c>
      <c r="AH136" s="579"/>
      <c r="AJ136" s="542"/>
    </row>
    <row r="137" spans="1:36" s="46" customFormat="1" x14ac:dyDescent="0.15">
      <c r="A137" s="566">
        <v>1652</v>
      </c>
      <c r="B137" s="566">
        <v>1006</v>
      </c>
      <c r="C137" s="567"/>
      <c r="D137" s="566">
        <v>1059</v>
      </c>
      <c r="E137" s="567"/>
      <c r="F137" s="568" t="s">
        <v>140</v>
      </c>
      <c r="G137" s="569">
        <v>46135</v>
      </c>
      <c r="H137" s="569">
        <v>46160</v>
      </c>
      <c r="I137" s="569"/>
      <c r="J137" s="581"/>
      <c r="K137" s="571">
        <v>46157</v>
      </c>
      <c r="L137" s="572">
        <v>46153</v>
      </c>
      <c r="M137" s="573">
        <v>46160</v>
      </c>
      <c r="N137" s="570"/>
      <c r="O137" s="574" t="s">
        <v>1028</v>
      </c>
      <c r="P137" s="574" t="s">
        <v>1028</v>
      </c>
      <c r="Q137" s="574" t="s">
        <v>1028</v>
      </c>
      <c r="R137" s="574" t="s">
        <v>1028</v>
      </c>
      <c r="S137" s="574" t="s">
        <v>1028</v>
      </c>
      <c r="T137" s="574" t="s">
        <v>1028</v>
      </c>
      <c r="U137" s="574" t="s">
        <v>1028</v>
      </c>
      <c r="V137" s="574" t="s">
        <v>1028</v>
      </c>
      <c r="W137" s="575" t="s">
        <v>1028</v>
      </c>
      <c r="X137" s="576" t="s">
        <v>1028</v>
      </c>
      <c r="Y137" s="577"/>
      <c r="Z137" s="578" t="s">
        <v>1028</v>
      </c>
      <c r="AA137" s="579" t="s">
        <v>1192</v>
      </c>
      <c r="AB137" s="579" t="s">
        <v>414</v>
      </c>
      <c r="AC137" s="579"/>
      <c r="AD137" s="579" t="s">
        <v>140</v>
      </c>
      <c r="AE137" s="579">
        <v>11</v>
      </c>
      <c r="AF137" s="580">
        <f>H137</f>
        <v>46160</v>
      </c>
      <c r="AG137" s="579">
        <f>A137</f>
        <v>1652</v>
      </c>
      <c r="AH137" s="579"/>
      <c r="AJ137" s="542"/>
    </row>
    <row r="138" spans="1:36" s="46" customFormat="1" x14ac:dyDescent="0.15">
      <c r="A138" s="566">
        <v>1653</v>
      </c>
      <c r="B138" s="566">
        <v>1007</v>
      </c>
      <c r="C138" s="567"/>
      <c r="D138" s="566">
        <v>1060</v>
      </c>
      <c r="E138" s="567"/>
      <c r="F138" s="568" t="s">
        <v>140</v>
      </c>
      <c r="G138" s="569">
        <v>46135</v>
      </c>
      <c r="H138" s="569">
        <v>46160</v>
      </c>
      <c r="I138" s="569"/>
      <c r="J138" s="581"/>
      <c r="K138" s="571">
        <v>46157</v>
      </c>
      <c r="L138" s="572">
        <v>46153</v>
      </c>
      <c r="M138" s="573">
        <v>46160</v>
      </c>
      <c r="N138" s="570"/>
      <c r="O138" s="574" t="s">
        <v>1028</v>
      </c>
      <c r="P138" s="574" t="s">
        <v>1028</v>
      </c>
      <c r="Q138" s="574" t="s">
        <v>1028</v>
      </c>
      <c r="R138" s="574" t="s">
        <v>1028</v>
      </c>
      <c r="S138" s="574" t="s">
        <v>1028</v>
      </c>
      <c r="T138" s="574" t="s">
        <v>1028</v>
      </c>
      <c r="U138" s="574" t="s">
        <v>1028</v>
      </c>
      <c r="V138" s="574" t="s">
        <v>1028</v>
      </c>
      <c r="W138" s="575" t="s">
        <v>1028</v>
      </c>
      <c r="X138" s="576" t="s">
        <v>1028</v>
      </c>
      <c r="Y138" s="577"/>
      <c r="Z138" s="578" t="s">
        <v>1028</v>
      </c>
      <c r="AA138" s="579" t="s">
        <v>1193</v>
      </c>
      <c r="AB138" s="579" t="s">
        <v>414</v>
      </c>
      <c r="AC138" s="579"/>
      <c r="AD138" s="579" t="s">
        <v>140</v>
      </c>
      <c r="AE138" s="579">
        <v>11</v>
      </c>
      <c r="AF138" s="580">
        <f>H138</f>
        <v>46160</v>
      </c>
      <c r="AG138" s="579">
        <f>A138</f>
        <v>1653</v>
      </c>
      <c r="AH138" s="579"/>
      <c r="AJ138" s="542"/>
    </row>
    <row r="139" spans="1:36" s="46" customFormat="1" x14ac:dyDescent="0.15">
      <c r="A139" s="567"/>
      <c r="B139" s="567"/>
      <c r="C139" s="567"/>
      <c r="D139" s="567"/>
      <c r="E139" s="567"/>
      <c r="F139" s="582"/>
      <c r="G139" s="569">
        <v>46084</v>
      </c>
      <c r="H139" s="569">
        <v>46160</v>
      </c>
      <c r="I139" s="569"/>
      <c r="J139" s="583" t="s">
        <v>1194</v>
      </c>
      <c r="K139" s="584"/>
      <c r="L139" s="572">
        <v>46153</v>
      </c>
      <c r="M139" s="573">
        <v>46160</v>
      </c>
      <c r="N139" s="585" t="s">
        <v>1066</v>
      </c>
      <c r="O139" s="577"/>
      <c r="P139" s="577"/>
      <c r="Q139" s="577"/>
      <c r="R139" s="577"/>
      <c r="S139" s="577"/>
      <c r="T139" s="577"/>
      <c r="U139" s="574" t="s">
        <v>1028</v>
      </c>
      <c r="V139" s="577"/>
      <c r="W139" s="586"/>
      <c r="X139" s="587"/>
      <c r="Y139" s="577"/>
      <c r="Z139" s="577"/>
      <c r="AA139" s="588" t="s">
        <v>1195</v>
      </c>
      <c r="AB139" s="589" t="s">
        <v>513</v>
      </c>
      <c r="AC139" s="589" t="s">
        <v>1062</v>
      </c>
      <c r="AD139" s="589" t="s">
        <v>1063</v>
      </c>
      <c r="AE139" s="579">
        <f>F139</f>
        <v>0</v>
      </c>
      <c r="AF139" s="580">
        <f>H139</f>
        <v>46160</v>
      </c>
      <c r="AG139" s="579">
        <f>A139</f>
        <v>0</v>
      </c>
      <c r="AH139" s="589" t="s">
        <v>1064</v>
      </c>
      <c r="AJ139" s="542"/>
    </row>
    <row r="140" spans="1:36" s="46" customFormat="1" x14ac:dyDescent="0.15">
      <c r="A140" s="567"/>
      <c r="B140" s="567"/>
      <c r="C140" s="567"/>
      <c r="D140" s="567"/>
      <c r="E140" s="567"/>
      <c r="F140" s="582"/>
      <c r="G140" s="569">
        <v>46084</v>
      </c>
      <c r="H140" s="569">
        <v>46160</v>
      </c>
      <c r="I140" s="569"/>
      <c r="J140" s="583" t="s">
        <v>1194</v>
      </c>
      <c r="K140" s="584"/>
      <c r="L140" s="572">
        <v>46153</v>
      </c>
      <c r="M140" s="573">
        <v>46160</v>
      </c>
      <c r="N140" s="585" t="s">
        <v>1066</v>
      </c>
      <c r="O140" s="577"/>
      <c r="P140" s="577"/>
      <c r="Q140" s="577"/>
      <c r="R140" s="577"/>
      <c r="S140" s="577"/>
      <c r="T140" s="577"/>
      <c r="U140" s="574" t="s">
        <v>1028</v>
      </c>
      <c r="V140" s="577"/>
      <c r="W140" s="586"/>
      <c r="X140" s="587"/>
      <c r="Y140" s="577"/>
      <c r="Z140" s="577"/>
      <c r="AA140" s="588" t="s">
        <v>1195</v>
      </c>
      <c r="AB140" s="589" t="s">
        <v>513</v>
      </c>
      <c r="AC140" s="589" t="s">
        <v>1068</v>
      </c>
      <c r="AD140" s="589" t="s">
        <v>1063</v>
      </c>
      <c r="AE140" s="579">
        <f>F140</f>
        <v>0</v>
      </c>
      <c r="AF140" s="580">
        <f>H140</f>
        <v>46160</v>
      </c>
      <c r="AG140" s="579">
        <f>A140</f>
        <v>0</v>
      </c>
      <c r="AH140" s="589" t="s">
        <v>1064</v>
      </c>
      <c r="AJ140" s="542"/>
    </row>
    <row r="141" spans="1:36" s="46" customFormat="1" x14ac:dyDescent="0.15">
      <c r="A141" s="567"/>
      <c r="B141" s="567"/>
      <c r="C141" s="567"/>
      <c r="D141" s="567"/>
      <c r="E141" s="567"/>
      <c r="F141" s="582"/>
      <c r="G141" s="569">
        <v>46084</v>
      </c>
      <c r="H141" s="569">
        <v>46160</v>
      </c>
      <c r="I141" s="569"/>
      <c r="J141" s="583" t="s">
        <v>1194</v>
      </c>
      <c r="K141" s="584"/>
      <c r="L141" s="572">
        <v>46153</v>
      </c>
      <c r="M141" s="573">
        <v>46160</v>
      </c>
      <c r="N141" s="585" t="s">
        <v>1066</v>
      </c>
      <c r="O141" s="577"/>
      <c r="P141" s="577"/>
      <c r="Q141" s="577"/>
      <c r="R141" s="577"/>
      <c r="S141" s="577"/>
      <c r="T141" s="577"/>
      <c r="U141" s="574" t="s">
        <v>1028</v>
      </c>
      <c r="V141" s="577"/>
      <c r="W141" s="586"/>
      <c r="X141" s="587"/>
      <c r="Y141" s="577"/>
      <c r="Z141" s="577"/>
      <c r="AA141" s="588" t="s">
        <v>1195</v>
      </c>
      <c r="AB141" s="589" t="s">
        <v>513</v>
      </c>
      <c r="AC141" s="589" t="s">
        <v>1069</v>
      </c>
      <c r="AD141" s="589" t="s">
        <v>1063</v>
      </c>
      <c r="AE141" s="579">
        <f>F141</f>
        <v>0</v>
      </c>
      <c r="AF141" s="580">
        <f>H141</f>
        <v>46160</v>
      </c>
      <c r="AG141" s="579">
        <f>A141</f>
        <v>0</v>
      </c>
      <c r="AH141" s="589" t="s">
        <v>1064</v>
      </c>
      <c r="AJ141" s="542"/>
    </row>
    <row r="142" spans="1:36" s="46" customFormat="1" x14ac:dyDescent="0.15">
      <c r="A142" s="567"/>
      <c r="B142" s="567"/>
      <c r="C142" s="567"/>
      <c r="D142" s="567"/>
      <c r="E142" s="567"/>
      <c r="F142" s="582"/>
      <c r="G142" s="569">
        <v>46084</v>
      </c>
      <c r="H142" s="569">
        <v>46160</v>
      </c>
      <c r="I142" s="569"/>
      <c r="J142" s="583" t="s">
        <v>1194</v>
      </c>
      <c r="K142" s="584"/>
      <c r="L142" s="572">
        <v>46153</v>
      </c>
      <c r="M142" s="573">
        <v>46160</v>
      </c>
      <c r="N142" s="585" t="s">
        <v>1066</v>
      </c>
      <c r="O142" s="577"/>
      <c r="P142" s="577"/>
      <c r="Q142" s="577"/>
      <c r="R142" s="577"/>
      <c r="S142" s="577"/>
      <c r="T142" s="577"/>
      <c r="U142" s="574" t="s">
        <v>1028</v>
      </c>
      <c r="V142" s="577"/>
      <c r="W142" s="586"/>
      <c r="X142" s="587"/>
      <c r="Y142" s="577"/>
      <c r="Z142" s="577"/>
      <c r="AA142" s="588" t="s">
        <v>1195</v>
      </c>
      <c r="AB142" s="589" t="s">
        <v>513</v>
      </c>
      <c r="AC142" s="589" t="s">
        <v>1070</v>
      </c>
      <c r="AD142" s="589" t="s">
        <v>1063</v>
      </c>
      <c r="AE142" s="579">
        <f>F142</f>
        <v>0</v>
      </c>
      <c r="AF142" s="580">
        <f>H142</f>
        <v>46160</v>
      </c>
      <c r="AG142" s="579">
        <f>A142</f>
        <v>0</v>
      </c>
      <c r="AH142" s="589" t="s">
        <v>1064</v>
      </c>
      <c r="AJ142" s="542"/>
    </row>
    <row r="143" spans="1:36" s="46" customFormat="1" x14ac:dyDescent="0.15">
      <c r="A143" s="567"/>
      <c r="B143" s="567"/>
      <c r="C143" s="567"/>
      <c r="D143" s="567"/>
      <c r="E143" s="567"/>
      <c r="F143" s="582"/>
      <c r="G143" s="569">
        <v>46084</v>
      </c>
      <c r="H143" s="569">
        <v>46160</v>
      </c>
      <c r="I143" s="569"/>
      <c r="J143" s="583" t="s">
        <v>1194</v>
      </c>
      <c r="K143" s="584"/>
      <c r="L143" s="572">
        <v>46153</v>
      </c>
      <c r="M143" s="573">
        <v>46160</v>
      </c>
      <c r="N143" s="585" t="s">
        <v>1066</v>
      </c>
      <c r="O143" s="577"/>
      <c r="P143" s="577"/>
      <c r="Q143" s="577"/>
      <c r="R143" s="577"/>
      <c r="S143" s="577"/>
      <c r="T143" s="577"/>
      <c r="U143" s="574" t="s">
        <v>1028</v>
      </c>
      <c r="V143" s="577"/>
      <c r="W143" s="586"/>
      <c r="X143" s="587"/>
      <c r="Y143" s="577"/>
      <c r="Z143" s="577"/>
      <c r="AA143" s="588" t="s">
        <v>1196</v>
      </c>
      <c r="AB143" s="589" t="s">
        <v>513</v>
      </c>
      <c r="AC143" s="589" t="s">
        <v>1071</v>
      </c>
      <c r="AD143" s="589" t="s">
        <v>1063</v>
      </c>
      <c r="AE143" s="579">
        <f>F143</f>
        <v>0</v>
      </c>
      <c r="AF143" s="580">
        <f>H143</f>
        <v>46160</v>
      </c>
      <c r="AG143" s="579">
        <f>A143</f>
        <v>0</v>
      </c>
      <c r="AH143" s="589" t="s">
        <v>1064</v>
      </c>
      <c r="AJ143" s="542"/>
    </row>
    <row r="144" spans="1:36" s="46" customFormat="1" x14ac:dyDescent="0.15">
      <c r="A144" s="566">
        <v>1654</v>
      </c>
      <c r="B144" s="566">
        <v>1008</v>
      </c>
      <c r="C144" s="567"/>
      <c r="D144" s="566">
        <v>1061</v>
      </c>
      <c r="E144" s="567"/>
      <c r="F144" s="568" t="s">
        <v>140</v>
      </c>
      <c r="G144" s="569">
        <v>46135</v>
      </c>
      <c r="H144" s="569">
        <v>46161</v>
      </c>
      <c r="I144" s="569"/>
      <c r="J144" s="570"/>
      <c r="K144" s="571">
        <v>46160</v>
      </c>
      <c r="L144" s="572">
        <v>46154</v>
      </c>
      <c r="M144" s="573">
        <v>46161</v>
      </c>
      <c r="N144" s="570"/>
      <c r="O144" s="574" t="s">
        <v>1028</v>
      </c>
      <c r="P144" s="574" t="s">
        <v>1028</v>
      </c>
      <c r="Q144" s="574" t="s">
        <v>1028</v>
      </c>
      <c r="R144" s="574" t="s">
        <v>1028</v>
      </c>
      <c r="S144" s="574" t="s">
        <v>1028</v>
      </c>
      <c r="T144" s="574" t="s">
        <v>1028</v>
      </c>
      <c r="U144" s="574" t="s">
        <v>1028</v>
      </c>
      <c r="V144" s="574" t="s">
        <v>1028</v>
      </c>
      <c r="W144" s="575" t="s">
        <v>1028</v>
      </c>
      <c r="X144" s="576" t="s">
        <v>1028</v>
      </c>
      <c r="Y144" s="577"/>
      <c r="Z144" s="578" t="s">
        <v>1028</v>
      </c>
      <c r="AA144" s="579" t="s">
        <v>1197</v>
      </c>
      <c r="AB144" s="579" t="s">
        <v>414</v>
      </c>
      <c r="AC144" s="579"/>
      <c r="AD144" s="579" t="s">
        <v>140</v>
      </c>
      <c r="AE144" s="579">
        <v>11</v>
      </c>
      <c r="AF144" s="580">
        <f>H144</f>
        <v>46161</v>
      </c>
      <c r="AG144" s="579">
        <f>A144</f>
        <v>1654</v>
      </c>
      <c r="AH144" s="579"/>
      <c r="AJ144" s="542"/>
    </row>
    <row r="145" spans="1:36" s="46" customFormat="1" x14ac:dyDescent="0.15">
      <c r="A145" s="566">
        <v>1655</v>
      </c>
      <c r="B145" s="566">
        <v>1009</v>
      </c>
      <c r="C145" s="567"/>
      <c r="D145" s="566">
        <v>1062</v>
      </c>
      <c r="E145" s="567"/>
      <c r="F145" s="568" t="s">
        <v>140</v>
      </c>
      <c r="G145" s="569">
        <v>46135</v>
      </c>
      <c r="H145" s="569">
        <v>46161</v>
      </c>
      <c r="I145" s="569"/>
      <c r="J145" s="581"/>
      <c r="K145" s="571">
        <v>46160</v>
      </c>
      <c r="L145" s="572">
        <v>46154</v>
      </c>
      <c r="M145" s="573">
        <v>46161</v>
      </c>
      <c r="N145" s="570"/>
      <c r="O145" s="574" t="s">
        <v>1028</v>
      </c>
      <c r="P145" s="574" t="s">
        <v>1028</v>
      </c>
      <c r="Q145" s="574" t="s">
        <v>1028</v>
      </c>
      <c r="R145" s="574" t="s">
        <v>1028</v>
      </c>
      <c r="S145" s="574" t="s">
        <v>1028</v>
      </c>
      <c r="T145" s="574" t="s">
        <v>1028</v>
      </c>
      <c r="U145" s="574" t="s">
        <v>1028</v>
      </c>
      <c r="V145" s="574" t="s">
        <v>1028</v>
      </c>
      <c r="W145" s="575" t="s">
        <v>1028</v>
      </c>
      <c r="X145" s="576" t="s">
        <v>1028</v>
      </c>
      <c r="Y145" s="577"/>
      <c r="Z145" s="578" t="s">
        <v>1028</v>
      </c>
      <c r="AA145" s="579" t="s">
        <v>1198</v>
      </c>
      <c r="AB145" s="579" t="s">
        <v>414</v>
      </c>
      <c r="AC145" s="579"/>
      <c r="AD145" s="579" t="s">
        <v>140</v>
      </c>
      <c r="AE145" s="579">
        <v>11</v>
      </c>
      <c r="AF145" s="580">
        <f>H145</f>
        <v>46161</v>
      </c>
      <c r="AG145" s="579">
        <f>A145</f>
        <v>1655</v>
      </c>
      <c r="AH145" s="579"/>
      <c r="AJ145" s="542"/>
    </row>
    <row r="146" spans="1:36" s="46" customFormat="1" x14ac:dyDescent="0.15">
      <c r="A146" s="566">
        <v>1656</v>
      </c>
      <c r="B146" s="566">
        <v>1010</v>
      </c>
      <c r="C146" s="567"/>
      <c r="D146" s="566">
        <v>1063</v>
      </c>
      <c r="E146" s="567"/>
      <c r="F146" s="568" t="s">
        <v>140</v>
      </c>
      <c r="G146" s="569">
        <v>46135</v>
      </c>
      <c r="H146" s="569">
        <v>46161</v>
      </c>
      <c r="I146" s="569"/>
      <c r="J146" s="581"/>
      <c r="K146" s="571">
        <v>46160</v>
      </c>
      <c r="L146" s="572">
        <v>46154</v>
      </c>
      <c r="M146" s="573">
        <v>46161</v>
      </c>
      <c r="N146" s="570"/>
      <c r="O146" s="574" t="s">
        <v>1028</v>
      </c>
      <c r="P146" s="574" t="s">
        <v>1028</v>
      </c>
      <c r="Q146" s="574" t="s">
        <v>1028</v>
      </c>
      <c r="R146" s="574" t="s">
        <v>1028</v>
      </c>
      <c r="S146" s="574" t="s">
        <v>1028</v>
      </c>
      <c r="T146" s="574" t="s">
        <v>1028</v>
      </c>
      <c r="U146" s="574" t="s">
        <v>1028</v>
      </c>
      <c r="V146" s="574" t="s">
        <v>1028</v>
      </c>
      <c r="W146" s="575" t="s">
        <v>1028</v>
      </c>
      <c r="X146" s="576" t="s">
        <v>1028</v>
      </c>
      <c r="Y146" s="577"/>
      <c r="Z146" s="578" t="s">
        <v>1028</v>
      </c>
      <c r="AA146" s="579" t="s">
        <v>1199</v>
      </c>
      <c r="AB146" s="579" t="s">
        <v>414</v>
      </c>
      <c r="AC146" s="579"/>
      <c r="AD146" s="579" t="s">
        <v>140</v>
      </c>
      <c r="AE146" s="579">
        <v>11</v>
      </c>
      <c r="AF146" s="580">
        <f>H146</f>
        <v>46161</v>
      </c>
      <c r="AG146" s="579">
        <f>A146</f>
        <v>1656</v>
      </c>
      <c r="AH146" s="579"/>
      <c r="AJ146" s="542"/>
    </row>
    <row r="147" spans="1:36" s="46" customFormat="1" x14ac:dyDescent="0.15">
      <c r="A147" s="566">
        <v>1657</v>
      </c>
      <c r="B147" s="566">
        <v>1011</v>
      </c>
      <c r="C147" s="567"/>
      <c r="D147" s="566">
        <v>1064</v>
      </c>
      <c r="E147" s="567"/>
      <c r="F147" s="568" t="s">
        <v>140</v>
      </c>
      <c r="G147" s="569">
        <v>46135</v>
      </c>
      <c r="H147" s="569">
        <v>46161</v>
      </c>
      <c r="I147" s="569"/>
      <c r="J147" s="581"/>
      <c r="K147" s="571">
        <v>46160</v>
      </c>
      <c r="L147" s="572">
        <v>46154</v>
      </c>
      <c r="M147" s="573">
        <v>46161</v>
      </c>
      <c r="N147" s="570"/>
      <c r="O147" s="574" t="s">
        <v>1028</v>
      </c>
      <c r="P147" s="574" t="s">
        <v>1028</v>
      </c>
      <c r="Q147" s="574" t="s">
        <v>1028</v>
      </c>
      <c r="R147" s="574" t="s">
        <v>1028</v>
      </c>
      <c r="S147" s="574" t="s">
        <v>1028</v>
      </c>
      <c r="T147" s="574" t="s">
        <v>1028</v>
      </c>
      <c r="U147" s="574" t="s">
        <v>1028</v>
      </c>
      <c r="V147" s="574" t="s">
        <v>1028</v>
      </c>
      <c r="W147" s="575" t="s">
        <v>1028</v>
      </c>
      <c r="X147" s="576" t="s">
        <v>1028</v>
      </c>
      <c r="Y147" s="577"/>
      <c r="Z147" s="578" t="s">
        <v>1028</v>
      </c>
      <c r="AA147" s="579" t="s">
        <v>1200</v>
      </c>
      <c r="AB147" s="579" t="s">
        <v>414</v>
      </c>
      <c r="AC147" s="579"/>
      <c r="AD147" s="579" t="s">
        <v>140</v>
      </c>
      <c r="AE147" s="579">
        <v>11</v>
      </c>
      <c r="AF147" s="580">
        <f>H147</f>
        <v>46161</v>
      </c>
      <c r="AG147" s="579">
        <f>A147</f>
        <v>1657</v>
      </c>
      <c r="AH147" s="579"/>
      <c r="AJ147" s="542"/>
    </row>
    <row r="148" spans="1:36" s="46" customFormat="1" x14ac:dyDescent="0.15">
      <c r="A148" s="566">
        <v>1658</v>
      </c>
      <c r="B148" s="566">
        <v>1012</v>
      </c>
      <c r="C148" s="567"/>
      <c r="D148" s="566">
        <v>1065</v>
      </c>
      <c r="E148" s="567"/>
      <c r="F148" s="568" t="s">
        <v>140</v>
      </c>
      <c r="G148" s="569">
        <v>46135</v>
      </c>
      <c r="H148" s="569">
        <v>46161</v>
      </c>
      <c r="I148" s="569"/>
      <c r="J148" s="581"/>
      <c r="K148" s="571">
        <v>46160</v>
      </c>
      <c r="L148" s="572">
        <v>46154</v>
      </c>
      <c r="M148" s="573">
        <v>46161</v>
      </c>
      <c r="N148" s="570"/>
      <c r="O148" s="574" t="s">
        <v>1028</v>
      </c>
      <c r="P148" s="574" t="s">
        <v>1028</v>
      </c>
      <c r="Q148" s="574" t="s">
        <v>1028</v>
      </c>
      <c r="R148" s="574" t="s">
        <v>1028</v>
      </c>
      <c r="S148" s="574" t="s">
        <v>1028</v>
      </c>
      <c r="T148" s="574" t="s">
        <v>1028</v>
      </c>
      <c r="U148" s="574" t="s">
        <v>1028</v>
      </c>
      <c r="V148" s="574" t="s">
        <v>1028</v>
      </c>
      <c r="W148" s="575" t="s">
        <v>1028</v>
      </c>
      <c r="X148" s="576" t="s">
        <v>1028</v>
      </c>
      <c r="Y148" s="577"/>
      <c r="Z148" s="578" t="s">
        <v>1028</v>
      </c>
      <c r="AA148" s="579" t="s">
        <v>1201</v>
      </c>
      <c r="AB148" s="579" t="s">
        <v>414</v>
      </c>
      <c r="AC148" s="579"/>
      <c r="AD148" s="579" t="s">
        <v>140</v>
      </c>
      <c r="AE148" s="579">
        <v>11</v>
      </c>
      <c r="AF148" s="580">
        <f>H148</f>
        <v>46161</v>
      </c>
      <c r="AG148" s="579">
        <f>A148</f>
        <v>1658</v>
      </c>
      <c r="AH148" s="579"/>
      <c r="AJ148" s="542"/>
    </row>
    <row r="149" spans="1:36" s="46" customFormat="1" x14ac:dyDescent="0.15">
      <c r="A149" s="567"/>
      <c r="B149" s="567"/>
      <c r="C149" s="567"/>
      <c r="D149" s="567"/>
      <c r="E149" s="567"/>
      <c r="F149" s="582"/>
      <c r="G149" s="569">
        <v>46084</v>
      </c>
      <c r="H149" s="569">
        <v>46161</v>
      </c>
      <c r="I149" s="569"/>
      <c r="J149" s="583" t="s">
        <v>1202</v>
      </c>
      <c r="K149" s="584"/>
      <c r="L149" s="572">
        <v>46154</v>
      </c>
      <c r="M149" s="573">
        <v>46161</v>
      </c>
      <c r="N149" s="585" t="s">
        <v>1066</v>
      </c>
      <c r="O149" s="577"/>
      <c r="P149" s="577"/>
      <c r="Q149" s="577"/>
      <c r="R149" s="577"/>
      <c r="S149" s="577"/>
      <c r="T149" s="577"/>
      <c r="U149" s="574" t="s">
        <v>1028</v>
      </c>
      <c r="V149" s="577"/>
      <c r="W149" s="586"/>
      <c r="X149" s="587"/>
      <c r="Y149" s="577"/>
      <c r="Z149" s="577"/>
      <c r="AA149" s="588" t="s">
        <v>1203</v>
      </c>
      <c r="AB149" s="589" t="s">
        <v>513</v>
      </c>
      <c r="AC149" s="589" t="s">
        <v>1062</v>
      </c>
      <c r="AD149" s="589" t="s">
        <v>1063</v>
      </c>
      <c r="AE149" s="579">
        <f>F149</f>
        <v>0</v>
      </c>
      <c r="AF149" s="580">
        <f>H149</f>
        <v>46161</v>
      </c>
      <c r="AG149" s="579">
        <f>A149</f>
        <v>0</v>
      </c>
      <c r="AH149" s="589" t="s">
        <v>1064</v>
      </c>
      <c r="AJ149" s="542"/>
    </row>
    <row r="150" spans="1:36" s="46" customFormat="1" x14ac:dyDescent="0.15">
      <c r="A150" s="567"/>
      <c r="B150" s="567"/>
      <c r="C150" s="567"/>
      <c r="D150" s="567"/>
      <c r="E150" s="567"/>
      <c r="F150" s="582"/>
      <c r="G150" s="569">
        <v>46084</v>
      </c>
      <c r="H150" s="569">
        <v>46161</v>
      </c>
      <c r="I150" s="569"/>
      <c r="J150" s="583" t="s">
        <v>1202</v>
      </c>
      <c r="K150" s="584"/>
      <c r="L150" s="572">
        <v>46154</v>
      </c>
      <c r="M150" s="573">
        <v>46161</v>
      </c>
      <c r="N150" s="585" t="s">
        <v>1066</v>
      </c>
      <c r="O150" s="577"/>
      <c r="P150" s="577"/>
      <c r="Q150" s="577"/>
      <c r="R150" s="577"/>
      <c r="S150" s="577"/>
      <c r="T150" s="577"/>
      <c r="U150" s="574" t="s">
        <v>1028</v>
      </c>
      <c r="V150" s="577"/>
      <c r="W150" s="586"/>
      <c r="X150" s="587"/>
      <c r="Y150" s="577"/>
      <c r="Z150" s="577"/>
      <c r="AA150" s="588" t="s">
        <v>1203</v>
      </c>
      <c r="AB150" s="589" t="s">
        <v>513</v>
      </c>
      <c r="AC150" s="589" t="s">
        <v>1068</v>
      </c>
      <c r="AD150" s="589" t="s">
        <v>1063</v>
      </c>
      <c r="AE150" s="579">
        <f>F150</f>
        <v>0</v>
      </c>
      <c r="AF150" s="580">
        <f>H150</f>
        <v>46161</v>
      </c>
      <c r="AG150" s="579">
        <f>A150</f>
        <v>0</v>
      </c>
      <c r="AH150" s="589" t="s">
        <v>1064</v>
      </c>
      <c r="AJ150" s="542"/>
    </row>
    <row r="151" spans="1:36" s="46" customFormat="1" x14ac:dyDescent="0.15">
      <c r="A151" s="567"/>
      <c r="B151" s="567"/>
      <c r="C151" s="567"/>
      <c r="D151" s="567"/>
      <c r="E151" s="567"/>
      <c r="F151" s="582"/>
      <c r="G151" s="569">
        <v>46084</v>
      </c>
      <c r="H151" s="569">
        <v>46161</v>
      </c>
      <c r="I151" s="569"/>
      <c r="J151" s="583" t="s">
        <v>1202</v>
      </c>
      <c r="K151" s="584"/>
      <c r="L151" s="572">
        <v>46154</v>
      </c>
      <c r="M151" s="573">
        <v>46161</v>
      </c>
      <c r="N151" s="585" t="s">
        <v>1066</v>
      </c>
      <c r="O151" s="577"/>
      <c r="P151" s="577"/>
      <c r="Q151" s="577"/>
      <c r="R151" s="577"/>
      <c r="S151" s="577"/>
      <c r="T151" s="577"/>
      <c r="U151" s="574" t="s">
        <v>1028</v>
      </c>
      <c r="V151" s="577"/>
      <c r="W151" s="586"/>
      <c r="X151" s="587"/>
      <c r="Y151" s="577"/>
      <c r="Z151" s="577"/>
      <c r="AA151" s="588" t="s">
        <v>1203</v>
      </c>
      <c r="AB151" s="589" t="s">
        <v>513</v>
      </c>
      <c r="AC151" s="589" t="s">
        <v>1069</v>
      </c>
      <c r="AD151" s="589" t="s">
        <v>1063</v>
      </c>
      <c r="AE151" s="579">
        <f>F151</f>
        <v>0</v>
      </c>
      <c r="AF151" s="580">
        <f>H151</f>
        <v>46161</v>
      </c>
      <c r="AG151" s="579">
        <f>A151</f>
        <v>0</v>
      </c>
      <c r="AH151" s="589" t="s">
        <v>1064</v>
      </c>
      <c r="AJ151" s="542"/>
    </row>
    <row r="152" spans="1:36" s="46" customFormat="1" x14ac:dyDescent="0.15">
      <c r="A152" s="567"/>
      <c r="B152" s="567"/>
      <c r="C152" s="567"/>
      <c r="D152" s="567"/>
      <c r="E152" s="567"/>
      <c r="F152" s="582"/>
      <c r="G152" s="569">
        <v>46084</v>
      </c>
      <c r="H152" s="569">
        <v>46161</v>
      </c>
      <c r="I152" s="569"/>
      <c r="J152" s="583" t="s">
        <v>1202</v>
      </c>
      <c r="K152" s="584"/>
      <c r="L152" s="572">
        <v>46154</v>
      </c>
      <c r="M152" s="573">
        <v>46161</v>
      </c>
      <c r="N152" s="585" t="s">
        <v>1066</v>
      </c>
      <c r="O152" s="577"/>
      <c r="P152" s="577"/>
      <c r="Q152" s="577"/>
      <c r="R152" s="577"/>
      <c r="S152" s="577"/>
      <c r="T152" s="577"/>
      <c r="U152" s="574" t="s">
        <v>1028</v>
      </c>
      <c r="V152" s="577"/>
      <c r="W152" s="586"/>
      <c r="X152" s="587"/>
      <c r="Y152" s="577"/>
      <c r="Z152" s="577"/>
      <c r="AA152" s="588" t="s">
        <v>1203</v>
      </c>
      <c r="AB152" s="589" t="s">
        <v>513</v>
      </c>
      <c r="AC152" s="589" t="s">
        <v>1070</v>
      </c>
      <c r="AD152" s="589" t="s">
        <v>1063</v>
      </c>
      <c r="AE152" s="579">
        <f>F152</f>
        <v>0</v>
      </c>
      <c r="AF152" s="580">
        <f>H152</f>
        <v>46161</v>
      </c>
      <c r="AG152" s="579">
        <f>A152</f>
        <v>0</v>
      </c>
      <c r="AH152" s="589" t="s">
        <v>1064</v>
      </c>
      <c r="AJ152" s="542"/>
    </row>
    <row r="153" spans="1:36" s="46" customFormat="1" x14ac:dyDescent="0.15">
      <c r="A153" s="567"/>
      <c r="B153" s="567"/>
      <c r="C153" s="567"/>
      <c r="D153" s="567"/>
      <c r="E153" s="567"/>
      <c r="F153" s="582"/>
      <c r="G153" s="569">
        <v>46084</v>
      </c>
      <c r="H153" s="569">
        <v>46161</v>
      </c>
      <c r="I153" s="569"/>
      <c r="J153" s="583" t="s">
        <v>1204</v>
      </c>
      <c r="K153" s="584"/>
      <c r="L153" s="572">
        <v>46154</v>
      </c>
      <c r="M153" s="573">
        <v>46161</v>
      </c>
      <c r="N153" s="585" t="s">
        <v>1066</v>
      </c>
      <c r="O153" s="577"/>
      <c r="P153" s="577"/>
      <c r="Q153" s="577"/>
      <c r="R153" s="577"/>
      <c r="S153" s="577"/>
      <c r="T153" s="577"/>
      <c r="U153" s="574" t="s">
        <v>1028</v>
      </c>
      <c r="V153" s="577"/>
      <c r="W153" s="586"/>
      <c r="X153" s="587"/>
      <c r="Y153" s="577"/>
      <c r="Z153" s="577"/>
      <c r="AA153" s="588" t="s">
        <v>1203</v>
      </c>
      <c r="AB153" s="589" t="s">
        <v>513</v>
      </c>
      <c r="AC153" s="589" t="s">
        <v>1071</v>
      </c>
      <c r="AD153" s="589" t="s">
        <v>1063</v>
      </c>
      <c r="AE153" s="579">
        <f>F153</f>
        <v>0</v>
      </c>
      <c r="AF153" s="580">
        <f>H153</f>
        <v>46161</v>
      </c>
      <c r="AG153" s="579">
        <f>A153</f>
        <v>0</v>
      </c>
      <c r="AH153" s="589" t="s">
        <v>1064</v>
      </c>
      <c r="AJ153" s="542"/>
    </row>
    <row r="154" spans="1:36" s="46" customFormat="1" x14ac:dyDescent="0.15">
      <c r="A154" s="566">
        <v>1659</v>
      </c>
      <c r="B154" s="566">
        <v>1013</v>
      </c>
      <c r="C154" s="567"/>
      <c r="D154" s="566">
        <v>1066</v>
      </c>
      <c r="E154" s="567"/>
      <c r="F154" s="568" t="s">
        <v>140</v>
      </c>
      <c r="G154" s="569">
        <v>46135</v>
      </c>
      <c r="H154" s="569">
        <v>46162</v>
      </c>
      <c r="I154" s="569"/>
      <c r="J154" s="570"/>
      <c r="K154" s="571">
        <v>46161</v>
      </c>
      <c r="L154" s="572">
        <v>46155</v>
      </c>
      <c r="M154" s="573">
        <v>46162</v>
      </c>
      <c r="N154" s="570"/>
      <c r="O154" s="574" t="s">
        <v>1028</v>
      </c>
      <c r="P154" s="574" t="s">
        <v>1028</v>
      </c>
      <c r="Q154" s="574" t="s">
        <v>1028</v>
      </c>
      <c r="R154" s="574" t="s">
        <v>1028</v>
      </c>
      <c r="S154" s="574" t="s">
        <v>1028</v>
      </c>
      <c r="T154" s="574" t="s">
        <v>1028</v>
      </c>
      <c r="U154" s="574" t="s">
        <v>1028</v>
      </c>
      <c r="V154" s="574" t="s">
        <v>1028</v>
      </c>
      <c r="W154" s="575" t="s">
        <v>1028</v>
      </c>
      <c r="X154" s="576" t="s">
        <v>1028</v>
      </c>
      <c r="Y154" s="577"/>
      <c r="Z154" s="578" t="s">
        <v>1028</v>
      </c>
      <c r="AA154" s="579" t="s">
        <v>1205</v>
      </c>
      <c r="AB154" s="579" t="s">
        <v>414</v>
      </c>
      <c r="AC154" s="579"/>
      <c r="AD154" s="579" t="s">
        <v>140</v>
      </c>
      <c r="AE154" s="579">
        <v>11</v>
      </c>
      <c r="AF154" s="580">
        <f>H154</f>
        <v>46162</v>
      </c>
      <c r="AG154" s="579">
        <f>A154</f>
        <v>1659</v>
      </c>
      <c r="AH154" s="579"/>
      <c r="AJ154" s="542"/>
    </row>
    <row r="155" spans="1:36" s="46" customFormat="1" x14ac:dyDescent="0.15">
      <c r="A155" s="566">
        <v>1660</v>
      </c>
      <c r="B155" s="566">
        <v>1014</v>
      </c>
      <c r="C155" s="567"/>
      <c r="D155" s="566">
        <v>1067</v>
      </c>
      <c r="E155" s="567"/>
      <c r="F155" s="568" t="s">
        <v>140</v>
      </c>
      <c r="G155" s="569">
        <v>46135</v>
      </c>
      <c r="H155" s="569">
        <v>46162</v>
      </c>
      <c r="I155" s="569"/>
      <c r="J155" s="581"/>
      <c r="K155" s="571">
        <v>46161</v>
      </c>
      <c r="L155" s="572">
        <v>46155</v>
      </c>
      <c r="M155" s="573">
        <v>46162</v>
      </c>
      <c r="N155" s="570"/>
      <c r="O155" s="574" t="s">
        <v>1028</v>
      </c>
      <c r="P155" s="574" t="s">
        <v>1028</v>
      </c>
      <c r="Q155" s="574" t="s">
        <v>1028</v>
      </c>
      <c r="R155" s="574" t="s">
        <v>1028</v>
      </c>
      <c r="S155" s="574" t="s">
        <v>1028</v>
      </c>
      <c r="T155" s="574" t="s">
        <v>1028</v>
      </c>
      <c r="U155" s="574" t="s">
        <v>1028</v>
      </c>
      <c r="V155" s="574" t="s">
        <v>1028</v>
      </c>
      <c r="W155" s="575" t="s">
        <v>1028</v>
      </c>
      <c r="X155" s="576" t="s">
        <v>1028</v>
      </c>
      <c r="Y155" s="577"/>
      <c r="Z155" s="578" t="s">
        <v>1028</v>
      </c>
      <c r="AA155" s="579" t="s">
        <v>1206</v>
      </c>
      <c r="AB155" s="579" t="s">
        <v>414</v>
      </c>
      <c r="AC155" s="579"/>
      <c r="AD155" s="579" t="s">
        <v>140</v>
      </c>
      <c r="AE155" s="579">
        <v>11</v>
      </c>
      <c r="AF155" s="580">
        <f>H155</f>
        <v>46162</v>
      </c>
      <c r="AG155" s="579">
        <f>A155</f>
        <v>1660</v>
      </c>
      <c r="AH155" s="579"/>
      <c r="AJ155" s="542"/>
    </row>
    <row r="156" spans="1:36" s="46" customFormat="1" x14ac:dyDescent="0.15">
      <c r="A156" s="566">
        <v>1661</v>
      </c>
      <c r="B156" s="566">
        <v>1015</v>
      </c>
      <c r="C156" s="567"/>
      <c r="D156" s="566">
        <v>1068</v>
      </c>
      <c r="E156" s="567"/>
      <c r="F156" s="568" t="s">
        <v>140</v>
      </c>
      <c r="G156" s="569">
        <v>46135</v>
      </c>
      <c r="H156" s="569">
        <v>46162</v>
      </c>
      <c r="I156" s="569"/>
      <c r="J156" s="581"/>
      <c r="K156" s="571">
        <v>46161</v>
      </c>
      <c r="L156" s="572">
        <v>46155</v>
      </c>
      <c r="M156" s="573">
        <v>46162</v>
      </c>
      <c r="N156" s="570"/>
      <c r="O156" s="574" t="s">
        <v>1028</v>
      </c>
      <c r="P156" s="574" t="s">
        <v>1028</v>
      </c>
      <c r="Q156" s="574" t="s">
        <v>1028</v>
      </c>
      <c r="R156" s="574" t="s">
        <v>1028</v>
      </c>
      <c r="S156" s="574" t="s">
        <v>1028</v>
      </c>
      <c r="T156" s="574" t="s">
        <v>1028</v>
      </c>
      <c r="U156" s="574" t="s">
        <v>1028</v>
      </c>
      <c r="V156" s="574" t="s">
        <v>1028</v>
      </c>
      <c r="W156" s="575" t="s">
        <v>1028</v>
      </c>
      <c r="X156" s="576" t="s">
        <v>1028</v>
      </c>
      <c r="Y156" s="577"/>
      <c r="Z156" s="578" t="s">
        <v>1028</v>
      </c>
      <c r="AA156" s="579" t="s">
        <v>1207</v>
      </c>
      <c r="AB156" s="579" t="s">
        <v>414</v>
      </c>
      <c r="AC156" s="579"/>
      <c r="AD156" s="579" t="s">
        <v>140</v>
      </c>
      <c r="AE156" s="579">
        <v>11</v>
      </c>
      <c r="AF156" s="580">
        <f>H156</f>
        <v>46162</v>
      </c>
      <c r="AG156" s="579">
        <f>A156</f>
        <v>1661</v>
      </c>
      <c r="AH156" s="579"/>
      <c r="AJ156" s="542"/>
    </row>
    <row r="157" spans="1:36" s="46" customFormat="1" x14ac:dyDescent="0.15">
      <c r="A157" s="566">
        <v>1662</v>
      </c>
      <c r="B157" s="566">
        <v>1016</v>
      </c>
      <c r="C157" s="567"/>
      <c r="D157" s="566">
        <v>1069</v>
      </c>
      <c r="E157" s="567"/>
      <c r="F157" s="568" t="s">
        <v>140</v>
      </c>
      <c r="G157" s="569">
        <v>46135</v>
      </c>
      <c r="H157" s="569">
        <v>46162</v>
      </c>
      <c r="I157" s="569"/>
      <c r="J157" s="581"/>
      <c r="K157" s="571">
        <v>46161</v>
      </c>
      <c r="L157" s="572">
        <v>46155</v>
      </c>
      <c r="M157" s="573">
        <v>46162</v>
      </c>
      <c r="N157" s="570"/>
      <c r="O157" s="574" t="s">
        <v>1028</v>
      </c>
      <c r="P157" s="574" t="s">
        <v>1028</v>
      </c>
      <c r="Q157" s="574" t="s">
        <v>1028</v>
      </c>
      <c r="R157" s="574" t="s">
        <v>1028</v>
      </c>
      <c r="S157" s="574" t="s">
        <v>1028</v>
      </c>
      <c r="T157" s="574" t="s">
        <v>1028</v>
      </c>
      <c r="U157" s="574" t="s">
        <v>1028</v>
      </c>
      <c r="V157" s="574" t="s">
        <v>1028</v>
      </c>
      <c r="W157" s="575" t="s">
        <v>1028</v>
      </c>
      <c r="X157" s="576" t="s">
        <v>1028</v>
      </c>
      <c r="Y157" s="577"/>
      <c r="Z157" s="578" t="s">
        <v>1028</v>
      </c>
      <c r="AA157" s="579" t="s">
        <v>1208</v>
      </c>
      <c r="AB157" s="579" t="s">
        <v>414</v>
      </c>
      <c r="AC157" s="579"/>
      <c r="AD157" s="579" t="s">
        <v>140</v>
      </c>
      <c r="AE157" s="579">
        <v>11</v>
      </c>
      <c r="AF157" s="580">
        <f>H157</f>
        <v>46162</v>
      </c>
      <c r="AG157" s="579">
        <f>A157</f>
        <v>1662</v>
      </c>
      <c r="AH157" s="579"/>
      <c r="AJ157" s="542"/>
    </row>
    <row r="158" spans="1:36" s="46" customFormat="1" x14ac:dyDescent="0.15">
      <c r="A158" s="566">
        <v>1663</v>
      </c>
      <c r="B158" s="566">
        <v>1017</v>
      </c>
      <c r="C158" s="567"/>
      <c r="D158" s="566">
        <v>1070</v>
      </c>
      <c r="E158" s="567"/>
      <c r="F158" s="568" t="s">
        <v>140</v>
      </c>
      <c r="G158" s="569">
        <v>46135</v>
      </c>
      <c r="H158" s="569">
        <v>46162</v>
      </c>
      <c r="I158" s="569"/>
      <c r="J158" s="581"/>
      <c r="K158" s="571">
        <v>46161</v>
      </c>
      <c r="L158" s="572">
        <v>46155</v>
      </c>
      <c r="M158" s="573">
        <v>46162</v>
      </c>
      <c r="N158" s="570"/>
      <c r="O158" s="574" t="s">
        <v>1028</v>
      </c>
      <c r="P158" s="574" t="s">
        <v>1028</v>
      </c>
      <c r="Q158" s="574" t="s">
        <v>1028</v>
      </c>
      <c r="R158" s="574" t="s">
        <v>1028</v>
      </c>
      <c r="S158" s="574" t="s">
        <v>1028</v>
      </c>
      <c r="T158" s="574" t="s">
        <v>1028</v>
      </c>
      <c r="U158" s="574" t="s">
        <v>1028</v>
      </c>
      <c r="V158" s="574" t="s">
        <v>1028</v>
      </c>
      <c r="W158" s="575" t="s">
        <v>1028</v>
      </c>
      <c r="X158" s="576" t="s">
        <v>1028</v>
      </c>
      <c r="Y158" s="577"/>
      <c r="Z158" s="578" t="s">
        <v>1028</v>
      </c>
      <c r="AA158" s="579" t="s">
        <v>1209</v>
      </c>
      <c r="AB158" s="579" t="s">
        <v>414</v>
      </c>
      <c r="AC158" s="579"/>
      <c r="AD158" s="579" t="s">
        <v>140</v>
      </c>
      <c r="AE158" s="579">
        <v>11</v>
      </c>
      <c r="AF158" s="580">
        <f>H158</f>
        <v>46162</v>
      </c>
      <c r="AG158" s="579">
        <f>A158</f>
        <v>1663</v>
      </c>
      <c r="AH158" s="579"/>
      <c r="AJ158" s="542"/>
    </row>
    <row r="159" spans="1:36" s="46" customFormat="1" x14ac:dyDescent="0.15">
      <c r="A159" s="566">
        <v>1664</v>
      </c>
      <c r="B159" s="566">
        <v>1018</v>
      </c>
      <c r="C159" s="567"/>
      <c r="D159" s="566">
        <v>1071</v>
      </c>
      <c r="E159" s="567"/>
      <c r="F159" s="568" t="s">
        <v>140</v>
      </c>
      <c r="G159" s="569">
        <v>46135</v>
      </c>
      <c r="H159" s="569">
        <v>46162</v>
      </c>
      <c r="I159" s="569"/>
      <c r="J159" s="581"/>
      <c r="K159" s="571">
        <v>46161</v>
      </c>
      <c r="L159" s="572">
        <v>46155</v>
      </c>
      <c r="M159" s="573">
        <v>46162</v>
      </c>
      <c r="N159" s="570"/>
      <c r="O159" s="574" t="s">
        <v>1028</v>
      </c>
      <c r="P159" s="574" t="s">
        <v>1028</v>
      </c>
      <c r="Q159" s="574" t="s">
        <v>1028</v>
      </c>
      <c r="R159" s="574" t="s">
        <v>1028</v>
      </c>
      <c r="S159" s="574" t="s">
        <v>1028</v>
      </c>
      <c r="T159" s="574" t="s">
        <v>1028</v>
      </c>
      <c r="U159" s="574" t="s">
        <v>1028</v>
      </c>
      <c r="V159" s="574" t="s">
        <v>1028</v>
      </c>
      <c r="W159" s="575" t="s">
        <v>1028</v>
      </c>
      <c r="X159" s="576" t="s">
        <v>1028</v>
      </c>
      <c r="Y159" s="577"/>
      <c r="Z159" s="578" t="s">
        <v>1028</v>
      </c>
      <c r="AA159" s="579" t="s">
        <v>1210</v>
      </c>
      <c r="AB159" s="579" t="s">
        <v>414</v>
      </c>
      <c r="AC159" s="579"/>
      <c r="AD159" s="579" t="s">
        <v>140</v>
      </c>
      <c r="AE159" s="579">
        <v>11</v>
      </c>
      <c r="AF159" s="580">
        <f>H159</f>
        <v>46162</v>
      </c>
      <c r="AG159" s="579">
        <f>A159</f>
        <v>1664</v>
      </c>
      <c r="AH159" s="579"/>
      <c r="AJ159" s="542"/>
    </row>
    <row r="160" spans="1:36" s="46" customFormat="1" x14ac:dyDescent="0.15">
      <c r="A160" s="566">
        <v>1665</v>
      </c>
      <c r="B160" s="566">
        <v>1019</v>
      </c>
      <c r="C160" s="567"/>
      <c r="D160" s="566">
        <v>1072</v>
      </c>
      <c r="E160" s="567"/>
      <c r="F160" s="568" t="s">
        <v>140</v>
      </c>
      <c r="G160" s="569">
        <v>46135</v>
      </c>
      <c r="H160" s="569">
        <v>46163</v>
      </c>
      <c r="I160" s="569"/>
      <c r="J160" s="581"/>
      <c r="K160" s="571">
        <v>46162</v>
      </c>
      <c r="L160" s="572">
        <v>46156</v>
      </c>
      <c r="M160" s="573">
        <v>46163</v>
      </c>
      <c r="N160" s="570"/>
      <c r="O160" s="574" t="s">
        <v>1028</v>
      </c>
      <c r="P160" s="574" t="s">
        <v>1028</v>
      </c>
      <c r="Q160" s="574" t="s">
        <v>1028</v>
      </c>
      <c r="R160" s="574" t="s">
        <v>1028</v>
      </c>
      <c r="S160" s="574" t="s">
        <v>1028</v>
      </c>
      <c r="T160" s="574" t="s">
        <v>1028</v>
      </c>
      <c r="U160" s="574" t="s">
        <v>1028</v>
      </c>
      <c r="V160" s="574" t="s">
        <v>1028</v>
      </c>
      <c r="W160" s="575" t="s">
        <v>1028</v>
      </c>
      <c r="X160" s="576" t="s">
        <v>1028</v>
      </c>
      <c r="Y160" s="577"/>
      <c r="Z160" s="578" t="s">
        <v>1028</v>
      </c>
      <c r="AA160" s="579" t="s">
        <v>1211</v>
      </c>
      <c r="AB160" s="579" t="s">
        <v>414</v>
      </c>
      <c r="AC160" s="579"/>
      <c r="AD160" s="579" t="s">
        <v>140</v>
      </c>
      <c r="AE160" s="579">
        <v>11</v>
      </c>
      <c r="AF160" s="580">
        <f>H160</f>
        <v>46163</v>
      </c>
      <c r="AG160" s="579">
        <f>A160</f>
        <v>1665</v>
      </c>
      <c r="AH160" s="579"/>
      <c r="AJ160" s="542"/>
    </row>
    <row r="161" spans="1:36" s="46" customFormat="1" x14ac:dyDescent="0.15">
      <c r="A161" s="566">
        <v>1666</v>
      </c>
      <c r="B161" s="566">
        <v>1020</v>
      </c>
      <c r="C161" s="567"/>
      <c r="D161" s="566">
        <v>1073</v>
      </c>
      <c r="E161" s="567"/>
      <c r="F161" s="568" t="s">
        <v>140</v>
      </c>
      <c r="G161" s="569">
        <v>46135</v>
      </c>
      <c r="H161" s="569">
        <v>46163</v>
      </c>
      <c r="I161" s="569"/>
      <c r="J161" s="581"/>
      <c r="K161" s="571">
        <v>46162</v>
      </c>
      <c r="L161" s="572">
        <v>46156</v>
      </c>
      <c r="M161" s="573">
        <v>46163</v>
      </c>
      <c r="N161" s="570"/>
      <c r="O161" s="574" t="s">
        <v>1028</v>
      </c>
      <c r="P161" s="574" t="s">
        <v>1028</v>
      </c>
      <c r="Q161" s="574" t="s">
        <v>1028</v>
      </c>
      <c r="R161" s="574" t="s">
        <v>1028</v>
      </c>
      <c r="S161" s="574" t="s">
        <v>1028</v>
      </c>
      <c r="T161" s="574" t="s">
        <v>1028</v>
      </c>
      <c r="U161" s="574" t="s">
        <v>1028</v>
      </c>
      <c r="V161" s="574" t="s">
        <v>1028</v>
      </c>
      <c r="W161" s="575" t="s">
        <v>1028</v>
      </c>
      <c r="X161" s="576" t="s">
        <v>1028</v>
      </c>
      <c r="Y161" s="577"/>
      <c r="Z161" s="578" t="s">
        <v>1028</v>
      </c>
      <c r="AA161" s="579" t="s">
        <v>1212</v>
      </c>
      <c r="AB161" s="579" t="s">
        <v>414</v>
      </c>
      <c r="AC161" s="579"/>
      <c r="AD161" s="579" t="s">
        <v>140</v>
      </c>
      <c r="AE161" s="579">
        <v>11</v>
      </c>
      <c r="AF161" s="580">
        <f>H161</f>
        <v>46163</v>
      </c>
      <c r="AG161" s="579">
        <f>A161</f>
        <v>1666</v>
      </c>
      <c r="AH161" s="579"/>
      <c r="AJ161" s="542"/>
    </row>
    <row r="162" spans="1:36" s="46" customFormat="1" x14ac:dyDescent="0.15">
      <c r="A162" s="566">
        <v>1667</v>
      </c>
      <c r="B162" s="566">
        <v>1021</v>
      </c>
      <c r="C162" s="567"/>
      <c r="D162" s="566">
        <v>1074</v>
      </c>
      <c r="E162" s="567"/>
      <c r="F162" s="568" t="s">
        <v>140</v>
      </c>
      <c r="G162" s="569">
        <v>46135</v>
      </c>
      <c r="H162" s="569">
        <v>46163</v>
      </c>
      <c r="I162" s="569"/>
      <c r="J162" s="581"/>
      <c r="K162" s="571">
        <v>46162</v>
      </c>
      <c r="L162" s="572">
        <v>46156</v>
      </c>
      <c r="M162" s="573">
        <v>46163</v>
      </c>
      <c r="N162" s="570"/>
      <c r="O162" s="574" t="s">
        <v>1028</v>
      </c>
      <c r="P162" s="574" t="s">
        <v>1028</v>
      </c>
      <c r="Q162" s="574" t="s">
        <v>1028</v>
      </c>
      <c r="R162" s="574" t="s">
        <v>1028</v>
      </c>
      <c r="S162" s="574" t="s">
        <v>1028</v>
      </c>
      <c r="T162" s="574" t="s">
        <v>1028</v>
      </c>
      <c r="U162" s="574" t="s">
        <v>1028</v>
      </c>
      <c r="V162" s="574" t="s">
        <v>1028</v>
      </c>
      <c r="W162" s="575" t="s">
        <v>1028</v>
      </c>
      <c r="X162" s="576" t="s">
        <v>1028</v>
      </c>
      <c r="Y162" s="577"/>
      <c r="Z162" s="578" t="s">
        <v>1028</v>
      </c>
      <c r="AA162" s="579" t="s">
        <v>1213</v>
      </c>
      <c r="AB162" s="579" t="s">
        <v>414</v>
      </c>
      <c r="AC162" s="579"/>
      <c r="AD162" s="579" t="s">
        <v>140</v>
      </c>
      <c r="AE162" s="579">
        <v>11</v>
      </c>
      <c r="AF162" s="580">
        <f>H162</f>
        <v>46163</v>
      </c>
      <c r="AG162" s="579">
        <f>A162</f>
        <v>1667</v>
      </c>
      <c r="AH162" s="579"/>
      <c r="AJ162" s="542"/>
    </row>
    <row r="163" spans="1:36" s="46" customFormat="1" x14ac:dyDescent="0.15">
      <c r="A163" s="566">
        <v>1668</v>
      </c>
      <c r="B163" s="566">
        <v>1022</v>
      </c>
      <c r="C163" s="567"/>
      <c r="D163" s="566">
        <v>1075</v>
      </c>
      <c r="E163" s="567"/>
      <c r="F163" s="568" t="s">
        <v>140</v>
      </c>
      <c r="G163" s="569">
        <v>46135</v>
      </c>
      <c r="H163" s="569">
        <v>46163</v>
      </c>
      <c r="I163" s="569"/>
      <c r="J163" s="581"/>
      <c r="K163" s="571">
        <v>46162</v>
      </c>
      <c r="L163" s="572">
        <v>46156</v>
      </c>
      <c r="M163" s="573">
        <v>46163</v>
      </c>
      <c r="N163" s="570"/>
      <c r="O163" s="574" t="s">
        <v>1028</v>
      </c>
      <c r="P163" s="574" t="s">
        <v>1028</v>
      </c>
      <c r="Q163" s="574" t="s">
        <v>1028</v>
      </c>
      <c r="R163" s="574" t="s">
        <v>1028</v>
      </c>
      <c r="S163" s="574" t="s">
        <v>1028</v>
      </c>
      <c r="T163" s="574" t="s">
        <v>1028</v>
      </c>
      <c r="U163" s="574" t="s">
        <v>1028</v>
      </c>
      <c r="V163" s="574" t="s">
        <v>1028</v>
      </c>
      <c r="W163" s="575" t="s">
        <v>1028</v>
      </c>
      <c r="X163" s="576" t="s">
        <v>1028</v>
      </c>
      <c r="Y163" s="577"/>
      <c r="Z163" s="578" t="s">
        <v>1028</v>
      </c>
      <c r="AA163" s="579" t="s">
        <v>1214</v>
      </c>
      <c r="AB163" s="579" t="s">
        <v>414</v>
      </c>
      <c r="AC163" s="579"/>
      <c r="AD163" s="579" t="s">
        <v>140</v>
      </c>
      <c r="AE163" s="579">
        <v>11</v>
      </c>
      <c r="AF163" s="580">
        <f>H163</f>
        <v>46163</v>
      </c>
      <c r="AG163" s="579">
        <f>A163</f>
        <v>1668</v>
      </c>
      <c r="AH163" s="579"/>
      <c r="AJ163" s="542"/>
    </row>
    <row r="164" spans="1:36" s="46" customFormat="1" x14ac:dyDescent="0.15">
      <c r="A164" s="566">
        <v>1669</v>
      </c>
      <c r="B164" s="566">
        <v>1023</v>
      </c>
      <c r="C164" s="567"/>
      <c r="D164" s="566">
        <v>1076</v>
      </c>
      <c r="E164" s="567"/>
      <c r="F164" s="568" t="s">
        <v>140</v>
      </c>
      <c r="G164" s="569">
        <v>46135</v>
      </c>
      <c r="H164" s="569">
        <v>46163</v>
      </c>
      <c r="I164" s="569"/>
      <c r="J164" s="581"/>
      <c r="K164" s="571">
        <v>46162</v>
      </c>
      <c r="L164" s="572">
        <v>46156</v>
      </c>
      <c r="M164" s="573">
        <v>46163</v>
      </c>
      <c r="N164" s="570"/>
      <c r="O164" s="574" t="s">
        <v>1028</v>
      </c>
      <c r="P164" s="574" t="s">
        <v>1028</v>
      </c>
      <c r="Q164" s="574" t="s">
        <v>1028</v>
      </c>
      <c r="R164" s="574" t="s">
        <v>1028</v>
      </c>
      <c r="S164" s="574" t="s">
        <v>1028</v>
      </c>
      <c r="T164" s="574" t="s">
        <v>1028</v>
      </c>
      <c r="U164" s="574" t="s">
        <v>1028</v>
      </c>
      <c r="V164" s="574" t="s">
        <v>1028</v>
      </c>
      <c r="W164" s="575" t="s">
        <v>1028</v>
      </c>
      <c r="X164" s="576" t="s">
        <v>1028</v>
      </c>
      <c r="Y164" s="577"/>
      <c r="Z164" s="578" t="s">
        <v>1028</v>
      </c>
      <c r="AA164" s="579" t="s">
        <v>1215</v>
      </c>
      <c r="AB164" s="579" t="s">
        <v>414</v>
      </c>
      <c r="AC164" s="579"/>
      <c r="AD164" s="579" t="s">
        <v>140</v>
      </c>
      <c r="AE164" s="579">
        <v>11</v>
      </c>
      <c r="AF164" s="580">
        <f>H164</f>
        <v>46163</v>
      </c>
      <c r="AG164" s="579">
        <f>A164</f>
        <v>1669</v>
      </c>
      <c r="AH164" s="579"/>
      <c r="AJ164" s="542"/>
    </row>
    <row r="165" spans="1:36" s="46" customFormat="1" x14ac:dyDescent="0.15">
      <c r="A165" s="566">
        <v>1670</v>
      </c>
      <c r="B165" s="566">
        <v>1024</v>
      </c>
      <c r="C165" s="567"/>
      <c r="D165" s="566">
        <v>1077</v>
      </c>
      <c r="E165" s="567"/>
      <c r="F165" s="568" t="s">
        <v>140</v>
      </c>
      <c r="G165" s="569">
        <v>46135</v>
      </c>
      <c r="H165" s="569">
        <v>46163</v>
      </c>
      <c r="I165" s="569"/>
      <c r="J165" s="581"/>
      <c r="K165" s="571">
        <v>46162</v>
      </c>
      <c r="L165" s="572">
        <v>46156</v>
      </c>
      <c r="M165" s="573">
        <v>46163</v>
      </c>
      <c r="N165" s="570"/>
      <c r="O165" s="574" t="s">
        <v>1028</v>
      </c>
      <c r="P165" s="574" t="s">
        <v>1028</v>
      </c>
      <c r="Q165" s="574" t="s">
        <v>1028</v>
      </c>
      <c r="R165" s="574" t="s">
        <v>1028</v>
      </c>
      <c r="S165" s="574" t="s">
        <v>1028</v>
      </c>
      <c r="T165" s="574" t="s">
        <v>1028</v>
      </c>
      <c r="U165" s="574" t="s">
        <v>1028</v>
      </c>
      <c r="V165" s="574" t="s">
        <v>1028</v>
      </c>
      <c r="W165" s="575" t="s">
        <v>1028</v>
      </c>
      <c r="X165" s="576" t="s">
        <v>1028</v>
      </c>
      <c r="Y165" s="577"/>
      <c r="Z165" s="578" t="s">
        <v>1028</v>
      </c>
      <c r="AA165" s="579" t="s">
        <v>1216</v>
      </c>
      <c r="AB165" s="579" t="s">
        <v>414</v>
      </c>
      <c r="AC165" s="579"/>
      <c r="AD165" s="579" t="s">
        <v>140</v>
      </c>
      <c r="AE165" s="579">
        <v>11</v>
      </c>
      <c r="AF165" s="580">
        <f>H165</f>
        <v>46163</v>
      </c>
      <c r="AG165" s="579">
        <f>A165</f>
        <v>1670</v>
      </c>
      <c r="AH165" s="579"/>
      <c r="AJ165" s="542"/>
    </row>
    <row r="166" spans="1:36" s="46" customFormat="1" x14ac:dyDescent="0.15">
      <c r="A166" s="566">
        <v>1671</v>
      </c>
      <c r="B166" s="566">
        <v>1025</v>
      </c>
      <c r="C166" s="567"/>
      <c r="D166" s="566">
        <v>1078</v>
      </c>
      <c r="E166" s="567"/>
      <c r="F166" s="568" t="s">
        <v>140</v>
      </c>
      <c r="G166" s="569">
        <v>46135</v>
      </c>
      <c r="H166" s="569">
        <v>46164</v>
      </c>
      <c r="I166" s="569"/>
      <c r="J166" s="581"/>
      <c r="K166" s="571">
        <v>46163</v>
      </c>
      <c r="L166" s="572">
        <v>46157</v>
      </c>
      <c r="M166" s="573">
        <v>46164</v>
      </c>
      <c r="N166" s="570"/>
      <c r="O166" s="574" t="s">
        <v>1028</v>
      </c>
      <c r="P166" s="574" t="s">
        <v>1028</v>
      </c>
      <c r="Q166" s="574" t="s">
        <v>1028</v>
      </c>
      <c r="R166" s="574" t="s">
        <v>1028</v>
      </c>
      <c r="S166" s="574" t="s">
        <v>1028</v>
      </c>
      <c r="T166" s="574" t="s">
        <v>1028</v>
      </c>
      <c r="U166" s="574" t="s">
        <v>1028</v>
      </c>
      <c r="V166" s="574" t="s">
        <v>1028</v>
      </c>
      <c r="W166" s="575" t="s">
        <v>1028</v>
      </c>
      <c r="X166" s="576" t="s">
        <v>1028</v>
      </c>
      <c r="Y166" s="577"/>
      <c r="Z166" s="578" t="s">
        <v>1028</v>
      </c>
      <c r="AA166" s="579" t="s">
        <v>1217</v>
      </c>
      <c r="AB166" s="579" t="s">
        <v>414</v>
      </c>
      <c r="AC166" s="579"/>
      <c r="AD166" s="579" t="s">
        <v>140</v>
      </c>
      <c r="AE166" s="579">
        <v>11</v>
      </c>
      <c r="AF166" s="580">
        <f>H166</f>
        <v>46164</v>
      </c>
      <c r="AG166" s="579">
        <f>A166</f>
        <v>1671</v>
      </c>
      <c r="AH166" s="579"/>
      <c r="AJ166" s="542"/>
    </row>
    <row r="167" spans="1:36" s="46" customFormat="1" x14ac:dyDescent="0.15">
      <c r="A167" s="566">
        <v>1672</v>
      </c>
      <c r="B167" s="566">
        <v>1026</v>
      </c>
      <c r="C167" s="567"/>
      <c r="D167" s="566">
        <v>1079</v>
      </c>
      <c r="E167" s="567"/>
      <c r="F167" s="568" t="s">
        <v>140</v>
      </c>
      <c r="G167" s="569">
        <v>46135</v>
      </c>
      <c r="H167" s="569">
        <v>46164</v>
      </c>
      <c r="I167" s="569"/>
      <c r="J167" s="581"/>
      <c r="K167" s="571">
        <v>46163</v>
      </c>
      <c r="L167" s="572">
        <v>46157</v>
      </c>
      <c r="M167" s="573">
        <v>46164</v>
      </c>
      <c r="N167" s="570"/>
      <c r="O167" s="574" t="s">
        <v>1028</v>
      </c>
      <c r="P167" s="574" t="s">
        <v>1028</v>
      </c>
      <c r="Q167" s="574" t="s">
        <v>1028</v>
      </c>
      <c r="R167" s="574" t="s">
        <v>1028</v>
      </c>
      <c r="S167" s="574" t="s">
        <v>1028</v>
      </c>
      <c r="T167" s="574" t="s">
        <v>1028</v>
      </c>
      <c r="U167" s="574" t="s">
        <v>1028</v>
      </c>
      <c r="V167" s="574" t="s">
        <v>1028</v>
      </c>
      <c r="W167" s="575" t="s">
        <v>1028</v>
      </c>
      <c r="X167" s="576" t="s">
        <v>1028</v>
      </c>
      <c r="Y167" s="577"/>
      <c r="Z167" s="578" t="s">
        <v>1028</v>
      </c>
      <c r="AA167" s="579" t="s">
        <v>1218</v>
      </c>
      <c r="AB167" s="579" t="s">
        <v>414</v>
      </c>
      <c r="AC167" s="579"/>
      <c r="AD167" s="579" t="s">
        <v>140</v>
      </c>
      <c r="AE167" s="579">
        <v>11</v>
      </c>
      <c r="AF167" s="580">
        <f>H167</f>
        <v>46164</v>
      </c>
      <c r="AG167" s="579">
        <f>A167</f>
        <v>1672</v>
      </c>
      <c r="AH167" s="579"/>
      <c r="AJ167" s="542"/>
    </row>
    <row r="168" spans="1:36" s="46" customFormat="1" x14ac:dyDescent="0.15">
      <c r="A168" s="566">
        <v>1673</v>
      </c>
      <c r="B168" s="566">
        <v>1027</v>
      </c>
      <c r="C168" s="567"/>
      <c r="D168" s="566">
        <v>1080</v>
      </c>
      <c r="E168" s="567"/>
      <c r="F168" s="568" t="s">
        <v>140</v>
      </c>
      <c r="G168" s="569">
        <v>46135</v>
      </c>
      <c r="H168" s="569">
        <v>46164</v>
      </c>
      <c r="I168" s="569"/>
      <c r="J168" s="581"/>
      <c r="K168" s="571">
        <v>46163</v>
      </c>
      <c r="L168" s="572">
        <v>46157</v>
      </c>
      <c r="M168" s="573">
        <v>46164</v>
      </c>
      <c r="N168" s="570"/>
      <c r="O168" s="574" t="s">
        <v>1028</v>
      </c>
      <c r="P168" s="574" t="s">
        <v>1028</v>
      </c>
      <c r="Q168" s="574" t="s">
        <v>1028</v>
      </c>
      <c r="R168" s="574" t="s">
        <v>1028</v>
      </c>
      <c r="S168" s="574" t="s">
        <v>1028</v>
      </c>
      <c r="T168" s="574" t="s">
        <v>1028</v>
      </c>
      <c r="U168" s="574" t="s">
        <v>1028</v>
      </c>
      <c r="V168" s="574" t="s">
        <v>1028</v>
      </c>
      <c r="W168" s="575" t="s">
        <v>1028</v>
      </c>
      <c r="X168" s="576" t="s">
        <v>1028</v>
      </c>
      <c r="Y168" s="577"/>
      <c r="Z168" s="578" t="s">
        <v>1028</v>
      </c>
      <c r="AA168" s="579" t="s">
        <v>1219</v>
      </c>
      <c r="AB168" s="579" t="s">
        <v>414</v>
      </c>
      <c r="AC168" s="579"/>
      <c r="AD168" s="579" t="s">
        <v>140</v>
      </c>
      <c r="AE168" s="579">
        <v>11</v>
      </c>
      <c r="AF168" s="580">
        <f>H168</f>
        <v>46164</v>
      </c>
      <c r="AG168" s="579">
        <f>A168</f>
        <v>1673</v>
      </c>
      <c r="AH168" s="579"/>
      <c r="AJ168" s="542"/>
    </row>
    <row r="169" spans="1:36" s="46" customFormat="1" x14ac:dyDescent="0.15">
      <c r="A169" s="566">
        <v>1674</v>
      </c>
      <c r="B169" s="566">
        <v>1028</v>
      </c>
      <c r="C169" s="567"/>
      <c r="D169" s="566">
        <v>1081</v>
      </c>
      <c r="E169" s="567"/>
      <c r="F169" s="568" t="s">
        <v>140</v>
      </c>
      <c r="G169" s="569">
        <v>46135</v>
      </c>
      <c r="H169" s="569">
        <v>46164</v>
      </c>
      <c r="I169" s="569"/>
      <c r="J169" s="581"/>
      <c r="K169" s="571">
        <v>46163</v>
      </c>
      <c r="L169" s="572">
        <v>46157</v>
      </c>
      <c r="M169" s="573">
        <v>46164</v>
      </c>
      <c r="N169" s="570"/>
      <c r="O169" s="574" t="s">
        <v>1028</v>
      </c>
      <c r="P169" s="574" t="s">
        <v>1028</v>
      </c>
      <c r="Q169" s="574" t="s">
        <v>1028</v>
      </c>
      <c r="R169" s="574" t="s">
        <v>1028</v>
      </c>
      <c r="S169" s="574" t="s">
        <v>1028</v>
      </c>
      <c r="T169" s="574" t="s">
        <v>1028</v>
      </c>
      <c r="U169" s="574" t="s">
        <v>1028</v>
      </c>
      <c r="V169" s="574" t="s">
        <v>1028</v>
      </c>
      <c r="W169" s="575" t="s">
        <v>1028</v>
      </c>
      <c r="X169" s="576" t="s">
        <v>1028</v>
      </c>
      <c r="Y169" s="577"/>
      <c r="Z169" s="578" t="s">
        <v>1028</v>
      </c>
      <c r="AA169" s="579" t="s">
        <v>1220</v>
      </c>
      <c r="AB169" s="579" t="s">
        <v>414</v>
      </c>
      <c r="AC169" s="579"/>
      <c r="AD169" s="579" t="s">
        <v>140</v>
      </c>
      <c r="AE169" s="579">
        <v>11</v>
      </c>
      <c r="AF169" s="580">
        <f>H169</f>
        <v>46164</v>
      </c>
      <c r="AG169" s="579">
        <f>A169</f>
        <v>1674</v>
      </c>
      <c r="AH169" s="579"/>
      <c r="AJ169" s="542"/>
    </row>
    <row r="170" spans="1:36" s="46" customFormat="1" x14ac:dyDescent="0.15">
      <c r="A170" s="566">
        <v>1675</v>
      </c>
      <c r="B170" s="566">
        <v>1029</v>
      </c>
      <c r="C170" s="567"/>
      <c r="D170" s="566">
        <v>1082</v>
      </c>
      <c r="E170" s="567"/>
      <c r="F170" s="568" t="s">
        <v>140</v>
      </c>
      <c r="G170" s="569">
        <v>46135</v>
      </c>
      <c r="H170" s="569">
        <v>46164</v>
      </c>
      <c r="I170" s="569"/>
      <c r="J170" s="581"/>
      <c r="K170" s="571">
        <v>46163</v>
      </c>
      <c r="L170" s="572">
        <v>46157</v>
      </c>
      <c r="M170" s="573">
        <v>46164</v>
      </c>
      <c r="N170" s="570"/>
      <c r="O170" s="574" t="s">
        <v>1028</v>
      </c>
      <c r="P170" s="574" t="s">
        <v>1028</v>
      </c>
      <c r="Q170" s="574" t="s">
        <v>1028</v>
      </c>
      <c r="R170" s="574" t="s">
        <v>1028</v>
      </c>
      <c r="S170" s="574" t="s">
        <v>1028</v>
      </c>
      <c r="T170" s="574" t="s">
        <v>1028</v>
      </c>
      <c r="U170" s="574" t="s">
        <v>1028</v>
      </c>
      <c r="V170" s="574" t="s">
        <v>1028</v>
      </c>
      <c r="W170" s="575" t="s">
        <v>1028</v>
      </c>
      <c r="X170" s="576" t="s">
        <v>1028</v>
      </c>
      <c r="Y170" s="577"/>
      <c r="Z170" s="578" t="s">
        <v>1028</v>
      </c>
      <c r="AA170" s="579" t="s">
        <v>1221</v>
      </c>
      <c r="AB170" s="579" t="s">
        <v>414</v>
      </c>
      <c r="AC170" s="579"/>
      <c r="AD170" s="579" t="s">
        <v>140</v>
      </c>
      <c r="AE170" s="579">
        <v>11</v>
      </c>
      <c r="AF170" s="580">
        <f>H170</f>
        <v>46164</v>
      </c>
      <c r="AG170" s="579">
        <f>A170</f>
        <v>1675</v>
      </c>
      <c r="AH170" s="579"/>
      <c r="AJ170" s="542"/>
    </row>
    <row r="171" spans="1:36" s="46" customFormat="1" x14ac:dyDescent="0.15">
      <c r="A171" s="566">
        <v>1676</v>
      </c>
      <c r="B171" s="566">
        <v>1030</v>
      </c>
      <c r="C171" s="567"/>
      <c r="D171" s="566">
        <v>1083</v>
      </c>
      <c r="E171" s="567"/>
      <c r="F171" s="568" t="s">
        <v>140</v>
      </c>
      <c r="G171" s="569">
        <v>46135</v>
      </c>
      <c r="H171" s="569">
        <v>46167</v>
      </c>
      <c r="I171" s="569"/>
      <c r="J171" s="581"/>
      <c r="K171" s="571">
        <v>46164</v>
      </c>
      <c r="L171" s="572">
        <v>46160</v>
      </c>
      <c r="M171" s="573">
        <v>46167</v>
      </c>
      <c r="N171" s="570"/>
      <c r="O171" s="574" t="s">
        <v>1028</v>
      </c>
      <c r="P171" s="574" t="s">
        <v>1028</v>
      </c>
      <c r="Q171" s="574" t="s">
        <v>1028</v>
      </c>
      <c r="R171" s="574" t="s">
        <v>1028</v>
      </c>
      <c r="S171" s="574" t="s">
        <v>1028</v>
      </c>
      <c r="T171" s="574" t="s">
        <v>1028</v>
      </c>
      <c r="U171" s="574" t="s">
        <v>1028</v>
      </c>
      <c r="V171" s="574" t="s">
        <v>1028</v>
      </c>
      <c r="W171" s="575" t="s">
        <v>1028</v>
      </c>
      <c r="X171" s="576" t="s">
        <v>1028</v>
      </c>
      <c r="Y171" s="577"/>
      <c r="Z171" s="578" t="s">
        <v>1028</v>
      </c>
      <c r="AA171" s="579" t="s">
        <v>1222</v>
      </c>
      <c r="AB171" s="579" t="s">
        <v>414</v>
      </c>
      <c r="AC171" s="579"/>
      <c r="AD171" s="579" t="s">
        <v>140</v>
      </c>
      <c r="AE171" s="579">
        <v>11</v>
      </c>
      <c r="AF171" s="580">
        <f>H171</f>
        <v>46167</v>
      </c>
      <c r="AG171" s="579">
        <f>A171</f>
        <v>1676</v>
      </c>
      <c r="AH171" s="579"/>
      <c r="AJ171" s="542"/>
    </row>
    <row r="172" spans="1:36" s="46" customFormat="1" x14ac:dyDescent="0.15">
      <c r="A172" s="566">
        <v>1677</v>
      </c>
      <c r="B172" s="566">
        <v>1031</v>
      </c>
      <c r="C172" s="567"/>
      <c r="D172" s="566">
        <v>1084</v>
      </c>
      <c r="E172" s="567"/>
      <c r="F172" s="568" t="s">
        <v>140</v>
      </c>
      <c r="G172" s="569">
        <v>46135</v>
      </c>
      <c r="H172" s="569">
        <v>46167</v>
      </c>
      <c r="I172" s="569"/>
      <c r="J172" s="581"/>
      <c r="K172" s="571">
        <v>46164</v>
      </c>
      <c r="L172" s="572">
        <v>46160</v>
      </c>
      <c r="M172" s="573">
        <v>46167</v>
      </c>
      <c r="N172" s="570"/>
      <c r="O172" s="574" t="s">
        <v>1028</v>
      </c>
      <c r="P172" s="574" t="s">
        <v>1028</v>
      </c>
      <c r="Q172" s="574" t="s">
        <v>1028</v>
      </c>
      <c r="R172" s="574" t="s">
        <v>1028</v>
      </c>
      <c r="S172" s="574" t="s">
        <v>1028</v>
      </c>
      <c r="T172" s="574" t="s">
        <v>1028</v>
      </c>
      <c r="U172" s="574" t="s">
        <v>1028</v>
      </c>
      <c r="V172" s="574" t="s">
        <v>1028</v>
      </c>
      <c r="W172" s="575" t="s">
        <v>1028</v>
      </c>
      <c r="X172" s="576" t="s">
        <v>1028</v>
      </c>
      <c r="Y172" s="577"/>
      <c r="Z172" s="578" t="s">
        <v>1028</v>
      </c>
      <c r="AA172" s="579" t="s">
        <v>1223</v>
      </c>
      <c r="AB172" s="579" t="s">
        <v>414</v>
      </c>
      <c r="AC172" s="579"/>
      <c r="AD172" s="579" t="s">
        <v>140</v>
      </c>
      <c r="AE172" s="579">
        <v>11</v>
      </c>
      <c r="AF172" s="580">
        <f>H172</f>
        <v>46167</v>
      </c>
      <c r="AG172" s="579">
        <f>A172</f>
        <v>1677</v>
      </c>
      <c r="AH172" s="579"/>
      <c r="AJ172" s="542"/>
    </row>
    <row r="173" spans="1:36" s="46" customFormat="1" x14ac:dyDescent="0.15">
      <c r="A173" s="566">
        <v>1678</v>
      </c>
      <c r="B173" s="566">
        <v>1032</v>
      </c>
      <c r="C173" s="567"/>
      <c r="D173" s="566">
        <v>1085</v>
      </c>
      <c r="E173" s="567"/>
      <c r="F173" s="568" t="s">
        <v>140</v>
      </c>
      <c r="G173" s="569">
        <v>46135</v>
      </c>
      <c r="H173" s="569">
        <v>46167</v>
      </c>
      <c r="I173" s="569"/>
      <c r="J173" s="581"/>
      <c r="K173" s="571">
        <v>46164</v>
      </c>
      <c r="L173" s="572">
        <v>46160</v>
      </c>
      <c r="M173" s="573">
        <v>46167</v>
      </c>
      <c r="N173" s="570"/>
      <c r="O173" s="574" t="s">
        <v>1028</v>
      </c>
      <c r="P173" s="574" t="s">
        <v>1028</v>
      </c>
      <c r="Q173" s="574" t="s">
        <v>1028</v>
      </c>
      <c r="R173" s="574" t="s">
        <v>1028</v>
      </c>
      <c r="S173" s="574" t="s">
        <v>1028</v>
      </c>
      <c r="T173" s="574" t="s">
        <v>1028</v>
      </c>
      <c r="U173" s="574" t="s">
        <v>1028</v>
      </c>
      <c r="V173" s="574" t="s">
        <v>1028</v>
      </c>
      <c r="W173" s="575" t="s">
        <v>1028</v>
      </c>
      <c r="X173" s="576" t="s">
        <v>1028</v>
      </c>
      <c r="Y173" s="577"/>
      <c r="Z173" s="578" t="s">
        <v>1028</v>
      </c>
      <c r="AA173" s="579" t="s">
        <v>1224</v>
      </c>
      <c r="AB173" s="579" t="s">
        <v>414</v>
      </c>
      <c r="AC173" s="579"/>
      <c r="AD173" s="579" t="s">
        <v>140</v>
      </c>
      <c r="AE173" s="579">
        <v>11</v>
      </c>
      <c r="AF173" s="580">
        <f>H173</f>
        <v>46167</v>
      </c>
      <c r="AG173" s="579">
        <f>A173</f>
        <v>1678</v>
      </c>
      <c r="AH173" s="579"/>
      <c r="AJ173" s="542"/>
    </row>
    <row r="174" spans="1:36" s="46" customFormat="1" x14ac:dyDescent="0.15">
      <c r="A174" s="566">
        <v>1679</v>
      </c>
      <c r="B174" s="566">
        <v>1033</v>
      </c>
      <c r="C174" s="567"/>
      <c r="D174" s="566">
        <v>1086</v>
      </c>
      <c r="E174" s="567"/>
      <c r="F174" s="568" t="s">
        <v>140</v>
      </c>
      <c r="G174" s="569">
        <v>46135</v>
      </c>
      <c r="H174" s="569">
        <v>46167</v>
      </c>
      <c r="I174" s="569"/>
      <c r="J174" s="581"/>
      <c r="K174" s="571">
        <v>46164</v>
      </c>
      <c r="L174" s="572">
        <v>46160</v>
      </c>
      <c r="M174" s="573">
        <v>46167</v>
      </c>
      <c r="N174" s="570"/>
      <c r="O174" s="574" t="s">
        <v>1028</v>
      </c>
      <c r="P174" s="574" t="s">
        <v>1028</v>
      </c>
      <c r="Q174" s="574" t="s">
        <v>1028</v>
      </c>
      <c r="R174" s="574" t="s">
        <v>1028</v>
      </c>
      <c r="S174" s="574" t="s">
        <v>1028</v>
      </c>
      <c r="T174" s="574" t="s">
        <v>1028</v>
      </c>
      <c r="U174" s="574" t="s">
        <v>1028</v>
      </c>
      <c r="V174" s="574" t="s">
        <v>1028</v>
      </c>
      <c r="W174" s="575" t="s">
        <v>1028</v>
      </c>
      <c r="X174" s="576" t="s">
        <v>1028</v>
      </c>
      <c r="Y174" s="577"/>
      <c r="Z174" s="578" t="s">
        <v>1028</v>
      </c>
      <c r="AA174" s="579" t="s">
        <v>1225</v>
      </c>
      <c r="AB174" s="579" t="s">
        <v>414</v>
      </c>
      <c r="AC174" s="579"/>
      <c r="AD174" s="579" t="s">
        <v>140</v>
      </c>
      <c r="AE174" s="579">
        <v>11</v>
      </c>
      <c r="AF174" s="580">
        <f>H174</f>
        <v>46167</v>
      </c>
      <c r="AG174" s="579">
        <f>A174</f>
        <v>1679</v>
      </c>
      <c r="AH174" s="579"/>
      <c r="AJ174" s="542"/>
    </row>
    <row r="175" spans="1:36" s="46" customFormat="1" x14ac:dyDescent="0.15">
      <c r="A175" s="566">
        <v>1680</v>
      </c>
      <c r="B175" s="566">
        <v>1034</v>
      </c>
      <c r="C175" s="567"/>
      <c r="D175" s="566">
        <v>1087</v>
      </c>
      <c r="E175" s="567"/>
      <c r="F175" s="568" t="s">
        <v>140</v>
      </c>
      <c r="G175" s="569">
        <v>46135</v>
      </c>
      <c r="H175" s="569">
        <v>46167</v>
      </c>
      <c r="I175" s="569"/>
      <c r="J175" s="581"/>
      <c r="K175" s="571">
        <v>46164</v>
      </c>
      <c r="L175" s="572">
        <v>46160</v>
      </c>
      <c r="M175" s="573">
        <v>46167</v>
      </c>
      <c r="N175" s="570"/>
      <c r="O175" s="574" t="s">
        <v>1028</v>
      </c>
      <c r="P175" s="574" t="s">
        <v>1028</v>
      </c>
      <c r="Q175" s="574" t="s">
        <v>1028</v>
      </c>
      <c r="R175" s="574" t="s">
        <v>1028</v>
      </c>
      <c r="S175" s="574" t="s">
        <v>1028</v>
      </c>
      <c r="T175" s="574" t="s">
        <v>1028</v>
      </c>
      <c r="U175" s="574" t="s">
        <v>1028</v>
      </c>
      <c r="V175" s="574" t="s">
        <v>1028</v>
      </c>
      <c r="W175" s="575" t="s">
        <v>1028</v>
      </c>
      <c r="X175" s="576" t="s">
        <v>1028</v>
      </c>
      <c r="Y175" s="577"/>
      <c r="Z175" s="578" t="s">
        <v>1028</v>
      </c>
      <c r="AA175" s="579" t="s">
        <v>1226</v>
      </c>
      <c r="AB175" s="579" t="s">
        <v>414</v>
      </c>
      <c r="AC175" s="579"/>
      <c r="AD175" s="579" t="s">
        <v>140</v>
      </c>
      <c r="AE175" s="579">
        <v>11</v>
      </c>
      <c r="AF175" s="580">
        <f>H175</f>
        <v>46167</v>
      </c>
      <c r="AG175" s="579">
        <f>A175</f>
        <v>1680</v>
      </c>
      <c r="AH175" s="579"/>
      <c r="AJ175" s="542"/>
    </row>
    <row r="176" spans="1:36" s="46" customFormat="1" x14ac:dyDescent="0.15">
      <c r="A176" s="566">
        <v>1681</v>
      </c>
      <c r="B176" s="566">
        <v>1035</v>
      </c>
      <c r="C176" s="567"/>
      <c r="D176" s="566">
        <v>1088</v>
      </c>
      <c r="E176" s="567"/>
      <c r="F176" s="568" t="s">
        <v>140</v>
      </c>
      <c r="G176" s="569">
        <v>46135</v>
      </c>
      <c r="H176" s="569">
        <v>46168</v>
      </c>
      <c r="I176" s="569"/>
      <c r="J176" s="581"/>
      <c r="K176" s="571">
        <v>46167</v>
      </c>
      <c r="L176" s="572">
        <v>46161</v>
      </c>
      <c r="M176" s="573">
        <v>46168</v>
      </c>
      <c r="N176" s="570"/>
      <c r="O176" s="574" t="s">
        <v>1028</v>
      </c>
      <c r="P176" s="574" t="s">
        <v>1028</v>
      </c>
      <c r="Q176" s="574" t="s">
        <v>1028</v>
      </c>
      <c r="R176" s="574" t="s">
        <v>1028</v>
      </c>
      <c r="S176" s="574" t="s">
        <v>1028</v>
      </c>
      <c r="T176" s="574" t="s">
        <v>1028</v>
      </c>
      <c r="U176" s="574" t="s">
        <v>1028</v>
      </c>
      <c r="V176" s="574" t="s">
        <v>1028</v>
      </c>
      <c r="W176" s="575" t="s">
        <v>1028</v>
      </c>
      <c r="X176" s="576" t="s">
        <v>1028</v>
      </c>
      <c r="Y176" s="577"/>
      <c r="Z176" s="578" t="s">
        <v>1028</v>
      </c>
      <c r="AA176" s="579" t="s">
        <v>1227</v>
      </c>
      <c r="AB176" s="579" t="s">
        <v>414</v>
      </c>
      <c r="AC176" s="579"/>
      <c r="AD176" s="579" t="s">
        <v>140</v>
      </c>
      <c r="AE176" s="579">
        <v>11</v>
      </c>
      <c r="AF176" s="580">
        <f>H176</f>
        <v>46168</v>
      </c>
      <c r="AG176" s="579">
        <f>A176</f>
        <v>1681</v>
      </c>
      <c r="AH176" s="579"/>
      <c r="AJ176" s="542"/>
    </row>
    <row r="177" spans="1:36" s="46" customFormat="1" x14ac:dyDescent="0.15">
      <c r="A177" s="566">
        <v>1682</v>
      </c>
      <c r="B177" s="566">
        <v>1036</v>
      </c>
      <c r="C177" s="567"/>
      <c r="D177" s="566">
        <v>1089</v>
      </c>
      <c r="E177" s="567"/>
      <c r="F177" s="568" t="s">
        <v>140</v>
      </c>
      <c r="G177" s="569">
        <v>46135</v>
      </c>
      <c r="H177" s="569">
        <v>46168</v>
      </c>
      <c r="I177" s="569"/>
      <c r="J177" s="581"/>
      <c r="K177" s="571">
        <v>46167</v>
      </c>
      <c r="L177" s="572">
        <v>46161</v>
      </c>
      <c r="M177" s="573">
        <v>46168</v>
      </c>
      <c r="N177" s="570"/>
      <c r="O177" s="574" t="s">
        <v>1028</v>
      </c>
      <c r="P177" s="574" t="s">
        <v>1028</v>
      </c>
      <c r="Q177" s="574" t="s">
        <v>1028</v>
      </c>
      <c r="R177" s="574" t="s">
        <v>1028</v>
      </c>
      <c r="S177" s="574" t="s">
        <v>1028</v>
      </c>
      <c r="T177" s="574" t="s">
        <v>1028</v>
      </c>
      <c r="U177" s="574" t="s">
        <v>1028</v>
      </c>
      <c r="V177" s="574" t="s">
        <v>1028</v>
      </c>
      <c r="W177" s="575" t="s">
        <v>1028</v>
      </c>
      <c r="X177" s="576" t="s">
        <v>1028</v>
      </c>
      <c r="Y177" s="577"/>
      <c r="Z177" s="578" t="s">
        <v>1028</v>
      </c>
      <c r="AA177" s="579" t="s">
        <v>1228</v>
      </c>
      <c r="AB177" s="579" t="s">
        <v>414</v>
      </c>
      <c r="AC177" s="579"/>
      <c r="AD177" s="579" t="s">
        <v>140</v>
      </c>
      <c r="AE177" s="579">
        <v>11</v>
      </c>
      <c r="AF177" s="580">
        <f>H177</f>
        <v>46168</v>
      </c>
      <c r="AG177" s="579">
        <f>A177</f>
        <v>1682</v>
      </c>
      <c r="AH177" s="579"/>
      <c r="AJ177" s="542"/>
    </row>
    <row r="178" spans="1:36" s="46" customFormat="1" x14ac:dyDescent="0.15">
      <c r="A178" s="566">
        <v>1683</v>
      </c>
      <c r="B178" s="566">
        <v>1037</v>
      </c>
      <c r="C178" s="567"/>
      <c r="D178" s="566">
        <v>1090</v>
      </c>
      <c r="E178" s="567"/>
      <c r="F178" s="568" t="s">
        <v>140</v>
      </c>
      <c r="G178" s="569">
        <v>46135</v>
      </c>
      <c r="H178" s="569">
        <v>46168</v>
      </c>
      <c r="I178" s="569"/>
      <c r="J178" s="581"/>
      <c r="K178" s="571">
        <v>46167</v>
      </c>
      <c r="L178" s="572">
        <v>46161</v>
      </c>
      <c r="M178" s="573">
        <v>46168</v>
      </c>
      <c r="N178" s="570"/>
      <c r="O178" s="574" t="s">
        <v>1028</v>
      </c>
      <c r="P178" s="574" t="s">
        <v>1028</v>
      </c>
      <c r="Q178" s="574" t="s">
        <v>1028</v>
      </c>
      <c r="R178" s="574" t="s">
        <v>1028</v>
      </c>
      <c r="S178" s="574" t="s">
        <v>1028</v>
      </c>
      <c r="T178" s="574" t="s">
        <v>1028</v>
      </c>
      <c r="U178" s="574" t="s">
        <v>1028</v>
      </c>
      <c r="V178" s="574" t="s">
        <v>1028</v>
      </c>
      <c r="W178" s="575" t="s">
        <v>1028</v>
      </c>
      <c r="X178" s="576" t="s">
        <v>1028</v>
      </c>
      <c r="Y178" s="577"/>
      <c r="Z178" s="578" t="s">
        <v>1028</v>
      </c>
      <c r="AA178" s="579" t="s">
        <v>1229</v>
      </c>
      <c r="AB178" s="579" t="s">
        <v>414</v>
      </c>
      <c r="AC178" s="579"/>
      <c r="AD178" s="579" t="s">
        <v>140</v>
      </c>
      <c r="AE178" s="579">
        <v>11</v>
      </c>
      <c r="AF178" s="580">
        <f>H178</f>
        <v>46168</v>
      </c>
      <c r="AG178" s="579">
        <f>A178</f>
        <v>1683</v>
      </c>
      <c r="AH178" s="579"/>
      <c r="AJ178" s="542"/>
    </row>
    <row r="179" spans="1:36" s="46" customFormat="1" x14ac:dyDescent="0.15">
      <c r="A179" s="566">
        <v>1684</v>
      </c>
      <c r="B179" s="566">
        <v>1038</v>
      </c>
      <c r="C179" s="567"/>
      <c r="D179" s="566">
        <v>1091</v>
      </c>
      <c r="E179" s="567"/>
      <c r="F179" s="568" t="s">
        <v>140</v>
      </c>
      <c r="G179" s="569">
        <v>46135</v>
      </c>
      <c r="H179" s="569">
        <v>46168</v>
      </c>
      <c r="I179" s="569"/>
      <c r="J179" s="581"/>
      <c r="K179" s="571">
        <v>46167</v>
      </c>
      <c r="L179" s="572">
        <v>46161</v>
      </c>
      <c r="M179" s="573">
        <v>46168</v>
      </c>
      <c r="N179" s="570"/>
      <c r="O179" s="574" t="s">
        <v>1028</v>
      </c>
      <c r="P179" s="574" t="s">
        <v>1028</v>
      </c>
      <c r="Q179" s="574" t="s">
        <v>1028</v>
      </c>
      <c r="R179" s="574" t="s">
        <v>1028</v>
      </c>
      <c r="S179" s="574" t="s">
        <v>1028</v>
      </c>
      <c r="T179" s="574" t="s">
        <v>1028</v>
      </c>
      <c r="U179" s="574" t="s">
        <v>1028</v>
      </c>
      <c r="V179" s="574" t="s">
        <v>1028</v>
      </c>
      <c r="W179" s="575" t="s">
        <v>1028</v>
      </c>
      <c r="X179" s="576" t="s">
        <v>1028</v>
      </c>
      <c r="Y179" s="577"/>
      <c r="Z179" s="578" t="s">
        <v>1028</v>
      </c>
      <c r="AA179" s="579" t="s">
        <v>1230</v>
      </c>
      <c r="AB179" s="579" t="s">
        <v>414</v>
      </c>
      <c r="AC179" s="579"/>
      <c r="AD179" s="579" t="s">
        <v>140</v>
      </c>
      <c r="AE179" s="579">
        <v>11</v>
      </c>
      <c r="AF179" s="580">
        <f>H179</f>
        <v>46168</v>
      </c>
      <c r="AG179" s="579">
        <f>A179</f>
        <v>1684</v>
      </c>
      <c r="AH179" s="579"/>
      <c r="AJ179" s="542"/>
    </row>
    <row r="180" spans="1:36" s="46" customFormat="1" x14ac:dyDescent="0.15">
      <c r="A180" s="566">
        <v>1685</v>
      </c>
      <c r="B180" s="566">
        <v>1039</v>
      </c>
      <c r="C180" s="567"/>
      <c r="D180" s="566">
        <v>1092</v>
      </c>
      <c r="E180" s="567"/>
      <c r="F180" s="568" t="s">
        <v>140</v>
      </c>
      <c r="G180" s="569">
        <v>46135</v>
      </c>
      <c r="H180" s="569">
        <v>46168</v>
      </c>
      <c r="I180" s="569"/>
      <c r="J180" s="581"/>
      <c r="K180" s="571">
        <v>46167</v>
      </c>
      <c r="L180" s="572">
        <v>46161</v>
      </c>
      <c r="M180" s="573">
        <v>46168</v>
      </c>
      <c r="N180" s="570"/>
      <c r="O180" s="574" t="s">
        <v>1028</v>
      </c>
      <c r="P180" s="574" t="s">
        <v>1028</v>
      </c>
      <c r="Q180" s="574" t="s">
        <v>1028</v>
      </c>
      <c r="R180" s="574" t="s">
        <v>1028</v>
      </c>
      <c r="S180" s="574" t="s">
        <v>1028</v>
      </c>
      <c r="T180" s="574" t="s">
        <v>1028</v>
      </c>
      <c r="U180" s="574" t="s">
        <v>1028</v>
      </c>
      <c r="V180" s="574" t="s">
        <v>1028</v>
      </c>
      <c r="W180" s="575" t="s">
        <v>1028</v>
      </c>
      <c r="X180" s="576" t="s">
        <v>1028</v>
      </c>
      <c r="Y180" s="577"/>
      <c r="Z180" s="578" t="s">
        <v>1028</v>
      </c>
      <c r="AA180" s="579" t="s">
        <v>1231</v>
      </c>
      <c r="AB180" s="579" t="s">
        <v>414</v>
      </c>
      <c r="AC180" s="579"/>
      <c r="AD180" s="579" t="s">
        <v>140</v>
      </c>
      <c r="AE180" s="579">
        <v>11</v>
      </c>
      <c r="AF180" s="580">
        <f>H180</f>
        <v>46168</v>
      </c>
      <c r="AG180" s="579">
        <f>A180</f>
        <v>1685</v>
      </c>
      <c r="AH180" s="579"/>
      <c r="AJ180" s="542"/>
    </row>
    <row r="181" spans="1:36" s="46" customFormat="1" x14ac:dyDescent="0.15">
      <c r="A181" s="566">
        <v>1686</v>
      </c>
      <c r="B181" s="566">
        <v>1040</v>
      </c>
      <c r="C181" s="567"/>
      <c r="D181" s="566">
        <v>1093</v>
      </c>
      <c r="E181" s="567"/>
      <c r="F181" s="568" t="s">
        <v>140</v>
      </c>
      <c r="G181" s="569">
        <v>46135</v>
      </c>
      <c r="H181" s="569">
        <v>46169</v>
      </c>
      <c r="I181" s="569"/>
      <c r="J181" s="581"/>
      <c r="K181" s="571">
        <v>46168</v>
      </c>
      <c r="L181" s="572">
        <v>46162</v>
      </c>
      <c r="M181" s="573">
        <v>46169</v>
      </c>
      <c r="N181" s="570"/>
      <c r="O181" s="574" t="s">
        <v>1028</v>
      </c>
      <c r="P181" s="574" t="s">
        <v>1028</v>
      </c>
      <c r="Q181" s="574" t="s">
        <v>1028</v>
      </c>
      <c r="R181" s="574" t="s">
        <v>1028</v>
      </c>
      <c r="S181" s="574" t="s">
        <v>1028</v>
      </c>
      <c r="T181" s="574" t="s">
        <v>1028</v>
      </c>
      <c r="U181" s="574" t="s">
        <v>1028</v>
      </c>
      <c r="V181" s="574" t="s">
        <v>1028</v>
      </c>
      <c r="W181" s="575" t="s">
        <v>1028</v>
      </c>
      <c r="X181" s="576" t="s">
        <v>1028</v>
      </c>
      <c r="Y181" s="577"/>
      <c r="Z181" s="578" t="s">
        <v>1028</v>
      </c>
      <c r="AA181" s="579" t="s">
        <v>1232</v>
      </c>
      <c r="AB181" s="579" t="s">
        <v>414</v>
      </c>
      <c r="AC181" s="579"/>
      <c r="AD181" s="579" t="s">
        <v>140</v>
      </c>
      <c r="AE181" s="579">
        <v>11</v>
      </c>
      <c r="AF181" s="580">
        <f>H181</f>
        <v>46169</v>
      </c>
      <c r="AG181" s="579">
        <f>A181</f>
        <v>1686</v>
      </c>
      <c r="AH181" s="579"/>
      <c r="AJ181" s="542"/>
    </row>
    <row r="182" spans="1:36" s="46" customFormat="1" x14ac:dyDescent="0.15">
      <c r="A182" s="566">
        <v>1687</v>
      </c>
      <c r="B182" s="566">
        <v>1041</v>
      </c>
      <c r="C182" s="567"/>
      <c r="D182" s="566">
        <v>1094</v>
      </c>
      <c r="E182" s="567"/>
      <c r="F182" s="568" t="s">
        <v>140</v>
      </c>
      <c r="G182" s="569">
        <v>46135</v>
      </c>
      <c r="H182" s="569">
        <v>46169</v>
      </c>
      <c r="I182" s="569"/>
      <c r="J182" s="581"/>
      <c r="K182" s="571">
        <v>46168</v>
      </c>
      <c r="L182" s="572">
        <v>46162</v>
      </c>
      <c r="M182" s="573">
        <v>46169</v>
      </c>
      <c r="N182" s="570"/>
      <c r="O182" s="574" t="s">
        <v>1028</v>
      </c>
      <c r="P182" s="574" t="s">
        <v>1028</v>
      </c>
      <c r="Q182" s="574" t="s">
        <v>1028</v>
      </c>
      <c r="R182" s="574" t="s">
        <v>1028</v>
      </c>
      <c r="S182" s="574" t="s">
        <v>1028</v>
      </c>
      <c r="T182" s="574" t="s">
        <v>1028</v>
      </c>
      <c r="U182" s="574" t="s">
        <v>1028</v>
      </c>
      <c r="V182" s="574" t="s">
        <v>1028</v>
      </c>
      <c r="W182" s="575" t="s">
        <v>1028</v>
      </c>
      <c r="X182" s="576" t="s">
        <v>1028</v>
      </c>
      <c r="Y182" s="577"/>
      <c r="Z182" s="578" t="s">
        <v>1028</v>
      </c>
      <c r="AA182" s="579" t="s">
        <v>1233</v>
      </c>
      <c r="AB182" s="579" t="s">
        <v>414</v>
      </c>
      <c r="AC182" s="579"/>
      <c r="AD182" s="579" t="s">
        <v>140</v>
      </c>
      <c r="AE182" s="579">
        <v>11</v>
      </c>
      <c r="AF182" s="580">
        <f>H182</f>
        <v>46169</v>
      </c>
      <c r="AG182" s="579">
        <f>A182</f>
        <v>1687</v>
      </c>
      <c r="AH182" s="579"/>
      <c r="AJ182" s="542"/>
    </row>
    <row r="183" spans="1:36" s="46" customFormat="1" x14ac:dyDescent="0.15">
      <c r="A183" s="566">
        <v>1688</v>
      </c>
      <c r="B183" s="566">
        <v>1042</v>
      </c>
      <c r="C183" s="567"/>
      <c r="D183" s="566">
        <v>1095</v>
      </c>
      <c r="E183" s="567"/>
      <c r="F183" s="568" t="s">
        <v>140</v>
      </c>
      <c r="G183" s="569">
        <v>46135</v>
      </c>
      <c r="H183" s="569">
        <v>46169</v>
      </c>
      <c r="I183" s="569"/>
      <c r="J183" s="581"/>
      <c r="K183" s="571">
        <v>46168</v>
      </c>
      <c r="L183" s="572">
        <v>46162</v>
      </c>
      <c r="M183" s="573">
        <v>46169</v>
      </c>
      <c r="N183" s="570"/>
      <c r="O183" s="574" t="s">
        <v>1028</v>
      </c>
      <c r="P183" s="574" t="s">
        <v>1028</v>
      </c>
      <c r="Q183" s="574" t="s">
        <v>1028</v>
      </c>
      <c r="R183" s="574" t="s">
        <v>1028</v>
      </c>
      <c r="S183" s="574" t="s">
        <v>1028</v>
      </c>
      <c r="T183" s="574" t="s">
        <v>1028</v>
      </c>
      <c r="U183" s="574" t="s">
        <v>1028</v>
      </c>
      <c r="V183" s="574" t="s">
        <v>1028</v>
      </c>
      <c r="W183" s="575" t="s">
        <v>1028</v>
      </c>
      <c r="X183" s="576" t="s">
        <v>1028</v>
      </c>
      <c r="Y183" s="577"/>
      <c r="Z183" s="578" t="s">
        <v>1028</v>
      </c>
      <c r="AA183" s="579" t="s">
        <v>1234</v>
      </c>
      <c r="AB183" s="579" t="s">
        <v>414</v>
      </c>
      <c r="AC183" s="579"/>
      <c r="AD183" s="579" t="s">
        <v>140</v>
      </c>
      <c r="AE183" s="579">
        <v>11</v>
      </c>
      <c r="AF183" s="580">
        <f>H183</f>
        <v>46169</v>
      </c>
      <c r="AG183" s="579">
        <f>A183</f>
        <v>1688</v>
      </c>
      <c r="AH183" s="579"/>
      <c r="AJ183" s="542"/>
    </row>
    <row r="184" spans="1:36" s="46" customFormat="1" x14ac:dyDescent="0.15">
      <c r="A184" s="566">
        <v>1689</v>
      </c>
      <c r="B184" s="566">
        <v>1043</v>
      </c>
      <c r="C184" s="567"/>
      <c r="D184" s="566">
        <v>1096</v>
      </c>
      <c r="E184" s="567"/>
      <c r="F184" s="568" t="s">
        <v>140</v>
      </c>
      <c r="G184" s="569">
        <v>46135</v>
      </c>
      <c r="H184" s="569">
        <v>46169</v>
      </c>
      <c r="I184" s="569"/>
      <c r="J184" s="581"/>
      <c r="K184" s="571">
        <v>46168</v>
      </c>
      <c r="L184" s="572">
        <v>46162</v>
      </c>
      <c r="M184" s="573">
        <v>46169</v>
      </c>
      <c r="N184" s="570"/>
      <c r="O184" s="574" t="s">
        <v>1028</v>
      </c>
      <c r="P184" s="574" t="s">
        <v>1028</v>
      </c>
      <c r="Q184" s="574" t="s">
        <v>1028</v>
      </c>
      <c r="R184" s="574" t="s">
        <v>1028</v>
      </c>
      <c r="S184" s="574" t="s">
        <v>1028</v>
      </c>
      <c r="T184" s="574" t="s">
        <v>1028</v>
      </c>
      <c r="U184" s="574" t="s">
        <v>1028</v>
      </c>
      <c r="V184" s="574" t="s">
        <v>1028</v>
      </c>
      <c r="W184" s="575" t="s">
        <v>1028</v>
      </c>
      <c r="X184" s="576" t="s">
        <v>1028</v>
      </c>
      <c r="Y184" s="577"/>
      <c r="Z184" s="578" t="s">
        <v>1028</v>
      </c>
      <c r="AA184" s="579" t="s">
        <v>1235</v>
      </c>
      <c r="AB184" s="579" t="s">
        <v>414</v>
      </c>
      <c r="AC184" s="579"/>
      <c r="AD184" s="579" t="s">
        <v>140</v>
      </c>
      <c r="AE184" s="579">
        <v>11</v>
      </c>
      <c r="AF184" s="580">
        <f>H184</f>
        <v>46169</v>
      </c>
      <c r="AG184" s="579">
        <f>A184</f>
        <v>1689</v>
      </c>
      <c r="AH184" s="579"/>
      <c r="AJ184" s="542"/>
    </row>
    <row r="185" spans="1:36" s="46" customFormat="1" x14ac:dyDescent="0.15">
      <c r="A185" s="566">
        <v>1690</v>
      </c>
      <c r="B185" s="566">
        <v>1044</v>
      </c>
      <c r="C185" s="567"/>
      <c r="D185" s="566">
        <v>1097</v>
      </c>
      <c r="E185" s="567"/>
      <c r="F185" s="568" t="s">
        <v>140</v>
      </c>
      <c r="G185" s="569">
        <v>46135</v>
      </c>
      <c r="H185" s="569">
        <v>46169</v>
      </c>
      <c r="I185" s="569"/>
      <c r="J185" s="581"/>
      <c r="K185" s="571">
        <v>46168</v>
      </c>
      <c r="L185" s="572">
        <v>46162</v>
      </c>
      <c r="M185" s="573">
        <v>46169</v>
      </c>
      <c r="N185" s="570"/>
      <c r="O185" s="574" t="s">
        <v>1028</v>
      </c>
      <c r="P185" s="574" t="s">
        <v>1028</v>
      </c>
      <c r="Q185" s="574" t="s">
        <v>1028</v>
      </c>
      <c r="R185" s="574" t="s">
        <v>1028</v>
      </c>
      <c r="S185" s="574" t="s">
        <v>1028</v>
      </c>
      <c r="T185" s="574" t="s">
        <v>1028</v>
      </c>
      <c r="U185" s="574" t="s">
        <v>1028</v>
      </c>
      <c r="V185" s="574" t="s">
        <v>1028</v>
      </c>
      <c r="W185" s="575" t="s">
        <v>1028</v>
      </c>
      <c r="X185" s="576" t="s">
        <v>1028</v>
      </c>
      <c r="Y185" s="577"/>
      <c r="Z185" s="578" t="s">
        <v>1028</v>
      </c>
      <c r="AA185" s="579" t="s">
        <v>1236</v>
      </c>
      <c r="AB185" s="579" t="s">
        <v>414</v>
      </c>
      <c r="AC185" s="579"/>
      <c r="AD185" s="579" t="s">
        <v>140</v>
      </c>
      <c r="AE185" s="579">
        <v>11</v>
      </c>
      <c r="AF185" s="580">
        <f>H185</f>
        <v>46169</v>
      </c>
      <c r="AG185" s="579">
        <f>A185</f>
        <v>1690</v>
      </c>
      <c r="AH185" s="579"/>
      <c r="AJ185" s="542"/>
    </row>
    <row r="186" spans="1:36" s="46" customFormat="1" x14ac:dyDescent="0.15">
      <c r="A186" s="566">
        <v>1691</v>
      </c>
      <c r="B186" s="566">
        <v>1045</v>
      </c>
      <c r="C186" s="567"/>
      <c r="D186" s="566">
        <v>1098</v>
      </c>
      <c r="E186" s="567"/>
      <c r="F186" s="568" t="s">
        <v>140</v>
      </c>
      <c r="G186" s="569">
        <v>46135</v>
      </c>
      <c r="H186" s="569">
        <v>46169</v>
      </c>
      <c r="I186" s="569"/>
      <c r="J186" s="581"/>
      <c r="K186" s="571">
        <v>46168</v>
      </c>
      <c r="L186" s="572">
        <v>46162</v>
      </c>
      <c r="M186" s="573">
        <v>46169</v>
      </c>
      <c r="N186" s="570"/>
      <c r="O186" s="574" t="s">
        <v>1028</v>
      </c>
      <c r="P186" s="574" t="s">
        <v>1028</v>
      </c>
      <c r="Q186" s="574" t="s">
        <v>1028</v>
      </c>
      <c r="R186" s="574" t="s">
        <v>1028</v>
      </c>
      <c r="S186" s="574" t="s">
        <v>1028</v>
      </c>
      <c r="T186" s="574" t="s">
        <v>1028</v>
      </c>
      <c r="U186" s="574" t="s">
        <v>1028</v>
      </c>
      <c r="V186" s="574" t="s">
        <v>1028</v>
      </c>
      <c r="W186" s="575" t="s">
        <v>1028</v>
      </c>
      <c r="X186" s="576" t="s">
        <v>1028</v>
      </c>
      <c r="Y186" s="577"/>
      <c r="Z186" s="578" t="s">
        <v>1028</v>
      </c>
      <c r="AA186" s="579" t="s">
        <v>1237</v>
      </c>
      <c r="AB186" s="579" t="s">
        <v>414</v>
      </c>
      <c r="AC186" s="579"/>
      <c r="AD186" s="579" t="s">
        <v>140</v>
      </c>
      <c r="AE186" s="579">
        <v>11</v>
      </c>
      <c r="AF186" s="580">
        <f>H186</f>
        <v>46169</v>
      </c>
      <c r="AG186" s="579">
        <f>A186</f>
        <v>1691</v>
      </c>
      <c r="AH186" s="579"/>
      <c r="AJ186" s="542"/>
    </row>
    <row r="187" spans="1:36" s="46" customFormat="1" x14ac:dyDescent="0.15">
      <c r="A187" s="566">
        <v>1692</v>
      </c>
      <c r="B187" s="566">
        <v>1046</v>
      </c>
      <c r="C187" s="567"/>
      <c r="D187" s="566">
        <v>1099</v>
      </c>
      <c r="E187" s="567"/>
      <c r="F187" s="568" t="s">
        <v>140</v>
      </c>
      <c r="G187" s="569">
        <v>46135</v>
      </c>
      <c r="H187" s="569">
        <v>46170</v>
      </c>
      <c r="I187" s="569"/>
      <c r="J187" s="581"/>
      <c r="K187" s="571">
        <v>46169</v>
      </c>
      <c r="L187" s="572">
        <v>46163</v>
      </c>
      <c r="M187" s="573">
        <v>46170</v>
      </c>
      <c r="N187" s="570"/>
      <c r="O187" s="574" t="s">
        <v>1028</v>
      </c>
      <c r="P187" s="574" t="s">
        <v>1028</v>
      </c>
      <c r="Q187" s="574" t="s">
        <v>1028</v>
      </c>
      <c r="R187" s="574" t="s">
        <v>1028</v>
      </c>
      <c r="S187" s="574" t="s">
        <v>1028</v>
      </c>
      <c r="T187" s="574" t="s">
        <v>1028</v>
      </c>
      <c r="U187" s="574" t="s">
        <v>1028</v>
      </c>
      <c r="V187" s="574" t="s">
        <v>1028</v>
      </c>
      <c r="W187" s="575" t="s">
        <v>1028</v>
      </c>
      <c r="X187" s="576" t="s">
        <v>1028</v>
      </c>
      <c r="Y187" s="577"/>
      <c r="Z187" s="578" t="s">
        <v>1028</v>
      </c>
      <c r="AA187" s="579" t="s">
        <v>1238</v>
      </c>
      <c r="AB187" s="579" t="s">
        <v>414</v>
      </c>
      <c r="AC187" s="579"/>
      <c r="AD187" s="579" t="s">
        <v>140</v>
      </c>
      <c r="AE187" s="579">
        <v>11</v>
      </c>
      <c r="AF187" s="580">
        <f>H187</f>
        <v>46170</v>
      </c>
      <c r="AG187" s="579">
        <f>A187</f>
        <v>1692</v>
      </c>
      <c r="AH187" s="579"/>
      <c r="AJ187" s="542"/>
    </row>
    <row r="188" spans="1:36" s="46" customFormat="1" x14ac:dyDescent="0.15">
      <c r="A188" s="566">
        <v>1693</v>
      </c>
      <c r="B188" s="566">
        <v>1047</v>
      </c>
      <c r="C188" s="567"/>
      <c r="D188" s="566">
        <v>1100</v>
      </c>
      <c r="E188" s="567"/>
      <c r="F188" s="568" t="s">
        <v>140</v>
      </c>
      <c r="G188" s="569">
        <v>46135</v>
      </c>
      <c r="H188" s="569">
        <v>46170</v>
      </c>
      <c r="I188" s="569"/>
      <c r="J188" s="581"/>
      <c r="K188" s="571">
        <v>46169</v>
      </c>
      <c r="L188" s="572">
        <v>46163</v>
      </c>
      <c r="M188" s="573">
        <v>46170</v>
      </c>
      <c r="N188" s="570"/>
      <c r="O188" s="574" t="s">
        <v>1028</v>
      </c>
      <c r="P188" s="574" t="s">
        <v>1028</v>
      </c>
      <c r="Q188" s="574" t="s">
        <v>1028</v>
      </c>
      <c r="R188" s="574" t="s">
        <v>1028</v>
      </c>
      <c r="S188" s="574" t="s">
        <v>1028</v>
      </c>
      <c r="T188" s="574" t="s">
        <v>1028</v>
      </c>
      <c r="U188" s="574" t="s">
        <v>1028</v>
      </c>
      <c r="V188" s="574" t="s">
        <v>1028</v>
      </c>
      <c r="W188" s="575" t="s">
        <v>1028</v>
      </c>
      <c r="X188" s="576" t="s">
        <v>1028</v>
      </c>
      <c r="Y188" s="577"/>
      <c r="Z188" s="578" t="s">
        <v>1028</v>
      </c>
      <c r="AA188" s="579" t="s">
        <v>1239</v>
      </c>
      <c r="AB188" s="579" t="s">
        <v>414</v>
      </c>
      <c r="AC188" s="579"/>
      <c r="AD188" s="579" t="s">
        <v>140</v>
      </c>
      <c r="AE188" s="579">
        <v>11</v>
      </c>
      <c r="AF188" s="580">
        <f>H188</f>
        <v>46170</v>
      </c>
      <c r="AG188" s="579">
        <f>A188</f>
        <v>1693</v>
      </c>
      <c r="AH188" s="579"/>
      <c r="AJ188" s="542"/>
    </row>
    <row r="189" spans="1:36" s="46" customFormat="1" x14ac:dyDescent="0.15">
      <c r="A189" s="566">
        <v>1694</v>
      </c>
      <c r="B189" s="566">
        <v>1048</v>
      </c>
      <c r="C189" s="567"/>
      <c r="D189" s="566">
        <v>1101</v>
      </c>
      <c r="E189" s="567"/>
      <c r="F189" s="568" t="s">
        <v>140</v>
      </c>
      <c r="G189" s="569">
        <v>46135</v>
      </c>
      <c r="H189" s="569">
        <v>46170</v>
      </c>
      <c r="I189" s="569"/>
      <c r="J189" s="581"/>
      <c r="K189" s="571">
        <v>46169</v>
      </c>
      <c r="L189" s="572">
        <v>46163</v>
      </c>
      <c r="M189" s="573">
        <v>46170</v>
      </c>
      <c r="N189" s="570"/>
      <c r="O189" s="574" t="s">
        <v>1028</v>
      </c>
      <c r="P189" s="574" t="s">
        <v>1028</v>
      </c>
      <c r="Q189" s="574" t="s">
        <v>1028</v>
      </c>
      <c r="R189" s="574" t="s">
        <v>1028</v>
      </c>
      <c r="S189" s="574" t="s">
        <v>1028</v>
      </c>
      <c r="T189" s="574" t="s">
        <v>1028</v>
      </c>
      <c r="U189" s="574" t="s">
        <v>1028</v>
      </c>
      <c r="V189" s="574" t="s">
        <v>1028</v>
      </c>
      <c r="W189" s="575" t="s">
        <v>1028</v>
      </c>
      <c r="X189" s="576" t="s">
        <v>1028</v>
      </c>
      <c r="Y189" s="577"/>
      <c r="Z189" s="578" t="s">
        <v>1028</v>
      </c>
      <c r="AA189" s="579" t="s">
        <v>1240</v>
      </c>
      <c r="AB189" s="579" t="s">
        <v>414</v>
      </c>
      <c r="AC189" s="579"/>
      <c r="AD189" s="579" t="s">
        <v>140</v>
      </c>
      <c r="AE189" s="579">
        <v>11</v>
      </c>
      <c r="AF189" s="580">
        <f>H189</f>
        <v>46170</v>
      </c>
      <c r="AG189" s="579">
        <f>A189</f>
        <v>1694</v>
      </c>
      <c r="AH189" s="579"/>
      <c r="AJ189" s="542"/>
    </row>
    <row r="190" spans="1:36" s="46" customFormat="1" x14ac:dyDescent="0.15">
      <c r="A190" s="566">
        <v>1695</v>
      </c>
      <c r="B190" s="566">
        <v>1049</v>
      </c>
      <c r="C190" s="567"/>
      <c r="D190" s="566">
        <v>1102</v>
      </c>
      <c r="E190" s="567"/>
      <c r="F190" s="568" t="s">
        <v>140</v>
      </c>
      <c r="G190" s="569">
        <v>46135</v>
      </c>
      <c r="H190" s="569">
        <v>46170</v>
      </c>
      <c r="I190" s="569"/>
      <c r="J190" s="581"/>
      <c r="K190" s="571">
        <v>46169</v>
      </c>
      <c r="L190" s="572">
        <v>46163</v>
      </c>
      <c r="M190" s="573">
        <v>46170</v>
      </c>
      <c r="N190" s="570"/>
      <c r="O190" s="574" t="s">
        <v>1028</v>
      </c>
      <c r="P190" s="574" t="s">
        <v>1028</v>
      </c>
      <c r="Q190" s="574" t="s">
        <v>1028</v>
      </c>
      <c r="R190" s="574" t="s">
        <v>1028</v>
      </c>
      <c r="S190" s="574" t="s">
        <v>1028</v>
      </c>
      <c r="T190" s="574" t="s">
        <v>1028</v>
      </c>
      <c r="U190" s="574" t="s">
        <v>1028</v>
      </c>
      <c r="V190" s="574" t="s">
        <v>1028</v>
      </c>
      <c r="W190" s="575" t="s">
        <v>1028</v>
      </c>
      <c r="X190" s="576" t="s">
        <v>1028</v>
      </c>
      <c r="Y190" s="577"/>
      <c r="Z190" s="578" t="s">
        <v>1028</v>
      </c>
      <c r="AA190" s="579" t="s">
        <v>1241</v>
      </c>
      <c r="AB190" s="579" t="s">
        <v>414</v>
      </c>
      <c r="AC190" s="579"/>
      <c r="AD190" s="579" t="s">
        <v>140</v>
      </c>
      <c r="AE190" s="579">
        <v>11</v>
      </c>
      <c r="AF190" s="580">
        <f>H190</f>
        <v>46170</v>
      </c>
      <c r="AG190" s="579">
        <f>A190</f>
        <v>1695</v>
      </c>
      <c r="AH190" s="579"/>
      <c r="AJ190" s="542"/>
    </row>
    <row r="191" spans="1:36" s="46" customFormat="1" x14ac:dyDescent="0.15">
      <c r="A191" s="566">
        <v>1696</v>
      </c>
      <c r="B191" s="566">
        <v>1050</v>
      </c>
      <c r="C191" s="567"/>
      <c r="D191" s="566">
        <v>1103</v>
      </c>
      <c r="E191" s="567"/>
      <c r="F191" s="568" t="s">
        <v>140</v>
      </c>
      <c r="G191" s="569">
        <v>46135</v>
      </c>
      <c r="H191" s="569">
        <v>46170</v>
      </c>
      <c r="I191" s="569"/>
      <c r="J191" s="581"/>
      <c r="K191" s="571">
        <v>46169</v>
      </c>
      <c r="L191" s="572">
        <v>46163</v>
      </c>
      <c r="M191" s="573">
        <v>46170</v>
      </c>
      <c r="N191" s="570"/>
      <c r="O191" s="574" t="s">
        <v>1028</v>
      </c>
      <c r="P191" s="574" t="s">
        <v>1028</v>
      </c>
      <c r="Q191" s="574" t="s">
        <v>1028</v>
      </c>
      <c r="R191" s="574" t="s">
        <v>1028</v>
      </c>
      <c r="S191" s="574" t="s">
        <v>1028</v>
      </c>
      <c r="T191" s="574" t="s">
        <v>1028</v>
      </c>
      <c r="U191" s="574" t="s">
        <v>1028</v>
      </c>
      <c r="V191" s="574" t="s">
        <v>1028</v>
      </c>
      <c r="W191" s="575" t="s">
        <v>1028</v>
      </c>
      <c r="X191" s="576" t="s">
        <v>1028</v>
      </c>
      <c r="Y191" s="577"/>
      <c r="Z191" s="578" t="s">
        <v>1028</v>
      </c>
      <c r="AA191" s="579" t="s">
        <v>1242</v>
      </c>
      <c r="AB191" s="579" t="s">
        <v>414</v>
      </c>
      <c r="AC191" s="579"/>
      <c r="AD191" s="579" t="s">
        <v>140</v>
      </c>
      <c r="AE191" s="579">
        <v>11</v>
      </c>
      <c r="AF191" s="580">
        <f>H191</f>
        <v>46170</v>
      </c>
      <c r="AG191" s="579">
        <f>A191</f>
        <v>1696</v>
      </c>
      <c r="AH191" s="579"/>
      <c r="AJ191" s="542"/>
    </row>
    <row r="192" spans="1:36" s="46" customFormat="1" x14ac:dyDescent="0.15">
      <c r="A192" s="566">
        <v>1697</v>
      </c>
      <c r="B192" s="566">
        <v>1051</v>
      </c>
      <c r="C192" s="567"/>
      <c r="D192" s="566">
        <v>1104</v>
      </c>
      <c r="E192" s="567"/>
      <c r="F192" s="568" t="s">
        <v>140</v>
      </c>
      <c r="G192" s="569">
        <v>46135</v>
      </c>
      <c r="H192" s="569">
        <v>46170</v>
      </c>
      <c r="I192" s="569"/>
      <c r="J192" s="581"/>
      <c r="K192" s="571">
        <v>46169</v>
      </c>
      <c r="L192" s="572">
        <v>46163</v>
      </c>
      <c r="M192" s="573">
        <v>46170</v>
      </c>
      <c r="N192" s="570"/>
      <c r="O192" s="574" t="s">
        <v>1028</v>
      </c>
      <c r="P192" s="574" t="s">
        <v>1028</v>
      </c>
      <c r="Q192" s="574" t="s">
        <v>1028</v>
      </c>
      <c r="R192" s="574" t="s">
        <v>1028</v>
      </c>
      <c r="S192" s="574" t="s">
        <v>1028</v>
      </c>
      <c r="T192" s="574" t="s">
        <v>1028</v>
      </c>
      <c r="U192" s="574" t="s">
        <v>1028</v>
      </c>
      <c r="V192" s="574" t="s">
        <v>1028</v>
      </c>
      <c r="W192" s="575" t="s">
        <v>1028</v>
      </c>
      <c r="X192" s="576" t="s">
        <v>1028</v>
      </c>
      <c r="Y192" s="577"/>
      <c r="Z192" s="578" t="s">
        <v>1028</v>
      </c>
      <c r="AA192" s="579" t="s">
        <v>1243</v>
      </c>
      <c r="AB192" s="579" t="s">
        <v>414</v>
      </c>
      <c r="AC192" s="579"/>
      <c r="AD192" s="579" t="s">
        <v>140</v>
      </c>
      <c r="AE192" s="579">
        <v>11</v>
      </c>
      <c r="AF192" s="580">
        <f>H192</f>
        <v>46170</v>
      </c>
      <c r="AG192" s="579">
        <f>A192</f>
        <v>1697</v>
      </c>
      <c r="AH192" s="579"/>
      <c r="AJ192" s="542"/>
    </row>
    <row r="193" spans="1:36" s="46" customFormat="1" x14ac:dyDescent="0.15">
      <c r="A193" s="566">
        <v>1698</v>
      </c>
      <c r="B193" s="566">
        <v>1052</v>
      </c>
      <c r="C193" s="567"/>
      <c r="D193" s="566">
        <v>1105</v>
      </c>
      <c r="E193" s="567"/>
      <c r="F193" s="568" t="s">
        <v>140</v>
      </c>
      <c r="G193" s="569">
        <v>46135</v>
      </c>
      <c r="H193" s="569">
        <v>46171</v>
      </c>
      <c r="I193" s="569"/>
      <c r="J193" s="581"/>
      <c r="K193" s="571">
        <v>46170</v>
      </c>
      <c r="L193" s="572">
        <v>46164</v>
      </c>
      <c r="M193" s="573">
        <v>46171</v>
      </c>
      <c r="N193" s="570"/>
      <c r="O193" s="574" t="s">
        <v>1028</v>
      </c>
      <c r="P193" s="574" t="s">
        <v>1028</v>
      </c>
      <c r="Q193" s="574" t="s">
        <v>1028</v>
      </c>
      <c r="R193" s="574" t="s">
        <v>1028</v>
      </c>
      <c r="S193" s="574" t="s">
        <v>1028</v>
      </c>
      <c r="T193" s="574" t="s">
        <v>1028</v>
      </c>
      <c r="U193" s="574" t="s">
        <v>1028</v>
      </c>
      <c r="V193" s="574" t="s">
        <v>1028</v>
      </c>
      <c r="W193" s="575" t="s">
        <v>1028</v>
      </c>
      <c r="X193" s="576" t="s">
        <v>1028</v>
      </c>
      <c r="Y193" s="577"/>
      <c r="Z193" s="578" t="s">
        <v>1028</v>
      </c>
      <c r="AA193" s="579" t="s">
        <v>1244</v>
      </c>
      <c r="AB193" s="579" t="s">
        <v>414</v>
      </c>
      <c r="AC193" s="579"/>
      <c r="AD193" s="579" t="s">
        <v>140</v>
      </c>
      <c r="AE193" s="579">
        <v>11</v>
      </c>
      <c r="AF193" s="580">
        <f>H193</f>
        <v>46171</v>
      </c>
      <c r="AG193" s="579">
        <f>A193</f>
        <v>1698</v>
      </c>
      <c r="AH193" s="579"/>
      <c r="AJ193" s="542"/>
    </row>
    <row r="194" spans="1:36" s="46" customFormat="1" x14ac:dyDescent="0.15">
      <c r="A194" s="566">
        <v>1699</v>
      </c>
      <c r="B194" s="566">
        <v>1053</v>
      </c>
      <c r="C194" s="567"/>
      <c r="D194" s="566">
        <v>1106</v>
      </c>
      <c r="E194" s="567"/>
      <c r="F194" s="568" t="s">
        <v>140</v>
      </c>
      <c r="G194" s="569">
        <v>46135</v>
      </c>
      <c r="H194" s="569">
        <v>46171</v>
      </c>
      <c r="I194" s="569"/>
      <c r="J194" s="581"/>
      <c r="K194" s="571">
        <v>46170</v>
      </c>
      <c r="L194" s="572">
        <v>46164</v>
      </c>
      <c r="M194" s="573">
        <v>46171</v>
      </c>
      <c r="N194" s="570"/>
      <c r="O194" s="574" t="s">
        <v>1028</v>
      </c>
      <c r="P194" s="574" t="s">
        <v>1028</v>
      </c>
      <c r="Q194" s="574" t="s">
        <v>1028</v>
      </c>
      <c r="R194" s="574" t="s">
        <v>1028</v>
      </c>
      <c r="S194" s="574" t="s">
        <v>1028</v>
      </c>
      <c r="T194" s="574" t="s">
        <v>1028</v>
      </c>
      <c r="U194" s="574" t="s">
        <v>1028</v>
      </c>
      <c r="V194" s="574" t="s">
        <v>1028</v>
      </c>
      <c r="W194" s="575" t="s">
        <v>1028</v>
      </c>
      <c r="X194" s="576" t="s">
        <v>1028</v>
      </c>
      <c r="Y194" s="577"/>
      <c r="Z194" s="578" t="s">
        <v>1028</v>
      </c>
      <c r="AA194" s="579" t="s">
        <v>1245</v>
      </c>
      <c r="AB194" s="579" t="s">
        <v>414</v>
      </c>
      <c r="AC194" s="579"/>
      <c r="AD194" s="579" t="s">
        <v>140</v>
      </c>
      <c r="AE194" s="579">
        <v>11</v>
      </c>
      <c r="AF194" s="580">
        <f>H194</f>
        <v>46171</v>
      </c>
      <c r="AG194" s="579">
        <f>A194</f>
        <v>1699</v>
      </c>
      <c r="AH194" s="579"/>
      <c r="AJ194" s="542"/>
    </row>
    <row r="195" spans="1:36" s="46" customFormat="1" x14ac:dyDescent="0.15">
      <c r="A195" s="566">
        <v>1700</v>
      </c>
      <c r="B195" s="566">
        <v>1054</v>
      </c>
      <c r="C195" s="567"/>
      <c r="D195" s="566">
        <v>1107</v>
      </c>
      <c r="E195" s="567"/>
      <c r="F195" s="568" t="s">
        <v>140</v>
      </c>
      <c r="G195" s="569">
        <v>46135</v>
      </c>
      <c r="H195" s="569">
        <v>46171</v>
      </c>
      <c r="I195" s="569"/>
      <c r="J195" s="581"/>
      <c r="K195" s="571">
        <v>46170</v>
      </c>
      <c r="L195" s="572">
        <v>46164</v>
      </c>
      <c r="M195" s="573">
        <v>46171</v>
      </c>
      <c r="N195" s="570"/>
      <c r="O195" s="574" t="s">
        <v>1028</v>
      </c>
      <c r="P195" s="574" t="s">
        <v>1028</v>
      </c>
      <c r="Q195" s="574" t="s">
        <v>1028</v>
      </c>
      <c r="R195" s="574" t="s">
        <v>1028</v>
      </c>
      <c r="S195" s="574" t="s">
        <v>1028</v>
      </c>
      <c r="T195" s="574" t="s">
        <v>1028</v>
      </c>
      <c r="U195" s="574" t="s">
        <v>1028</v>
      </c>
      <c r="V195" s="574" t="s">
        <v>1028</v>
      </c>
      <c r="W195" s="575" t="s">
        <v>1028</v>
      </c>
      <c r="X195" s="576" t="s">
        <v>1028</v>
      </c>
      <c r="Y195" s="577"/>
      <c r="Z195" s="578" t="s">
        <v>1028</v>
      </c>
      <c r="AA195" s="579" t="s">
        <v>1246</v>
      </c>
      <c r="AB195" s="579" t="s">
        <v>414</v>
      </c>
      <c r="AC195" s="579"/>
      <c r="AD195" s="579" t="s">
        <v>140</v>
      </c>
      <c r="AE195" s="579">
        <v>11</v>
      </c>
      <c r="AF195" s="580">
        <f>H195</f>
        <v>46171</v>
      </c>
      <c r="AG195" s="579">
        <f>A195</f>
        <v>1700</v>
      </c>
      <c r="AH195" s="579"/>
      <c r="AJ195" s="542"/>
    </row>
    <row r="196" spans="1:36" s="46" customFormat="1" x14ac:dyDescent="0.15">
      <c r="A196" s="566">
        <v>1701</v>
      </c>
      <c r="B196" s="566">
        <v>1055</v>
      </c>
      <c r="C196" s="567"/>
      <c r="D196" s="566">
        <v>1108</v>
      </c>
      <c r="E196" s="567"/>
      <c r="F196" s="568" t="s">
        <v>140</v>
      </c>
      <c r="G196" s="569">
        <v>46135</v>
      </c>
      <c r="H196" s="569">
        <v>46171</v>
      </c>
      <c r="I196" s="569"/>
      <c r="J196" s="581"/>
      <c r="K196" s="571">
        <v>46170</v>
      </c>
      <c r="L196" s="572">
        <v>46164</v>
      </c>
      <c r="M196" s="573">
        <v>46171</v>
      </c>
      <c r="N196" s="570"/>
      <c r="O196" s="574" t="s">
        <v>1028</v>
      </c>
      <c r="P196" s="574" t="s">
        <v>1028</v>
      </c>
      <c r="Q196" s="574" t="s">
        <v>1028</v>
      </c>
      <c r="R196" s="574" t="s">
        <v>1028</v>
      </c>
      <c r="S196" s="574" t="s">
        <v>1028</v>
      </c>
      <c r="T196" s="574" t="s">
        <v>1028</v>
      </c>
      <c r="U196" s="574" t="s">
        <v>1028</v>
      </c>
      <c r="V196" s="574" t="s">
        <v>1028</v>
      </c>
      <c r="W196" s="575" t="s">
        <v>1028</v>
      </c>
      <c r="X196" s="576" t="s">
        <v>1028</v>
      </c>
      <c r="Y196" s="577"/>
      <c r="Z196" s="578" t="s">
        <v>1028</v>
      </c>
      <c r="AA196" s="579" t="s">
        <v>1247</v>
      </c>
      <c r="AB196" s="579" t="s">
        <v>414</v>
      </c>
      <c r="AC196" s="579"/>
      <c r="AD196" s="579" t="s">
        <v>140</v>
      </c>
      <c r="AE196" s="579">
        <v>11</v>
      </c>
      <c r="AF196" s="580">
        <f>H196</f>
        <v>46171</v>
      </c>
      <c r="AG196" s="579">
        <f>A196</f>
        <v>1701</v>
      </c>
      <c r="AH196" s="579"/>
      <c r="AJ196" s="542"/>
    </row>
    <row r="197" spans="1:36" s="46" customFormat="1" x14ac:dyDescent="0.15">
      <c r="A197" s="566">
        <v>1702</v>
      </c>
      <c r="B197" s="566">
        <v>1056</v>
      </c>
      <c r="C197" s="567"/>
      <c r="D197" s="566">
        <v>1109</v>
      </c>
      <c r="E197" s="567"/>
      <c r="F197" s="568" t="s">
        <v>140</v>
      </c>
      <c r="G197" s="569">
        <v>46135</v>
      </c>
      <c r="H197" s="569">
        <v>46171</v>
      </c>
      <c r="I197" s="569"/>
      <c r="J197" s="581"/>
      <c r="K197" s="571">
        <v>46170</v>
      </c>
      <c r="L197" s="572">
        <v>46164</v>
      </c>
      <c r="M197" s="573">
        <v>46171</v>
      </c>
      <c r="N197" s="570"/>
      <c r="O197" s="574" t="s">
        <v>1028</v>
      </c>
      <c r="P197" s="574" t="s">
        <v>1028</v>
      </c>
      <c r="Q197" s="574" t="s">
        <v>1028</v>
      </c>
      <c r="R197" s="574" t="s">
        <v>1028</v>
      </c>
      <c r="S197" s="574" t="s">
        <v>1028</v>
      </c>
      <c r="T197" s="574" t="s">
        <v>1028</v>
      </c>
      <c r="U197" s="574" t="s">
        <v>1028</v>
      </c>
      <c r="V197" s="574" t="s">
        <v>1028</v>
      </c>
      <c r="W197" s="575" t="s">
        <v>1028</v>
      </c>
      <c r="X197" s="576" t="s">
        <v>1028</v>
      </c>
      <c r="Y197" s="577"/>
      <c r="Z197" s="578" t="s">
        <v>1028</v>
      </c>
      <c r="AA197" s="579" t="s">
        <v>1248</v>
      </c>
      <c r="AB197" s="579" t="s">
        <v>414</v>
      </c>
      <c r="AC197" s="579"/>
      <c r="AD197" s="579" t="s">
        <v>140</v>
      </c>
      <c r="AE197" s="579">
        <v>11</v>
      </c>
      <c r="AF197" s="580">
        <f>H197</f>
        <v>46171</v>
      </c>
      <c r="AG197" s="579">
        <f>A197</f>
        <v>1702</v>
      </c>
      <c r="AH197" s="579"/>
      <c r="AJ197" s="542"/>
    </row>
    <row r="198" spans="1:36" s="46" customFormat="1" x14ac:dyDescent="0.15">
      <c r="A198" s="566">
        <v>1703</v>
      </c>
      <c r="B198" s="566">
        <v>1057</v>
      </c>
      <c r="C198" s="567"/>
      <c r="D198" s="566">
        <v>1110</v>
      </c>
      <c r="E198" s="567"/>
      <c r="F198" s="568" t="s">
        <v>140</v>
      </c>
      <c r="G198" s="569">
        <v>46135</v>
      </c>
      <c r="H198" s="569">
        <v>46171</v>
      </c>
      <c r="I198" s="569"/>
      <c r="J198" s="581"/>
      <c r="K198" s="571">
        <v>46170</v>
      </c>
      <c r="L198" s="572">
        <v>46164</v>
      </c>
      <c r="M198" s="573">
        <v>46171</v>
      </c>
      <c r="N198" s="570"/>
      <c r="O198" s="574" t="s">
        <v>1028</v>
      </c>
      <c r="P198" s="574" t="s">
        <v>1028</v>
      </c>
      <c r="Q198" s="574" t="s">
        <v>1028</v>
      </c>
      <c r="R198" s="574" t="s">
        <v>1028</v>
      </c>
      <c r="S198" s="574" t="s">
        <v>1028</v>
      </c>
      <c r="T198" s="574" t="s">
        <v>1028</v>
      </c>
      <c r="U198" s="574" t="s">
        <v>1028</v>
      </c>
      <c r="V198" s="574" t="s">
        <v>1028</v>
      </c>
      <c r="W198" s="575" t="s">
        <v>1028</v>
      </c>
      <c r="X198" s="576" t="s">
        <v>1028</v>
      </c>
      <c r="Y198" s="577"/>
      <c r="Z198" s="578" t="s">
        <v>1028</v>
      </c>
      <c r="AA198" s="579" t="s">
        <v>1249</v>
      </c>
      <c r="AB198" s="579" t="s">
        <v>414</v>
      </c>
      <c r="AC198" s="579"/>
      <c r="AD198" s="579" t="s">
        <v>140</v>
      </c>
      <c r="AE198" s="579">
        <v>11</v>
      </c>
      <c r="AF198" s="580">
        <f>H198</f>
        <v>46171</v>
      </c>
      <c r="AG198" s="579">
        <f>A198</f>
        <v>1703</v>
      </c>
      <c r="AH198" s="579"/>
      <c r="AJ198" s="542"/>
    </row>
    <row r="199" spans="1:36" s="46" customFormat="1" x14ac:dyDescent="0.15">
      <c r="A199" s="566">
        <v>1704</v>
      </c>
      <c r="B199" s="566">
        <v>1058</v>
      </c>
      <c r="C199" s="567"/>
      <c r="D199" s="566">
        <v>1111</v>
      </c>
      <c r="E199" s="567"/>
      <c r="F199" s="568" t="s">
        <v>140</v>
      </c>
      <c r="G199" s="569">
        <v>46135</v>
      </c>
      <c r="H199" s="569">
        <v>46174</v>
      </c>
      <c r="I199" s="569"/>
      <c r="J199" s="581"/>
      <c r="K199" s="571">
        <v>46171</v>
      </c>
      <c r="L199" s="572">
        <v>46167</v>
      </c>
      <c r="M199" s="573">
        <v>46174</v>
      </c>
      <c r="N199" s="570"/>
      <c r="O199" s="574" t="s">
        <v>1028</v>
      </c>
      <c r="P199" s="574" t="s">
        <v>1028</v>
      </c>
      <c r="Q199" s="574" t="s">
        <v>1028</v>
      </c>
      <c r="R199" s="574" t="s">
        <v>1028</v>
      </c>
      <c r="S199" s="574" t="s">
        <v>1028</v>
      </c>
      <c r="T199" s="574" t="s">
        <v>1028</v>
      </c>
      <c r="U199" s="574" t="s">
        <v>1028</v>
      </c>
      <c r="V199" s="574" t="s">
        <v>1028</v>
      </c>
      <c r="W199" s="575" t="s">
        <v>1028</v>
      </c>
      <c r="X199" s="576" t="s">
        <v>1028</v>
      </c>
      <c r="Y199" s="577"/>
      <c r="Z199" s="578" t="s">
        <v>1028</v>
      </c>
      <c r="AA199" s="579" t="s">
        <v>1250</v>
      </c>
      <c r="AB199" s="579" t="s">
        <v>414</v>
      </c>
      <c r="AC199" s="579"/>
      <c r="AD199" s="579" t="s">
        <v>140</v>
      </c>
      <c r="AE199" s="579">
        <v>11</v>
      </c>
      <c r="AF199" s="580">
        <f>H199</f>
        <v>46174</v>
      </c>
      <c r="AG199" s="579">
        <f>A199</f>
        <v>1704</v>
      </c>
      <c r="AH199" s="579"/>
      <c r="AJ199" s="542"/>
    </row>
    <row r="200" spans="1:36" s="46" customFormat="1" x14ac:dyDescent="0.15">
      <c r="A200" s="566">
        <v>1705</v>
      </c>
      <c r="B200" s="566">
        <v>1059</v>
      </c>
      <c r="C200" s="567"/>
      <c r="D200" s="566">
        <v>1112</v>
      </c>
      <c r="E200" s="567"/>
      <c r="F200" s="568" t="s">
        <v>140</v>
      </c>
      <c r="G200" s="569">
        <v>46135</v>
      </c>
      <c r="H200" s="569">
        <v>46174</v>
      </c>
      <c r="I200" s="569"/>
      <c r="J200" s="581"/>
      <c r="K200" s="571">
        <v>46171</v>
      </c>
      <c r="L200" s="572">
        <v>46167</v>
      </c>
      <c r="M200" s="573">
        <v>46174</v>
      </c>
      <c r="N200" s="570"/>
      <c r="O200" s="574" t="s">
        <v>1028</v>
      </c>
      <c r="P200" s="574" t="s">
        <v>1028</v>
      </c>
      <c r="Q200" s="574" t="s">
        <v>1028</v>
      </c>
      <c r="R200" s="574" t="s">
        <v>1028</v>
      </c>
      <c r="S200" s="574" t="s">
        <v>1028</v>
      </c>
      <c r="T200" s="574" t="s">
        <v>1028</v>
      </c>
      <c r="U200" s="574" t="s">
        <v>1028</v>
      </c>
      <c r="V200" s="574" t="s">
        <v>1028</v>
      </c>
      <c r="W200" s="575" t="s">
        <v>1028</v>
      </c>
      <c r="X200" s="576" t="s">
        <v>1028</v>
      </c>
      <c r="Y200" s="577"/>
      <c r="Z200" s="578" t="s">
        <v>1028</v>
      </c>
      <c r="AA200" s="579" t="s">
        <v>1251</v>
      </c>
      <c r="AB200" s="579" t="s">
        <v>414</v>
      </c>
      <c r="AC200" s="579"/>
      <c r="AD200" s="579" t="s">
        <v>140</v>
      </c>
      <c r="AE200" s="579">
        <v>11</v>
      </c>
      <c r="AF200" s="580">
        <f>H200</f>
        <v>46174</v>
      </c>
      <c r="AG200" s="579">
        <f>A200</f>
        <v>1705</v>
      </c>
      <c r="AH200" s="579"/>
      <c r="AJ200" s="542"/>
    </row>
    <row r="201" spans="1:36" s="46" customFormat="1" x14ac:dyDescent="0.15">
      <c r="A201" s="566">
        <v>1706</v>
      </c>
      <c r="B201" s="566">
        <v>1060</v>
      </c>
      <c r="C201" s="567"/>
      <c r="D201" s="566">
        <v>1113</v>
      </c>
      <c r="E201" s="567"/>
      <c r="F201" s="568" t="s">
        <v>140</v>
      </c>
      <c r="G201" s="569">
        <v>46135</v>
      </c>
      <c r="H201" s="569">
        <v>46174</v>
      </c>
      <c r="I201" s="569"/>
      <c r="J201" s="581"/>
      <c r="K201" s="571">
        <v>46171</v>
      </c>
      <c r="L201" s="572">
        <v>46167</v>
      </c>
      <c r="M201" s="573">
        <v>46174</v>
      </c>
      <c r="N201" s="570"/>
      <c r="O201" s="574" t="s">
        <v>1028</v>
      </c>
      <c r="P201" s="574" t="s">
        <v>1028</v>
      </c>
      <c r="Q201" s="574" t="s">
        <v>1028</v>
      </c>
      <c r="R201" s="574" t="s">
        <v>1028</v>
      </c>
      <c r="S201" s="574" t="s">
        <v>1028</v>
      </c>
      <c r="T201" s="574" t="s">
        <v>1028</v>
      </c>
      <c r="U201" s="574" t="s">
        <v>1028</v>
      </c>
      <c r="V201" s="574" t="s">
        <v>1028</v>
      </c>
      <c r="W201" s="575" t="s">
        <v>1028</v>
      </c>
      <c r="X201" s="576" t="s">
        <v>1028</v>
      </c>
      <c r="Y201" s="577"/>
      <c r="Z201" s="578" t="s">
        <v>1028</v>
      </c>
      <c r="AA201" s="579" t="s">
        <v>1252</v>
      </c>
      <c r="AB201" s="579" t="s">
        <v>414</v>
      </c>
      <c r="AC201" s="579"/>
      <c r="AD201" s="579" t="s">
        <v>140</v>
      </c>
      <c r="AE201" s="579">
        <v>11</v>
      </c>
      <c r="AF201" s="580">
        <f>H201</f>
        <v>46174</v>
      </c>
      <c r="AG201" s="579">
        <f>A201</f>
        <v>1706</v>
      </c>
      <c r="AH201" s="579"/>
      <c r="AJ201" s="542"/>
    </row>
    <row r="202" spans="1:36" s="46" customFormat="1" x14ac:dyDescent="0.15">
      <c r="A202" s="566">
        <v>1707</v>
      </c>
      <c r="B202" s="566">
        <v>1061</v>
      </c>
      <c r="C202" s="567"/>
      <c r="D202" s="566">
        <v>1114</v>
      </c>
      <c r="E202" s="567"/>
      <c r="F202" s="568" t="s">
        <v>140</v>
      </c>
      <c r="G202" s="569">
        <v>46135</v>
      </c>
      <c r="H202" s="569">
        <v>46174</v>
      </c>
      <c r="I202" s="569"/>
      <c r="J202" s="581"/>
      <c r="K202" s="571">
        <v>46171</v>
      </c>
      <c r="L202" s="572">
        <v>46167</v>
      </c>
      <c r="M202" s="573">
        <v>46174</v>
      </c>
      <c r="N202" s="570"/>
      <c r="O202" s="574" t="s">
        <v>1028</v>
      </c>
      <c r="P202" s="574" t="s">
        <v>1028</v>
      </c>
      <c r="Q202" s="574" t="s">
        <v>1028</v>
      </c>
      <c r="R202" s="574" t="s">
        <v>1028</v>
      </c>
      <c r="S202" s="574" t="s">
        <v>1028</v>
      </c>
      <c r="T202" s="574" t="s">
        <v>1028</v>
      </c>
      <c r="U202" s="574" t="s">
        <v>1028</v>
      </c>
      <c r="V202" s="574" t="s">
        <v>1028</v>
      </c>
      <c r="W202" s="575" t="s">
        <v>1028</v>
      </c>
      <c r="X202" s="576" t="s">
        <v>1028</v>
      </c>
      <c r="Y202" s="577"/>
      <c r="Z202" s="578" t="s">
        <v>1028</v>
      </c>
      <c r="AA202" s="579" t="s">
        <v>1253</v>
      </c>
      <c r="AB202" s="579" t="s">
        <v>414</v>
      </c>
      <c r="AC202" s="579"/>
      <c r="AD202" s="579" t="s">
        <v>140</v>
      </c>
      <c r="AE202" s="579">
        <v>11</v>
      </c>
      <c r="AF202" s="580">
        <f>H202</f>
        <v>46174</v>
      </c>
      <c r="AG202" s="579">
        <f>A202</f>
        <v>1707</v>
      </c>
      <c r="AH202" s="579"/>
      <c r="AJ202" s="542"/>
    </row>
    <row r="203" spans="1:36" s="46" customFormat="1" x14ac:dyDescent="0.15">
      <c r="A203" s="566">
        <v>1708</v>
      </c>
      <c r="B203" s="566">
        <v>1062</v>
      </c>
      <c r="C203" s="567"/>
      <c r="D203" s="566">
        <v>1115</v>
      </c>
      <c r="E203" s="567"/>
      <c r="F203" s="568" t="s">
        <v>140</v>
      </c>
      <c r="G203" s="569">
        <v>46135</v>
      </c>
      <c r="H203" s="569">
        <v>46174</v>
      </c>
      <c r="I203" s="569"/>
      <c r="J203" s="581"/>
      <c r="K203" s="571">
        <v>46171</v>
      </c>
      <c r="L203" s="572">
        <v>46167</v>
      </c>
      <c r="M203" s="573">
        <v>46174</v>
      </c>
      <c r="N203" s="570"/>
      <c r="O203" s="574" t="s">
        <v>1028</v>
      </c>
      <c r="P203" s="574" t="s">
        <v>1028</v>
      </c>
      <c r="Q203" s="574" t="s">
        <v>1028</v>
      </c>
      <c r="R203" s="574" t="s">
        <v>1028</v>
      </c>
      <c r="S203" s="574" t="s">
        <v>1028</v>
      </c>
      <c r="T203" s="574" t="s">
        <v>1028</v>
      </c>
      <c r="U203" s="574" t="s">
        <v>1028</v>
      </c>
      <c r="V203" s="574" t="s">
        <v>1028</v>
      </c>
      <c r="W203" s="575" t="s">
        <v>1028</v>
      </c>
      <c r="X203" s="576" t="s">
        <v>1028</v>
      </c>
      <c r="Y203" s="577"/>
      <c r="Z203" s="578" t="s">
        <v>1028</v>
      </c>
      <c r="AA203" s="579" t="s">
        <v>1254</v>
      </c>
      <c r="AB203" s="579" t="s">
        <v>414</v>
      </c>
      <c r="AC203" s="579"/>
      <c r="AD203" s="579" t="s">
        <v>140</v>
      </c>
      <c r="AE203" s="579">
        <v>11</v>
      </c>
      <c r="AF203" s="580">
        <f>H203</f>
        <v>46174</v>
      </c>
      <c r="AG203" s="579">
        <f>A203</f>
        <v>1708</v>
      </c>
      <c r="AH203" s="579"/>
      <c r="AJ203" s="542"/>
    </row>
    <row r="204" spans="1:36" s="46" customFormat="1" x14ac:dyDescent="0.15">
      <c r="A204" s="566">
        <v>1709</v>
      </c>
      <c r="B204" s="566">
        <v>1063</v>
      </c>
      <c r="C204" s="567"/>
      <c r="D204" s="566">
        <v>1116</v>
      </c>
      <c r="E204" s="567"/>
      <c r="F204" s="568" t="s">
        <v>140</v>
      </c>
      <c r="G204" s="569">
        <v>46135</v>
      </c>
      <c r="H204" s="569">
        <v>46175</v>
      </c>
      <c r="I204" s="569"/>
      <c r="J204" s="581"/>
      <c r="K204" s="571">
        <v>46174</v>
      </c>
      <c r="L204" s="572">
        <v>46168</v>
      </c>
      <c r="M204" s="573">
        <v>46175</v>
      </c>
      <c r="N204" s="570"/>
      <c r="O204" s="574" t="s">
        <v>1028</v>
      </c>
      <c r="P204" s="574" t="s">
        <v>1028</v>
      </c>
      <c r="Q204" s="574" t="s">
        <v>1028</v>
      </c>
      <c r="R204" s="574" t="s">
        <v>1028</v>
      </c>
      <c r="S204" s="574" t="s">
        <v>1028</v>
      </c>
      <c r="T204" s="574" t="s">
        <v>1028</v>
      </c>
      <c r="U204" s="574" t="s">
        <v>1028</v>
      </c>
      <c r="V204" s="574" t="s">
        <v>1028</v>
      </c>
      <c r="W204" s="575" t="s">
        <v>1028</v>
      </c>
      <c r="X204" s="576" t="s">
        <v>1028</v>
      </c>
      <c r="Y204" s="577"/>
      <c r="Z204" s="578" t="s">
        <v>1028</v>
      </c>
      <c r="AA204" s="579" t="s">
        <v>1255</v>
      </c>
      <c r="AB204" s="579" t="s">
        <v>414</v>
      </c>
      <c r="AC204" s="579"/>
      <c r="AD204" s="579" t="s">
        <v>140</v>
      </c>
      <c r="AE204" s="579">
        <v>11</v>
      </c>
      <c r="AF204" s="580">
        <f>H204</f>
        <v>46175</v>
      </c>
      <c r="AG204" s="579">
        <f>A204</f>
        <v>1709</v>
      </c>
      <c r="AH204" s="579"/>
      <c r="AJ204" s="542"/>
    </row>
    <row r="205" spans="1:36" s="46" customFormat="1" x14ac:dyDescent="0.15">
      <c r="A205" s="566">
        <v>1710</v>
      </c>
      <c r="B205" s="566">
        <v>1064</v>
      </c>
      <c r="C205" s="567"/>
      <c r="D205" s="566">
        <v>1117</v>
      </c>
      <c r="E205" s="567"/>
      <c r="F205" s="568" t="s">
        <v>140</v>
      </c>
      <c r="G205" s="569">
        <v>46135</v>
      </c>
      <c r="H205" s="569">
        <v>46175</v>
      </c>
      <c r="I205" s="569"/>
      <c r="J205" s="581"/>
      <c r="K205" s="571">
        <v>46174</v>
      </c>
      <c r="L205" s="572">
        <v>46168</v>
      </c>
      <c r="M205" s="573">
        <v>46175</v>
      </c>
      <c r="N205" s="570"/>
      <c r="O205" s="574" t="s">
        <v>1028</v>
      </c>
      <c r="P205" s="574" t="s">
        <v>1028</v>
      </c>
      <c r="Q205" s="574" t="s">
        <v>1028</v>
      </c>
      <c r="R205" s="574" t="s">
        <v>1028</v>
      </c>
      <c r="S205" s="574" t="s">
        <v>1028</v>
      </c>
      <c r="T205" s="574" t="s">
        <v>1028</v>
      </c>
      <c r="U205" s="574" t="s">
        <v>1028</v>
      </c>
      <c r="V205" s="574" t="s">
        <v>1028</v>
      </c>
      <c r="W205" s="575" t="s">
        <v>1028</v>
      </c>
      <c r="X205" s="576" t="s">
        <v>1028</v>
      </c>
      <c r="Y205" s="577"/>
      <c r="Z205" s="578" t="s">
        <v>1028</v>
      </c>
      <c r="AA205" s="579" t="s">
        <v>1256</v>
      </c>
      <c r="AB205" s="579" t="s">
        <v>414</v>
      </c>
      <c r="AC205" s="579"/>
      <c r="AD205" s="579" t="s">
        <v>140</v>
      </c>
      <c r="AE205" s="579">
        <v>11</v>
      </c>
      <c r="AF205" s="580">
        <f>H205</f>
        <v>46175</v>
      </c>
      <c r="AG205" s="579">
        <f>A205</f>
        <v>1710</v>
      </c>
      <c r="AH205" s="579"/>
      <c r="AJ205" s="542"/>
    </row>
    <row r="206" spans="1:36" s="46" customFormat="1" x14ac:dyDescent="0.15">
      <c r="A206" s="566">
        <v>1711</v>
      </c>
      <c r="B206" s="566">
        <v>1065</v>
      </c>
      <c r="C206" s="567"/>
      <c r="D206" s="566">
        <v>1118</v>
      </c>
      <c r="E206" s="567"/>
      <c r="F206" s="568" t="s">
        <v>140</v>
      </c>
      <c r="G206" s="569">
        <v>46135</v>
      </c>
      <c r="H206" s="569">
        <v>46175</v>
      </c>
      <c r="I206" s="569"/>
      <c r="J206" s="581"/>
      <c r="K206" s="571">
        <v>46174</v>
      </c>
      <c r="L206" s="572">
        <v>46168</v>
      </c>
      <c r="M206" s="573">
        <v>46175</v>
      </c>
      <c r="N206" s="570"/>
      <c r="O206" s="574" t="s">
        <v>1028</v>
      </c>
      <c r="P206" s="574" t="s">
        <v>1028</v>
      </c>
      <c r="Q206" s="574" t="s">
        <v>1028</v>
      </c>
      <c r="R206" s="574" t="s">
        <v>1028</v>
      </c>
      <c r="S206" s="574" t="s">
        <v>1028</v>
      </c>
      <c r="T206" s="574" t="s">
        <v>1028</v>
      </c>
      <c r="U206" s="574" t="s">
        <v>1028</v>
      </c>
      <c r="V206" s="574" t="s">
        <v>1028</v>
      </c>
      <c r="W206" s="575" t="s">
        <v>1028</v>
      </c>
      <c r="X206" s="576" t="s">
        <v>1028</v>
      </c>
      <c r="Y206" s="577"/>
      <c r="Z206" s="578" t="s">
        <v>1028</v>
      </c>
      <c r="AA206" s="579" t="s">
        <v>1257</v>
      </c>
      <c r="AB206" s="579" t="s">
        <v>414</v>
      </c>
      <c r="AC206" s="579"/>
      <c r="AD206" s="579" t="s">
        <v>140</v>
      </c>
      <c r="AE206" s="579">
        <v>11</v>
      </c>
      <c r="AF206" s="580">
        <f>H206</f>
        <v>46175</v>
      </c>
      <c r="AG206" s="579">
        <f>A206</f>
        <v>1711</v>
      </c>
      <c r="AH206" s="579"/>
      <c r="AJ206" s="542"/>
    </row>
    <row r="207" spans="1:36" s="46" customFormat="1" x14ac:dyDescent="0.15">
      <c r="A207" s="566">
        <v>1712</v>
      </c>
      <c r="B207" s="566">
        <v>1066</v>
      </c>
      <c r="C207" s="567"/>
      <c r="D207" s="566">
        <v>1119</v>
      </c>
      <c r="E207" s="567"/>
      <c r="F207" s="568" t="s">
        <v>140</v>
      </c>
      <c r="G207" s="569">
        <v>46135</v>
      </c>
      <c r="H207" s="569">
        <v>46175</v>
      </c>
      <c r="I207" s="569"/>
      <c r="J207" s="581"/>
      <c r="K207" s="571">
        <v>46174</v>
      </c>
      <c r="L207" s="572">
        <v>46168</v>
      </c>
      <c r="M207" s="573">
        <v>46175</v>
      </c>
      <c r="N207" s="570"/>
      <c r="O207" s="574" t="s">
        <v>1028</v>
      </c>
      <c r="P207" s="574" t="s">
        <v>1028</v>
      </c>
      <c r="Q207" s="574" t="s">
        <v>1028</v>
      </c>
      <c r="R207" s="574" t="s">
        <v>1028</v>
      </c>
      <c r="S207" s="574" t="s">
        <v>1028</v>
      </c>
      <c r="T207" s="574" t="s">
        <v>1028</v>
      </c>
      <c r="U207" s="574" t="s">
        <v>1028</v>
      </c>
      <c r="V207" s="574" t="s">
        <v>1028</v>
      </c>
      <c r="W207" s="575" t="s">
        <v>1028</v>
      </c>
      <c r="X207" s="576" t="s">
        <v>1028</v>
      </c>
      <c r="Y207" s="577"/>
      <c r="Z207" s="578" t="s">
        <v>1028</v>
      </c>
      <c r="AA207" s="579" t="s">
        <v>1258</v>
      </c>
      <c r="AB207" s="579" t="s">
        <v>414</v>
      </c>
      <c r="AC207" s="579"/>
      <c r="AD207" s="579" t="s">
        <v>140</v>
      </c>
      <c r="AE207" s="579">
        <v>11</v>
      </c>
      <c r="AF207" s="580">
        <f>H207</f>
        <v>46175</v>
      </c>
      <c r="AG207" s="579">
        <f>A207</f>
        <v>1712</v>
      </c>
      <c r="AH207" s="579"/>
      <c r="AJ207" s="542"/>
    </row>
    <row r="208" spans="1:36" s="46" customFormat="1" x14ac:dyDescent="0.15">
      <c r="A208" s="566">
        <v>1713</v>
      </c>
      <c r="B208" s="566">
        <v>1067</v>
      </c>
      <c r="C208" s="567"/>
      <c r="D208" s="566">
        <v>1120</v>
      </c>
      <c r="E208" s="567"/>
      <c r="F208" s="568" t="s">
        <v>140</v>
      </c>
      <c r="G208" s="569">
        <v>46135</v>
      </c>
      <c r="H208" s="569">
        <v>46175</v>
      </c>
      <c r="I208" s="569"/>
      <c r="J208" s="581"/>
      <c r="K208" s="571">
        <v>46174</v>
      </c>
      <c r="L208" s="572">
        <v>46168</v>
      </c>
      <c r="M208" s="573">
        <v>46175</v>
      </c>
      <c r="N208" s="570"/>
      <c r="O208" s="574" t="s">
        <v>1028</v>
      </c>
      <c r="P208" s="574" t="s">
        <v>1028</v>
      </c>
      <c r="Q208" s="574" t="s">
        <v>1028</v>
      </c>
      <c r="R208" s="574" t="s">
        <v>1028</v>
      </c>
      <c r="S208" s="574" t="s">
        <v>1028</v>
      </c>
      <c r="T208" s="574" t="s">
        <v>1028</v>
      </c>
      <c r="U208" s="574" t="s">
        <v>1028</v>
      </c>
      <c r="V208" s="574" t="s">
        <v>1028</v>
      </c>
      <c r="W208" s="575" t="s">
        <v>1028</v>
      </c>
      <c r="X208" s="576" t="s">
        <v>1028</v>
      </c>
      <c r="Y208" s="577"/>
      <c r="Z208" s="578" t="s">
        <v>1028</v>
      </c>
      <c r="AA208" s="579" t="s">
        <v>1259</v>
      </c>
      <c r="AB208" s="579" t="s">
        <v>414</v>
      </c>
      <c r="AC208" s="579"/>
      <c r="AD208" s="579" t="s">
        <v>140</v>
      </c>
      <c r="AE208" s="579">
        <v>11</v>
      </c>
      <c r="AF208" s="580">
        <f>H208</f>
        <v>46175</v>
      </c>
      <c r="AG208" s="579">
        <f>A208</f>
        <v>1713</v>
      </c>
      <c r="AH208" s="579"/>
      <c r="AJ208" s="542"/>
    </row>
    <row r="209" spans="1:36" s="46" customFormat="1" x14ac:dyDescent="0.15">
      <c r="A209" s="566">
        <v>1714</v>
      </c>
      <c r="B209" s="566">
        <v>1068</v>
      </c>
      <c r="C209" s="567"/>
      <c r="D209" s="566">
        <v>1121</v>
      </c>
      <c r="E209" s="567"/>
      <c r="F209" s="568" t="s">
        <v>140</v>
      </c>
      <c r="G209" s="569">
        <v>45803</v>
      </c>
      <c r="H209" s="569">
        <v>46176</v>
      </c>
      <c r="I209" s="569"/>
      <c r="J209" s="581"/>
      <c r="K209" s="571">
        <v>46175</v>
      </c>
      <c r="L209" s="572">
        <v>46169</v>
      </c>
      <c r="M209" s="573">
        <v>46176</v>
      </c>
      <c r="N209" s="570"/>
      <c r="O209" s="574" t="s">
        <v>1028</v>
      </c>
      <c r="P209" s="574" t="s">
        <v>1028</v>
      </c>
      <c r="Q209" s="574" t="s">
        <v>1028</v>
      </c>
      <c r="R209" s="574" t="s">
        <v>1028</v>
      </c>
      <c r="S209" s="574" t="s">
        <v>1028</v>
      </c>
      <c r="T209" s="574" t="s">
        <v>1028</v>
      </c>
      <c r="U209" s="574" t="s">
        <v>1028</v>
      </c>
      <c r="V209" s="574" t="s">
        <v>1028</v>
      </c>
      <c r="W209" s="575" t="s">
        <v>1028</v>
      </c>
      <c r="X209" s="576" t="s">
        <v>1028</v>
      </c>
      <c r="Y209" s="577"/>
      <c r="Z209" s="578" t="s">
        <v>1028</v>
      </c>
      <c r="AA209" s="579" t="s">
        <v>1260</v>
      </c>
      <c r="AB209" s="579" t="s">
        <v>414</v>
      </c>
      <c r="AC209" s="579"/>
      <c r="AD209" s="579" t="s">
        <v>140</v>
      </c>
      <c r="AE209" s="579">
        <v>11</v>
      </c>
      <c r="AF209" s="580">
        <f>H209</f>
        <v>46176</v>
      </c>
      <c r="AG209" s="579">
        <f>A209</f>
        <v>1714</v>
      </c>
      <c r="AH209" s="579"/>
      <c r="AJ209" s="542"/>
    </row>
    <row r="210" spans="1:36" s="46" customFormat="1" x14ac:dyDescent="0.15">
      <c r="A210" s="566">
        <v>1715</v>
      </c>
      <c r="B210" s="566">
        <v>1069</v>
      </c>
      <c r="C210" s="567"/>
      <c r="D210" s="566">
        <v>1122</v>
      </c>
      <c r="E210" s="567"/>
      <c r="F210" s="568" t="s">
        <v>140</v>
      </c>
      <c r="G210" s="569">
        <v>45803</v>
      </c>
      <c r="H210" s="569">
        <v>46176</v>
      </c>
      <c r="I210" s="569"/>
      <c r="J210" s="581"/>
      <c r="K210" s="571">
        <v>46175</v>
      </c>
      <c r="L210" s="572">
        <v>46169</v>
      </c>
      <c r="M210" s="573">
        <v>46176</v>
      </c>
      <c r="N210" s="570"/>
      <c r="O210" s="574" t="s">
        <v>1028</v>
      </c>
      <c r="P210" s="574" t="s">
        <v>1028</v>
      </c>
      <c r="Q210" s="574" t="s">
        <v>1028</v>
      </c>
      <c r="R210" s="574" t="s">
        <v>1028</v>
      </c>
      <c r="S210" s="574" t="s">
        <v>1028</v>
      </c>
      <c r="T210" s="574" t="s">
        <v>1028</v>
      </c>
      <c r="U210" s="574" t="s">
        <v>1028</v>
      </c>
      <c r="V210" s="574" t="s">
        <v>1028</v>
      </c>
      <c r="W210" s="575" t="s">
        <v>1028</v>
      </c>
      <c r="X210" s="576" t="s">
        <v>1028</v>
      </c>
      <c r="Y210" s="577"/>
      <c r="Z210" s="578" t="s">
        <v>1028</v>
      </c>
      <c r="AA210" s="579" t="s">
        <v>1261</v>
      </c>
      <c r="AB210" s="579" t="s">
        <v>414</v>
      </c>
      <c r="AC210" s="579"/>
      <c r="AD210" s="579" t="s">
        <v>140</v>
      </c>
      <c r="AE210" s="579">
        <v>11</v>
      </c>
      <c r="AF210" s="580">
        <f>H210</f>
        <v>46176</v>
      </c>
      <c r="AG210" s="579">
        <f>A210</f>
        <v>1715</v>
      </c>
      <c r="AH210" s="579"/>
      <c r="AJ210" s="542"/>
    </row>
    <row r="211" spans="1:36" s="46" customFormat="1" x14ac:dyDescent="0.15">
      <c r="A211" s="566">
        <v>1716</v>
      </c>
      <c r="B211" s="566">
        <v>1070</v>
      </c>
      <c r="C211" s="567"/>
      <c r="D211" s="566">
        <v>1123</v>
      </c>
      <c r="E211" s="567"/>
      <c r="F211" s="568" t="s">
        <v>140</v>
      </c>
      <c r="G211" s="569">
        <v>45803</v>
      </c>
      <c r="H211" s="569">
        <v>46176</v>
      </c>
      <c r="I211" s="569"/>
      <c r="J211" s="581"/>
      <c r="K211" s="571">
        <v>46175</v>
      </c>
      <c r="L211" s="572">
        <v>46169</v>
      </c>
      <c r="M211" s="573">
        <v>46176</v>
      </c>
      <c r="N211" s="570"/>
      <c r="O211" s="574" t="s">
        <v>1028</v>
      </c>
      <c r="P211" s="574" t="s">
        <v>1028</v>
      </c>
      <c r="Q211" s="574" t="s">
        <v>1028</v>
      </c>
      <c r="R211" s="574" t="s">
        <v>1028</v>
      </c>
      <c r="S211" s="574" t="s">
        <v>1028</v>
      </c>
      <c r="T211" s="574" t="s">
        <v>1028</v>
      </c>
      <c r="U211" s="574" t="s">
        <v>1028</v>
      </c>
      <c r="V211" s="574" t="s">
        <v>1028</v>
      </c>
      <c r="W211" s="575" t="s">
        <v>1028</v>
      </c>
      <c r="X211" s="576" t="s">
        <v>1028</v>
      </c>
      <c r="Y211" s="577"/>
      <c r="Z211" s="578" t="s">
        <v>1028</v>
      </c>
      <c r="AA211" s="579" t="s">
        <v>1262</v>
      </c>
      <c r="AB211" s="579" t="s">
        <v>414</v>
      </c>
      <c r="AC211" s="579"/>
      <c r="AD211" s="579" t="s">
        <v>140</v>
      </c>
      <c r="AE211" s="579">
        <v>11</v>
      </c>
      <c r="AF211" s="580">
        <f>H211</f>
        <v>46176</v>
      </c>
      <c r="AG211" s="579">
        <f>A211</f>
        <v>1716</v>
      </c>
      <c r="AH211" s="579"/>
      <c r="AJ211" s="542"/>
    </row>
    <row r="212" spans="1:36" s="46" customFormat="1" x14ac:dyDescent="0.15">
      <c r="A212" s="566">
        <v>1717</v>
      </c>
      <c r="B212" s="566">
        <v>1071</v>
      </c>
      <c r="C212" s="567"/>
      <c r="D212" s="566">
        <v>1124</v>
      </c>
      <c r="E212" s="567"/>
      <c r="F212" s="568" t="s">
        <v>140</v>
      </c>
      <c r="G212" s="569">
        <v>45803</v>
      </c>
      <c r="H212" s="569">
        <v>46176</v>
      </c>
      <c r="I212" s="569"/>
      <c r="J212" s="581"/>
      <c r="K212" s="571">
        <v>46175</v>
      </c>
      <c r="L212" s="572">
        <v>46169</v>
      </c>
      <c r="M212" s="573">
        <v>46176</v>
      </c>
      <c r="N212" s="570"/>
      <c r="O212" s="574" t="s">
        <v>1028</v>
      </c>
      <c r="P212" s="574" t="s">
        <v>1028</v>
      </c>
      <c r="Q212" s="574" t="s">
        <v>1028</v>
      </c>
      <c r="R212" s="574" t="s">
        <v>1028</v>
      </c>
      <c r="S212" s="574" t="s">
        <v>1028</v>
      </c>
      <c r="T212" s="574" t="s">
        <v>1028</v>
      </c>
      <c r="U212" s="574" t="s">
        <v>1028</v>
      </c>
      <c r="V212" s="574" t="s">
        <v>1028</v>
      </c>
      <c r="W212" s="575" t="s">
        <v>1028</v>
      </c>
      <c r="X212" s="576" t="s">
        <v>1028</v>
      </c>
      <c r="Y212" s="577"/>
      <c r="Z212" s="578" t="s">
        <v>1028</v>
      </c>
      <c r="AA212" s="579" t="s">
        <v>1263</v>
      </c>
      <c r="AB212" s="579" t="s">
        <v>414</v>
      </c>
      <c r="AC212" s="579"/>
      <c r="AD212" s="579" t="s">
        <v>140</v>
      </c>
      <c r="AE212" s="579">
        <v>11</v>
      </c>
      <c r="AF212" s="580">
        <f>H212</f>
        <v>46176</v>
      </c>
      <c r="AG212" s="579">
        <f>A212</f>
        <v>1717</v>
      </c>
      <c r="AH212" s="579"/>
      <c r="AJ212" s="542"/>
    </row>
    <row r="213" spans="1:36" s="46" customFormat="1" x14ac:dyDescent="0.15">
      <c r="A213" s="566">
        <v>1718</v>
      </c>
      <c r="B213" s="566">
        <v>1072</v>
      </c>
      <c r="C213" s="567"/>
      <c r="D213" s="566">
        <v>1125</v>
      </c>
      <c r="E213" s="567"/>
      <c r="F213" s="568" t="s">
        <v>140</v>
      </c>
      <c r="G213" s="569">
        <v>45803</v>
      </c>
      <c r="H213" s="569">
        <v>46176</v>
      </c>
      <c r="I213" s="569"/>
      <c r="J213" s="581"/>
      <c r="K213" s="571">
        <v>46175</v>
      </c>
      <c r="L213" s="572">
        <v>46169</v>
      </c>
      <c r="M213" s="573">
        <v>46176</v>
      </c>
      <c r="N213" s="570"/>
      <c r="O213" s="574" t="s">
        <v>1028</v>
      </c>
      <c r="P213" s="574" t="s">
        <v>1028</v>
      </c>
      <c r="Q213" s="574" t="s">
        <v>1028</v>
      </c>
      <c r="R213" s="574" t="s">
        <v>1028</v>
      </c>
      <c r="S213" s="574" t="s">
        <v>1028</v>
      </c>
      <c r="T213" s="574" t="s">
        <v>1028</v>
      </c>
      <c r="U213" s="574" t="s">
        <v>1028</v>
      </c>
      <c r="V213" s="574" t="s">
        <v>1028</v>
      </c>
      <c r="W213" s="575" t="s">
        <v>1028</v>
      </c>
      <c r="X213" s="576" t="s">
        <v>1028</v>
      </c>
      <c r="Y213" s="577"/>
      <c r="Z213" s="578" t="s">
        <v>1028</v>
      </c>
      <c r="AA213" s="579" t="s">
        <v>1264</v>
      </c>
      <c r="AB213" s="579" t="s">
        <v>414</v>
      </c>
      <c r="AC213" s="579"/>
      <c r="AD213" s="579" t="s">
        <v>140</v>
      </c>
      <c r="AE213" s="579">
        <v>11</v>
      </c>
      <c r="AF213" s="580">
        <f>H213</f>
        <v>46176</v>
      </c>
      <c r="AG213" s="579">
        <f>A213</f>
        <v>1718</v>
      </c>
      <c r="AH213" s="579"/>
      <c r="AJ213" s="542"/>
    </row>
    <row r="214" spans="1:36" s="46" customFormat="1" x14ac:dyDescent="0.15">
      <c r="A214" s="566">
        <v>1719</v>
      </c>
      <c r="B214" s="566">
        <v>1073</v>
      </c>
      <c r="C214" s="567"/>
      <c r="D214" s="566">
        <v>1126</v>
      </c>
      <c r="E214" s="567"/>
      <c r="F214" s="568" t="s">
        <v>140</v>
      </c>
      <c r="G214" s="569">
        <v>45803</v>
      </c>
      <c r="H214" s="569">
        <v>46176</v>
      </c>
      <c r="I214" s="569"/>
      <c r="J214" s="581"/>
      <c r="K214" s="571">
        <v>46175</v>
      </c>
      <c r="L214" s="572">
        <v>46169</v>
      </c>
      <c r="M214" s="573">
        <v>46176</v>
      </c>
      <c r="N214" s="570"/>
      <c r="O214" s="574" t="s">
        <v>1028</v>
      </c>
      <c r="P214" s="574" t="s">
        <v>1028</v>
      </c>
      <c r="Q214" s="574" t="s">
        <v>1028</v>
      </c>
      <c r="R214" s="574" t="s">
        <v>1028</v>
      </c>
      <c r="S214" s="574" t="s">
        <v>1028</v>
      </c>
      <c r="T214" s="574" t="s">
        <v>1028</v>
      </c>
      <c r="U214" s="574" t="s">
        <v>1028</v>
      </c>
      <c r="V214" s="574" t="s">
        <v>1028</v>
      </c>
      <c r="W214" s="575" t="s">
        <v>1028</v>
      </c>
      <c r="X214" s="576" t="s">
        <v>1028</v>
      </c>
      <c r="Y214" s="577"/>
      <c r="Z214" s="578" t="s">
        <v>1028</v>
      </c>
      <c r="AA214" s="579" t="s">
        <v>1265</v>
      </c>
      <c r="AB214" s="579" t="s">
        <v>414</v>
      </c>
      <c r="AC214" s="579"/>
      <c r="AD214" s="579" t="s">
        <v>140</v>
      </c>
      <c r="AE214" s="579">
        <v>11</v>
      </c>
      <c r="AF214" s="580">
        <f>H214</f>
        <v>46176</v>
      </c>
      <c r="AG214" s="579">
        <f>A214</f>
        <v>1719</v>
      </c>
      <c r="AH214" s="579"/>
      <c r="AJ214" s="542"/>
    </row>
    <row r="215" spans="1:36" s="46" customFormat="1" x14ac:dyDescent="0.15">
      <c r="A215" s="566">
        <v>1720</v>
      </c>
      <c r="B215" s="566">
        <v>1074</v>
      </c>
      <c r="C215" s="567"/>
      <c r="D215" s="566">
        <v>1127</v>
      </c>
      <c r="E215" s="567"/>
      <c r="F215" s="568" t="s">
        <v>140</v>
      </c>
      <c r="G215" s="569">
        <v>45803</v>
      </c>
      <c r="H215" s="569">
        <v>46177</v>
      </c>
      <c r="I215" s="569"/>
      <c r="J215" s="581"/>
      <c r="K215" s="571">
        <v>46176</v>
      </c>
      <c r="L215" s="572">
        <v>46170</v>
      </c>
      <c r="M215" s="573">
        <v>46177</v>
      </c>
      <c r="N215" s="570"/>
      <c r="O215" s="574" t="s">
        <v>1028</v>
      </c>
      <c r="P215" s="574" t="s">
        <v>1028</v>
      </c>
      <c r="Q215" s="574" t="s">
        <v>1028</v>
      </c>
      <c r="R215" s="574" t="s">
        <v>1028</v>
      </c>
      <c r="S215" s="574" t="s">
        <v>1028</v>
      </c>
      <c r="T215" s="574" t="s">
        <v>1028</v>
      </c>
      <c r="U215" s="574" t="s">
        <v>1028</v>
      </c>
      <c r="V215" s="574" t="s">
        <v>1028</v>
      </c>
      <c r="W215" s="575" t="s">
        <v>1028</v>
      </c>
      <c r="X215" s="576" t="s">
        <v>1028</v>
      </c>
      <c r="Y215" s="577"/>
      <c r="Z215" s="578" t="s">
        <v>1028</v>
      </c>
      <c r="AA215" s="579" t="s">
        <v>1266</v>
      </c>
      <c r="AB215" s="579" t="s">
        <v>414</v>
      </c>
      <c r="AC215" s="579"/>
      <c r="AD215" s="579" t="s">
        <v>140</v>
      </c>
      <c r="AE215" s="579">
        <v>11</v>
      </c>
      <c r="AF215" s="580">
        <f>H215</f>
        <v>46177</v>
      </c>
      <c r="AG215" s="579">
        <f>A215</f>
        <v>1720</v>
      </c>
      <c r="AH215" s="579"/>
      <c r="AJ215" s="542"/>
    </row>
    <row r="216" spans="1:36" s="46" customFormat="1" x14ac:dyDescent="0.15">
      <c r="A216" s="566">
        <v>1721</v>
      </c>
      <c r="B216" s="566">
        <v>1075</v>
      </c>
      <c r="C216" s="567"/>
      <c r="D216" s="566">
        <v>1128</v>
      </c>
      <c r="E216" s="567"/>
      <c r="F216" s="568" t="s">
        <v>140</v>
      </c>
      <c r="G216" s="569">
        <v>45803</v>
      </c>
      <c r="H216" s="569">
        <v>46177</v>
      </c>
      <c r="I216" s="569"/>
      <c r="J216" s="581"/>
      <c r="K216" s="571">
        <v>46176</v>
      </c>
      <c r="L216" s="572">
        <v>46170</v>
      </c>
      <c r="M216" s="573">
        <v>46177</v>
      </c>
      <c r="N216" s="570"/>
      <c r="O216" s="574" t="s">
        <v>1028</v>
      </c>
      <c r="P216" s="574" t="s">
        <v>1028</v>
      </c>
      <c r="Q216" s="574" t="s">
        <v>1028</v>
      </c>
      <c r="R216" s="574" t="s">
        <v>1028</v>
      </c>
      <c r="S216" s="574" t="s">
        <v>1028</v>
      </c>
      <c r="T216" s="574" t="s">
        <v>1028</v>
      </c>
      <c r="U216" s="574" t="s">
        <v>1028</v>
      </c>
      <c r="V216" s="574" t="s">
        <v>1028</v>
      </c>
      <c r="W216" s="575" t="s">
        <v>1028</v>
      </c>
      <c r="X216" s="576" t="s">
        <v>1028</v>
      </c>
      <c r="Y216" s="577"/>
      <c r="Z216" s="578" t="s">
        <v>1028</v>
      </c>
      <c r="AA216" s="579" t="s">
        <v>1267</v>
      </c>
      <c r="AB216" s="579" t="s">
        <v>414</v>
      </c>
      <c r="AC216" s="579"/>
      <c r="AD216" s="579" t="s">
        <v>140</v>
      </c>
      <c r="AE216" s="579">
        <v>11</v>
      </c>
      <c r="AF216" s="580">
        <f>H216</f>
        <v>46177</v>
      </c>
      <c r="AG216" s="579">
        <f>A216</f>
        <v>1721</v>
      </c>
      <c r="AH216" s="579"/>
      <c r="AJ216" s="542"/>
    </row>
    <row r="217" spans="1:36" s="46" customFormat="1" x14ac:dyDescent="0.15">
      <c r="A217" s="566">
        <v>1722</v>
      </c>
      <c r="B217" s="566">
        <v>1076</v>
      </c>
      <c r="C217" s="567"/>
      <c r="D217" s="566">
        <v>1129</v>
      </c>
      <c r="E217" s="567"/>
      <c r="F217" s="568" t="s">
        <v>140</v>
      </c>
      <c r="G217" s="569">
        <v>45803</v>
      </c>
      <c r="H217" s="569">
        <v>46177</v>
      </c>
      <c r="I217" s="569"/>
      <c r="J217" s="581"/>
      <c r="K217" s="571">
        <v>46176</v>
      </c>
      <c r="L217" s="572">
        <v>46170</v>
      </c>
      <c r="M217" s="573">
        <v>46177</v>
      </c>
      <c r="N217" s="570"/>
      <c r="O217" s="574" t="s">
        <v>1028</v>
      </c>
      <c r="P217" s="574" t="s">
        <v>1028</v>
      </c>
      <c r="Q217" s="574" t="s">
        <v>1028</v>
      </c>
      <c r="R217" s="574" t="s">
        <v>1028</v>
      </c>
      <c r="S217" s="574" t="s">
        <v>1028</v>
      </c>
      <c r="T217" s="574" t="s">
        <v>1028</v>
      </c>
      <c r="U217" s="574" t="s">
        <v>1028</v>
      </c>
      <c r="V217" s="574" t="s">
        <v>1028</v>
      </c>
      <c r="W217" s="575" t="s">
        <v>1028</v>
      </c>
      <c r="X217" s="576" t="s">
        <v>1028</v>
      </c>
      <c r="Y217" s="577"/>
      <c r="Z217" s="578" t="s">
        <v>1028</v>
      </c>
      <c r="AA217" s="579" t="s">
        <v>1268</v>
      </c>
      <c r="AB217" s="579" t="s">
        <v>414</v>
      </c>
      <c r="AC217" s="579"/>
      <c r="AD217" s="579" t="s">
        <v>140</v>
      </c>
      <c r="AE217" s="579">
        <v>11</v>
      </c>
      <c r="AF217" s="580">
        <f>H217</f>
        <v>46177</v>
      </c>
      <c r="AG217" s="579">
        <f>A217</f>
        <v>1722</v>
      </c>
      <c r="AH217" s="579"/>
      <c r="AJ217" s="542"/>
    </row>
    <row r="218" spans="1:36" s="46" customFormat="1" x14ac:dyDescent="0.15">
      <c r="A218" s="566">
        <v>1723</v>
      </c>
      <c r="B218" s="566">
        <v>1077</v>
      </c>
      <c r="C218" s="567"/>
      <c r="D218" s="566">
        <v>1130</v>
      </c>
      <c r="E218" s="567"/>
      <c r="F218" s="568" t="s">
        <v>140</v>
      </c>
      <c r="G218" s="569">
        <v>45803</v>
      </c>
      <c r="H218" s="569">
        <v>46177</v>
      </c>
      <c r="I218" s="569"/>
      <c r="J218" s="581"/>
      <c r="K218" s="571">
        <v>46176</v>
      </c>
      <c r="L218" s="572">
        <v>46170</v>
      </c>
      <c r="M218" s="573">
        <v>46177</v>
      </c>
      <c r="N218" s="570"/>
      <c r="O218" s="574" t="s">
        <v>1028</v>
      </c>
      <c r="P218" s="574" t="s">
        <v>1028</v>
      </c>
      <c r="Q218" s="574" t="s">
        <v>1028</v>
      </c>
      <c r="R218" s="574" t="s">
        <v>1028</v>
      </c>
      <c r="S218" s="574" t="s">
        <v>1028</v>
      </c>
      <c r="T218" s="574" t="s">
        <v>1028</v>
      </c>
      <c r="U218" s="574" t="s">
        <v>1028</v>
      </c>
      <c r="V218" s="574" t="s">
        <v>1028</v>
      </c>
      <c r="W218" s="575" t="s">
        <v>1028</v>
      </c>
      <c r="X218" s="576" t="s">
        <v>1028</v>
      </c>
      <c r="Y218" s="577"/>
      <c r="Z218" s="578" t="s">
        <v>1028</v>
      </c>
      <c r="AA218" s="579" t="s">
        <v>1269</v>
      </c>
      <c r="AB218" s="579" t="s">
        <v>414</v>
      </c>
      <c r="AC218" s="579"/>
      <c r="AD218" s="579" t="s">
        <v>140</v>
      </c>
      <c r="AE218" s="579">
        <v>11</v>
      </c>
      <c r="AF218" s="580">
        <f>H218</f>
        <v>46177</v>
      </c>
      <c r="AG218" s="579">
        <f>A218</f>
        <v>1723</v>
      </c>
      <c r="AH218" s="579"/>
      <c r="AJ218" s="542"/>
    </row>
    <row r="219" spans="1:36" s="564" customFormat="1" x14ac:dyDescent="0.15">
      <c r="A219" s="566">
        <v>1724</v>
      </c>
      <c r="B219" s="566">
        <v>1078</v>
      </c>
      <c r="C219" s="567"/>
      <c r="D219" s="566">
        <v>1131</v>
      </c>
      <c r="E219" s="567"/>
      <c r="F219" s="568" t="s">
        <v>140</v>
      </c>
      <c r="G219" s="569">
        <v>45803</v>
      </c>
      <c r="H219" s="569">
        <v>46177</v>
      </c>
      <c r="I219" s="569"/>
      <c r="J219" s="581"/>
      <c r="K219" s="571">
        <v>46176</v>
      </c>
      <c r="L219" s="572">
        <v>46170</v>
      </c>
      <c r="M219" s="573">
        <v>46177</v>
      </c>
      <c r="N219" s="570"/>
      <c r="O219" s="574" t="s">
        <v>1028</v>
      </c>
      <c r="P219" s="574" t="s">
        <v>1028</v>
      </c>
      <c r="Q219" s="574" t="s">
        <v>1028</v>
      </c>
      <c r="R219" s="574" t="s">
        <v>1028</v>
      </c>
      <c r="S219" s="574" t="s">
        <v>1028</v>
      </c>
      <c r="T219" s="574" t="s">
        <v>1028</v>
      </c>
      <c r="U219" s="574" t="s">
        <v>1028</v>
      </c>
      <c r="V219" s="574" t="s">
        <v>1028</v>
      </c>
      <c r="W219" s="575" t="s">
        <v>1028</v>
      </c>
      <c r="X219" s="576" t="s">
        <v>1028</v>
      </c>
      <c r="Y219" s="577"/>
      <c r="Z219" s="578" t="s">
        <v>1028</v>
      </c>
      <c r="AA219" s="579" t="s">
        <v>1270</v>
      </c>
      <c r="AB219" s="579" t="s">
        <v>414</v>
      </c>
      <c r="AC219" s="579"/>
      <c r="AD219" s="579" t="s">
        <v>140</v>
      </c>
      <c r="AE219" s="579">
        <v>11</v>
      </c>
      <c r="AF219" s="580">
        <f>H219</f>
        <v>46177</v>
      </c>
      <c r="AG219" s="579">
        <f>A219</f>
        <v>1724</v>
      </c>
      <c r="AH219" s="579"/>
      <c r="AJ219" s="565"/>
    </row>
    <row r="220" spans="1:36" s="564" customFormat="1" x14ac:dyDescent="0.15">
      <c r="A220" s="566">
        <v>1725</v>
      </c>
      <c r="B220" s="566">
        <v>1079</v>
      </c>
      <c r="C220" s="567"/>
      <c r="D220" s="566">
        <v>1132</v>
      </c>
      <c r="E220" s="567"/>
      <c r="F220" s="568" t="s">
        <v>140</v>
      </c>
      <c r="G220" s="569">
        <v>45803</v>
      </c>
      <c r="H220" s="569">
        <v>46177</v>
      </c>
      <c r="I220" s="569"/>
      <c r="J220" s="581"/>
      <c r="K220" s="571">
        <v>46176</v>
      </c>
      <c r="L220" s="572">
        <v>46170</v>
      </c>
      <c r="M220" s="573">
        <v>46177</v>
      </c>
      <c r="N220" s="570"/>
      <c r="O220" s="574" t="s">
        <v>1028</v>
      </c>
      <c r="P220" s="574" t="s">
        <v>1028</v>
      </c>
      <c r="Q220" s="574" t="s">
        <v>1028</v>
      </c>
      <c r="R220" s="574" t="s">
        <v>1028</v>
      </c>
      <c r="S220" s="574" t="s">
        <v>1028</v>
      </c>
      <c r="T220" s="574" t="s">
        <v>1028</v>
      </c>
      <c r="U220" s="574" t="s">
        <v>1028</v>
      </c>
      <c r="V220" s="574" t="s">
        <v>1028</v>
      </c>
      <c r="W220" s="575" t="s">
        <v>1028</v>
      </c>
      <c r="X220" s="576" t="s">
        <v>1028</v>
      </c>
      <c r="Y220" s="577"/>
      <c r="Z220" s="578" t="s">
        <v>1028</v>
      </c>
      <c r="AA220" s="579" t="s">
        <v>1271</v>
      </c>
      <c r="AB220" s="579" t="s">
        <v>414</v>
      </c>
      <c r="AC220" s="579"/>
      <c r="AD220" s="579" t="s">
        <v>140</v>
      </c>
      <c r="AE220" s="579">
        <v>11</v>
      </c>
      <c r="AF220" s="580">
        <f>H220</f>
        <v>46177</v>
      </c>
      <c r="AG220" s="579">
        <f>A220</f>
        <v>1725</v>
      </c>
      <c r="AH220" s="579"/>
      <c r="AJ220" s="565"/>
    </row>
    <row r="221" spans="1:36" s="564" customFormat="1" x14ac:dyDescent="0.15">
      <c r="A221" s="566">
        <v>1726</v>
      </c>
      <c r="B221" s="566">
        <v>1080</v>
      </c>
      <c r="C221" s="567"/>
      <c r="D221" s="566">
        <v>1133</v>
      </c>
      <c r="E221" s="567"/>
      <c r="F221" s="568" t="s">
        <v>140</v>
      </c>
      <c r="G221" s="569">
        <v>45803</v>
      </c>
      <c r="H221" s="569">
        <v>46178</v>
      </c>
      <c r="I221" s="569"/>
      <c r="J221" s="581"/>
      <c r="K221" s="571">
        <v>46177</v>
      </c>
      <c r="L221" s="572">
        <v>46171</v>
      </c>
      <c r="M221" s="573">
        <v>46178</v>
      </c>
      <c r="N221" s="570"/>
      <c r="O221" s="574" t="s">
        <v>1028</v>
      </c>
      <c r="P221" s="574" t="s">
        <v>1028</v>
      </c>
      <c r="Q221" s="574" t="s">
        <v>1028</v>
      </c>
      <c r="R221" s="574" t="s">
        <v>1028</v>
      </c>
      <c r="S221" s="574" t="s">
        <v>1028</v>
      </c>
      <c r="T221" s="574" t="s">
        <v>1028</v>
      </c>
      <c r="U221" s="574" t="s">
        <v>1028</v>
      </c>
      <c r="V221" s="574" t="s">
        <v>1028</v>
      </c>
      <c r="W221" s="575" t="s">
        <v>1028</v>
      </c>
      <c r="X221" s="576" t="s">
        <v>1028</v>
      </c>
      <c r="Y221" s="577"/>
      <c r="Z221" s="578" t="s">
        <v>1028</v>
      </c>
      <c r="AA221" s="579" t="s">
        <v>1272</v>
      </c>
      <c r="AB221" s="579" t="s">
        <v>414</v>
      </c>
      <c r="AC221" s="579"/>
      <c r="AD221" s="579" t="s">
        <v>140</v>
      </c>
      <c r="AE221" s="579">
        <v>11</v>
      </c>
      <c r="AF221" s="580">
        <f>H221</f>
        <v>46178</v>
      </c>
      <c r="AG221" s="579">
        <f>A221</f>
        <v>1726</v>
      </c>
      <c r="AH221" s="579"/>
      <c r="AJ221" s="565"/>
    </row>
    <row r="222" spans="1:36" s="564" customFormat="1" x14ac:dyDescent="0.15">
      <c r="A222" s="566">
        <v>1727</v>
      </c>
      <c r="B222" s="566">
        <v>1081</v>
      </c>
      <c r="C222" s="567"/>
      <c r="D222" s="566">
        <v>1134</v>
      </c>
      <c r="E222" s="567"/>
      <c r="F222" s="568" t="s">
        <v>140</v>
      </c>
      <c r="G222" s="569">
        <v>45803</v>
      </c>
      <c r="H222" s="569">
        <v>46178</v>
      </c>
      <c r="I222" s="569"/>
      <c r="J222" s="581"/>
      <c r="K222" s="571">
        <v>46177</v>
      </c>
      <c r="L222" s="572">
        <v>46171</v>
      </c>
      <c r="M222" s="573">
        <v>46178</v>
      </c>
      <c r="N222" s="570"/>
      <c r="O222" s="574" t="s">
        <v>1028</v>
      </c>
      <c r="P222" s="574" t="s">
        <v>1028</v>
      </c>
      <c r="Q222" s="574" t="s">
        <v>1028</v>
      </c>
      <c r="R222" s="574" t="s">
        <v>1028</v>
      </c>
      <c r="S222" s="574" t="s">
        <v>1028</v>
      </c>
      <c r="T222" s="574" t="s">
        <v>1028</v>
      </c>
      <c r="U222" s="574" t="s">
        <v>1028</v>
      </c>
      <c r="V222" s="574" t="s">
        <v>1028</v>
      </c>
      <c r="W222" s="575" t="s">
        <v>1028</v>
      </c>
      <c r="X222" s="576" t="s">
        <v>1028</v>
      </c>
      <c r="Y222" s="577"/>
      <c r="Z222" s="578" t="s">
        <v>1028</v>
      </c>
      <c r="AA222" s="579" t="s">
        <v>1273</v>
      </c>
      <c r="AB222" s="579" t="s">
        <v>414</v>
      </c>
      <c r="AC222" s="579"/>
      <c r="AD222" s="579" t="s">
        <v>140</v>
      </c>
      <c r="AE222" s="579">
        <v>11</v>
      </c>
      <c r="AF222" s="580">
        <f>H222</f>
        <v>46178</v>
      </c>
      <c r="AG222" s="579">
        <f>A222</f>
        <v>1727</v>
      </c>
      <c r="AH222" s="579"/>
      <c r="AJ222" s="565"/>
    </row>
    <row r="223" spans="1:36" s="564" customFormat="1" x14ac:dyDescent="0.15">
      <c r="A223" s="566">
        <v>1728</v>
      </c>
      <c r="B223" s="566">
        <v>1082</v>
      </c>
      <c r="C223" s="567"/>
      <c r="D223" s="566">
        <v>1135</v>
      </c>
      <c r="E223" s="567"/>
      <c r="F223" s="568" t="s">
        <v>140</v>
      </c>
      <c r="G223" s="569">
        <v>45803</v>
      </c>
      <c r="H223" s="569">
        <v>46178</v>
      </c>
      <c r="I223" s="569"/>
      <c r="J223" s="581"/>
      <c r="K223" s="571">
        <v>46177</v>
      </c>
      <c r="L223" s="572">
        <v>46171</v>
      </c>
      <c r="M223" s="573">
        <v>46178</v>
      </c>
      <c r="N223" s="570"/>
      <c r="O223" s="574" t="s">
        <v>1028</v>
      </c>
      <c r="P223" s="574" t="s">
        <v>1028</v>
      </c>
      <c r="Q223" s="574" t="s">
        <v>1028</v>
      </c>
      <c r="R223" s="574" t="s">
        <v>1028</v>
      </c>
      <c r="S223" s="574" t="s">
        <v>1028</v>
      </c>
      <c r="T223" s="574" t="s">
        <v>1028</v>
      </c>
      <c r="U223" s="574" t="s">
        <v>1028</v>
      </c>
      <c r="V223" s="574" t="s">
        <v>1028</v>
      </c>
      <c r="W223" s="575" t="s">
        <v>1028</v>
      </c>
      <c r="X223" s="576" t="s">
        <v>1028</v>
      </c>
      <c r="Y223" s="577"/>
      <c r="Z223" s="578" t="s">
        <v>1028</v>
      </c>
      <c r="AA223" s="579" t="s">
        <v>1274</v>
      </c>
      <c r="AB223" s="579" t="s">
        <v>414</v>
      </c>
      <c r="AC223" s="579"/>
      <c r="AD223" s="579" t="s">
        <v>140</v>
      </c>
      <c r="AE223" s="579">
        <v>11</v>
      </c>
      <c r="AF223" s="580">
        <f>H223</f>
        <v>46178</v>
      </c>
      <c r="AG223" s="579">
        <f>A223</f>
        <v>1728</v>
      </c>
      <c r="AH223" s="579"/>
      <c r="AJ223" s="565"/>
    </row>
    <row r="224" spans="1:36" s="564" customFormat="1" x14ac:dyDescent="0.15">
      <c r="A224" s="566">
        <v>1729</v>
      </c>
      <c r="B224" s="566">
        <v>1083</v>
      </c>
      <c r="C224" s="567"/>
      <c r="D224" s="566">
        <v>1136</v>
      </c>
      <c r="E224" s="567"/>
      <c r="F224" s="568" t="s">
        <v>140</v>
      </c>
      <c r="G224" s="569">
        <v>45803</v>
      </c>
      <c r="H224" s="569">
        <v>46178</v>
      </c>
      <c r="I224" s="569"/>
      <c r="J224" s="581"/>
      <c r="K224" s="571">
        <v>46177</v>
      </c>
      <c r="L224" s="572">
        <v>46171</v>
      </c>
      <c r="M224" s="573">
        <v>46178</v>
      </c>
      <c r="N224" s="570"/>
      <c r="O224" s="574" t="s">
        <v>1028</v>
      </c>
      <c r="P224" s="574" t="s">
        <v>1028</v>
      </c>
      <c r="Q224" s="574" t="s">
        <v>1028</v>
      </c>
      <c r="R224" s="574" t="s">
        <v>1028</v>
      </c>
      <c r="S224" s="574" t="s">
        <v>1028</v>
      </c>
      <c r="T224" s="574" t="s">
        <v>1028</v>
      </c>
      <c r="U224" s="574" t="s">
        <v>1028</v>
      </c>
      <c r="V224" s="574" t="s">
        <v>1028</v>
      </c>
      <c r="W224" s="575" t="s">
        <v>1028</v>
      </c>
      <c r="X224" s="576" t="s">
        <v>1028</v>
      </c>
      <c r="Y224" s="577"/>
      <c r="Z224" s="578" t="s">
        <v>1028</v>
      </c>
      <c r="AA224" s="579" t="s">
        <v>1275</v>
      </c>
      <c r="AB224" s="579" t="s">
        <v>414</v>
      </c>
      <c r="AC224" s="579"/>
      <c r="AD224" s="579" t="s">
        <v>140</v>
      </c>
      <c r="AE224" s="579">
        <v>11</v>
      </c>
      <c r="AF224" s="580">
        <f>H224</f>
        <v>46178</v>
      </c>
      <c r="AG224" s="579">
        <f>A224</f>
        <v>1729</v>
      </c>
      <c r="AH224" s="579"/>
      <c r="AJ224" s="565"/>
    </row>
    <row r="225" spans="1:36" s="564" customFormat="1" x14ac:dyDescent="0.15">
      <c r="A225" s="566">
        <v>1730</v>
      </c>
      <c r="B225" s="566">
        <v>1084</v>
      </c>
      <c r="C225" s="567"/>
      <c r="D225" s="566">
        <v>1137</v>
      </c>
      <c r="E225" s="567"/>
      <c r="F225" s="568" t="s">
        <v>140</v>
      </c>
      <c r="G225" s="569">
        <v>45803</v>
      </c>
      <c r="H225" s="569">
        <v>46178</v>
      </c>
      <c r="I225" s="569"/>
      <c r="J225" s="581"/>
      <c r="K225" s="571">
        <v>46177</v>
      </c>
      <c r="L225" s="572">
        <v>46171</v>
      </c>
      <c r="M225" s="573">
        <v>46178</v>
      </c>
      <c r="N225" s="570"/>
      <c r="O225" s="574" t="s">
        <v>1028</v>
      </c>
      <c r="P225" s="574" t="s">
        <v>1028</v>
      </c>
      <c r="Q225" s="574" t="s">
        <v>1028</v>
      </c>
      <c r="R225" s="574" t="s">
        <v>1028</v>
      </c>
      <c r="S225" s="574" t="s">
        <v>1028</v>
      </c>
      <c r="T225" s="574" t="s">
        <v>1028</v>
      </c>
      <c r="U225" s="574" t="s">
        <v>1028</v>
      </c>
      <c r="V225" s="574" t="s">
        <v>1028</v>
      </c>
      <c r="W225" s="575" t="s">
        <v>1028</v>
      </c>
      <c r="X225" s="576" t="s">
        <v>1028</v>
      </c>
      <c r="Y225" s="577"/>
      <c r="Z225" s="578" t="s">
        <v>1028</v>
      </c>
      <c r="AA225" s="579" t="s">
        <v>1276</v>
      </c>
      <c r="AB225" s="579" t="s">
        <v>414</v>
      </c>
      <c r="AC225" s="579"/>
      <c r="AD225" s="579" t="s">
        <v>140</v>
      </c>
      <c r="AE225" s="579">
        <v>11</v>
      </c>
      <c r="AF225" s="580">
        <f>H225</f>
        <v>46178</v>
      </c>
      <c r="AG225" s="579">
        <f>A225</f>
        <v>1730</v>
      </c>
      <c r="AH225" s="579"/>
      <c r="AJ225" s="565"/>
    </row>
    <row r="226" spans="1:36" s="564" customFormat="1" x14ac:dyDescent="0.15">
      <c r="A226" s="566">
        <v>1731</v>
      </c>
      <c r="B226" s="566">
        <v>1085</v>
      </c>
      <c r="C226" s="567"/>
      <c r="D226" s="566">
        <v>1138</v>
      </c>
      <c r="E226" s="567"/>
      <c r="F226" s="568" t="s">
        <v>140</v>
      </c>
      <c r="G226" s="569">
        <v>45803</v>
      </c>
      <c r="H226" s="569">
        <v>46178</v>
      </c>
      <c r="I226" s="569"/>
      <c r="J226" s="581"/>
      <c r="K226" s="571">
        <v>46177</v>
      </c>
      <c r="L226" s="572">
        <v>46171</v>
      </c>
      <c r="M226" s="573">
        <v>46178</v>
      </c>
      <c r="N226" s="570"/>
      <c r="O226" s="574" t="s">
        <v>1028</v>
      </c>
      <c r="P226" s="574" t="s">
        <v>1028</v>
      </c>
      <c r="Q226" s="574" t="s">
        <v>1028</v>
      </c>
      <c r="R226" s="574" t="s">
        <v>1028</v>
      </c>
      <c r="S226" s="574" t="s">
        <v>1028</v>
      </c>
      <c r="T226" s="574" t="s">
        <v>1028</v>
      </c>
      <c r="U226" s="574" t="s">
        <v>1028</v>
      </c>
      <c r="V226" s="574" t="s">
        <v>1028</v>
      </c>
      <c r="W226" s="575" t="s">
        <v>1028</v>
      </c>
      <c r="X226" s="576" t="s">
        <v>1028</v>
      </c>
      <c r="Y226" s="577"/>
      <c r="Z226" s="578" t="s">
        <v>1028</v>
      </c>
      <c r="AA226" s="579" t="s">
        <v>1277</v>
      </c>
      <c r="AB226" s="579" t="s">
        <v>414</v>
      </c>
      <c r="AC226" s="579"/>
      <c r="AD226" s="579" t="s">
        <v>140</v>
      </c>
      <c r="AE226" s="579">
        <v>11</v>
      </c>
      <c r="AF226" s="580">
        <f>H226</f>
        <v>46178</v>
      </c>
      <c r="AG226" s="579">
        <f>A226</f>
        <v>1731</v>
      </c>
      <c r="AH226" s="579"/>
      <c r="AJ226" s="565"/>
    </row>
    <row r="227" spans="1:36" s="564" customFormat="1" x14ac:dyDescent="0.15">
      <c r="A227" s="566">
        <v>1732</v>
      </c>
      <c r="B227" s="566">
        <v>1086</v>
      </c>
      <c r="C227" s="567"/>
      <c r="D227" s="566">
        <v>1139</v>
      </c>
      <c r="E227" s="567"/>
      <c r="F227" s="568" t="s">
        <v>140</v>
      </c>
      <c r="G227" s="569">
        <v>45803</v>
      </c>
      <c r="H227" s="569">
        <v>46181</v>
      </c>
      <c r="I227" s="569"/>
      <c r="J227" s="581"/>
      <c r="K227" s="571">
        <v>46178</v>
      </c>
      <c r="L227" s="572">
        <v>46174</v>
      </c>
      <c r="M227" s="573">
        <v>46181</v>
      </c>
      <c r="N227" s="570"/>
      <c r="O227" s="574" t="s">
        <v>1028</v>
      </c>
      <c r="P227" s="574" t="s">
        <v>1028</v>
      </c>
      <c r="Q227" s="574" t="s">
        <v>1028</v>
      </c>
      <c r="R227" s="574" t="s">
        <v>1028</v>
      </c>
      <c r="S227" s="574" t="s">
        <v>1028</v>
      </c>
      <c r="T227" s="574" t="s">
        <v>1028</v>
      </c>
      <c r="U227" s="574" t="s">
        <v>1028</v>
      </c>
      <c r="V227" s="574" t="s">
        <v>1028</v>
      </c>
      <c r="W227" s="575" t="s">
        <v>1028</v>
      </c>
      <c r="X227" s="576" t="s">
        <v>1028</v>
      </c>
      <c r="Y227" s="577"/>
      <c r="Z227" s="578" t="s">
        <v>1028</v>
      </c>
      <c r="AA227" s="579" t="s">
        <v>1278</v>
      </c>
      <c r="AB227" s="579" t="s">
        <v>414</v>
      </c>
      <c r="AC227" s="579"/>
      <c r="AD227" s="579" t="s">
        <v>140</v>
      </c>
      <c r="AE227" s="579">
        <v>11</v>
      </c>
      <c r="AF227" s="580">
        <f>H227</f>
        <v>46181</v>
      </c>
      <c r="AG227" s="579">
        <f>A227</f>
        <v>1732</v>
      </c>
      <c r="AH227" s="579"/>
      <c r="AJ227" s="565"/>
    </row>
    <row r="228" spans="1:36" s="564" customFormat="1" x14ac:dyDescent="0.15">
      <c r="A228" s="566">
        <v>1733</v>
      </c>
      <c r="B228" s="566">
        <v>1087</v>
      </c>
      <c r="C228" s="567"/>
      <c r="D228" s="566">
        <v>1140</v>
      </c>
      <c r="E228" s="567"/>
      <c r="F228" s="568" t="s">
        <v>140</v>
      </c>
      <c r="G228" s="569">
        <v>45803</v>
      </c>
      <c r="H228" s="569">
        <v>46181</v>
      </c>
      <c r="I228" s="569"/>
      <c r="J228" s="581"/>
      <c r="K228" s="571">
        <v>46178</v>
      </c>
      <c r="L228" s="572">
        <v>46174</v>
      </c>
      <c r="M228" s="573">
        <v>46181</v>
      </c>
      <c r="N228" s="570"/>
      <c r="O228" s="574" t="s">
        <v>1028</v>
      </c>
      <c r="P228" s="574" t="s">
        <v>1028</v>
      </c>
      <c r="Q228" s="574" t="s">
        <v>1028</v>
      </c>
      <c r="R228" s="574" t="s">
        <v>1028</v>
      </c>
      <c r="S228" s="574" t="s">
        <v>1028</v>
      </c>
      <c r="T228" s="574" t="s">
        <v>1028</v>
      </c>
      <c r="U228" s="574" t="s">
        <v>1028</v>
      </c>
      <c r="V228" s="574" t="s">
        <v>1028</v>
      </c>
      <c r="W228" s="575" t="s">
        <v>1028</v>
      </c>
      <c r="X228" s="576" t="s">
        <v>1028</v>
      </c>
      <c r="Y228" s="577"/>
      <c r="Z228" s="578" t="s">
        <v>1028</v>
      </c>
      <c r="AA228" s="579" t="s">
        <v>1279</v>
      </c>
      <c r="AB228" s="579" t="s">
        <v>414</v>
      </c>
      <c r="AC228" s="579"/>
      <c r="AD228" s="579" t="s">
        <v>140</v>
      </c>
      <c r="AE228" s="579">
        <v>11</v>
      </c>
      <c r="AF228" s="580">
        <f>H228</f>
        <v>46181</v>
      </c>
      <c r="AG228" s="579">
        <f>A228</f>
        <v>1733</v>
      </c>
      <c r="AH228" s="579"/>
      <c r="AJ228" s="565"/>
    </row>
    <row r="229" spans="1:36" s="564" customFormat="1" x14ac:dyDescent="0.15">
      <c r="A229" s="566">
        <v>1734</v>
      </c>
      <c r="B229" s="566">
        <v>1088</v>
      </c>
      <c r="C229" s="567"/>
      <c r="D229" s="566">
        <v>1141</v>
      </c>
      <c r="E229" s="567"/>
      <c r="F229" s="568" t="s">
        <v>140</v>
      </c>
      <c r="G229" s="569">
        <v>45803</v>
      </c>
      <c r="H229" s="569">
        <v>46181</v>
      </c>
      <c r="I229" s="569"/>
      <c r="J229" s="581"/>
      <c r="K229" s="571">
        <v>46178</v>
      </c>
      <c r="L229" s="572">
        <v>46174</v>
      </c>
      <c r="M229" s="573">
        <v>46181</v>
      </c>
      <c r="N229" s="570"/>
      <c r="O229" s="574" t="s">
        <v>1028</v>
      </c>
      <c r="P229" s="574" t="s">
        <v>1028</v>
      </c>
      <c r="Q229" s="574" t="s">
        <v>1028</v>
      </c>
      <c r="R229" s="574" t="s">
        <v>1028</v>
      </c>
      <c r="S229" s="574" t="s">
        <v>1028</v>
      </c>
      <c r="T229" s="574" t="s">
        <v>1028</v>
      </c>
      <c r="U229" s="574" t="s">
        <v>1028</v>
      </c>
      <c r="V229" s="574" t="s">
        <v>1028</v>
      </c>
      <c r="W229" s="575" t="s">
        <v>1028</v>
      </c>
      <c r="X229" s="576" t="s">
        <v>1028</v>
      </c>
      <c r="Y229" s="577"/>
      <c r="Z229" s="578" t="s">
        <v>1028</v>
      </c>
      <c r="AA229" s="579" t="s">
        <v>1280</v>
      </c>
      <c r="AB229" s="579" t="s">
        <v>414</v>
      </c>
      <c r="AC229" s="579"/>
      <c r="AD229" s="579" t="s">
        <v>140</v>
      </c>
      <c r="AE229" s="579">
        <v>11</v>
      </c>
      <c r="AF229" s="580">
        <f>H229</f>
        <v>46181</v>
      </c>
      <c r="AG229" s="579">
        <f>A229</f>
        <v>1734</v>
      </c>
      <c r="AH229" s="579"/>
      <c r="AJ229" s="565"/>
    </row>
    <row r="230" spans="1:36" s="564" customFormat="1" x14ac:dyDescent="0.15">
      <c r="A230" s="566">
        <v>1735</v>
      </c>
      <c r="B230" s="566">
        <v>1089</v>
      </c>
      <c r="C230" s="567"/>
      <c r="D230" s="566">
        <v>1142</v>
      </c>
      <c r="E230" s="567"/>
      <c r="F230" s="568" t="s">
        <v>140</v>
      </c>
      <c r="G230" s="569">
        <v>45803</v>
      </c>
      <c r="H230" s="569">
        <v>46181</v>
      </c>
      <c r="I230" s="569"/>
      <c r="J230" s="581"/>
      <c r="K230" s="571">
        <v>46178</v>
      </c>
      <c r="L230" s="572">
        <v>46174</v>
      </c>
      <c r="M230" s="573">
        <v>46181</v>
      </c>
      <c r="N230" s="570"/>
      <c r="O230" s="574" t="s">
        <v>1028</v>
      </c>
      <c r="P230" s="574" t="s">
        <v>1028</v>
      </c>
      <c r="Q230" s="574" t="s">
        <v>1028</v>
      </c>
      <c r="R230" s="574" t="s">
        <v>1028</v>
      </c>
      <c r="S230" s="574" t="s">
        <v>1028</v>
      </c>
      <c r="T230" s="574" t="s">
        <v>1028</v>
      </c>
      <c r="U230" s="574" t="s">
        <v>1028</v>
      </c>
      <c r="V230" s="574" t="s">
        <v>1028</v>
      </c>
      <c r="W230" s="575" t="s">
        <v>1028</v>
      </c>
      <c r="X230" s="576" t="s">
        <v>1028</v>
      </c>
      <c r="Y230" s="577"/>
      <c r="Z230" s="578" t="s">
        <v>1028</v>
      </c>
      <c r="AA230" s="579" t="s">
        <v>1281</v>
      </c>
      <c r="AB230" s="579" t="s">
        <v>414</v>
      </c>
      <c r="AC230" s="579"/>
      <c r="AD230" s="579" t="s">
        <v>140</v>
      </c>
      <c r="AE230" s="579">
        <v>11</v>
      </c>
      <c r="AF230" s="580">
        <f>H230</f>
        <v>46181</v>
      </c>
      <c r="AG230" s="579">
        <f>A230</f>
        <v>1735</v>
      </c>
      <c r="AH230" s="579"/>
      <c r="AJ230" s="565"/>
    </row>
    <row r="231" spans="1:36" s="564" customFormat="1" x14ac:dyDescent="0.15">
      <c r="A231" s="566">
        <v>1736</v>
      </c>
      <c r="B231" s="566">
        <v>1090</v>
      </c>
      <c r="C231" s="567"/>
      <c r="D231" s="566">
        <v>1143</v>
      </c>
      <c r="E231" s="567"/>
      <c r="F231" s="568" t="s">
        <v>140</v>
      </c>
      <c r="G231" s="569">
        <v>45803</v>
      </c>
      <c r="H231" s="569">
        <v>46182</v>
      </c>
      <c r="I231" s="569"/>
      <c r="J231" s="581"/>
      <c r="K231" s="571">
        <v>46181</v>
      </c>
      <c r="L231" s="572">
        <v>46175</v>
      </c>
      <c r="M231" s="573">
        <v>46182</v>
      </c>
      <c r="N231" s="570"/>
      <c r="O231" s="574" t="s">
        <v>1028</v>
      </c>
      <c r="P231" s="574" t="s">
        <v>1028</v>
      </c>
      <c r="Q231" s="574" t="s">
        <v>1028</v>
      </c>
      <c r="R231" s="574" t="s">
        <v>1028</v>
      </c>
      <c r="S231" s="574" t="s">
        <v>1028</v>
      </c>
      <c r="T231" s="574" t="s">
        <v>1028</v>
      </c>
      <c r="U231" s="574" t="s">
        <v>1028</v>
      </c>
      <c r="V231" s="574" t="s">
        <v>1028</v>
      </c>
      <c r="W231" s="575" t="s">
        <v>1028</v>
      </c>
      <c r="X231" s="576" t="s">
        <v>1028</v>
      </c>
      <c r="Y231" s="577"/>
      <c r="Z231" s="578" t="s">
        <v>1028</v>
      </c>
      <c r="AA231" s="579" t="s">
        <v>1282</v>
      </c>
      <c r="AB231" s="579" t="s">
        <v>414</v>
      </c>
      <c r="AC231" s="579"/>
      <c r="AD231" s="579" t="s">
        <v>140</v>
      </c>
      <c r="AE231" s="579">
        <v>11</v>
      </c>
      <c r="AF231" s="580">
        <f>H231</f>
        <v>46182</v>
      </c>
      <c r="AG231" s="579">
        <f>A231</f>
        <v>1736</v>
      </c>
      <c r="AH231" s="579"/>
      <c r="AJ231" s="565"/>
    </row>
    <row r="232" spans="1:36" s="564" customFormat="1" x14ac:dyDescent="0.15">
      <c r="A232" s="566">
        <v>1737</v>
      </c>
      <c r="B232" s="566">
        <v>1091</v>
      </c>
      <c r="C232" s="567"/>
      <c r="D232" s="566">
        <v>1144</v>
      </c>
      <c r="E232" s="567"/>
      <c r="F232" s="568" t="s">
        <v>140</v>
      </c>
      <c r="G232" s="569">
        <v>45803</v>
      </c>
      <c r="H232" s="569">
        <v>46182</v>
      </c>
      <c r="I232" s="569"/>
      <c r="J232" s="581"/>
      <c r="K232" s="571">
        <v>46181</v>
      </c>
      <c r="L232" s="572">
        <v>46175</v>
      </c>
      <c r="M232" s="573">
        <v>46182</v>
      </c>
      <c r="N232" s="570"/>
      <c r="O232" s="574" t="s">
        <v>1028</v>
      </c>
      <c r="P232" s="574" t="s">
        <v>1028</v>
      </c>
      <c r="Q232" s="574" t="s">
        <v>1028</v>
      </c>
      <c r="R232" s="574" t="s">
        <v>1028</v>
      </c>
      <c r="S232" s="574" t="s">
        <v>1028</v>
      </c>
      <c r="T232" s="574" t="s">
        <v>1028</v>
      </c>
      <c r="U232" s="574" t="s">
        <v>1028</v>
      </c>
      <c r="V232" s="574" t="s">
        <v>1028</v>
      </c>
      <c r="W232" s="575" t="s">
        <v>1028</v>
      </c>
      <c r="X232" s="576" t="s">
        <v>1028</v>
      </c>
      <c r="Y232" s="577"/>
      <c r="Z232" s="578" t="s">
        <v>1028</v>
      </c>
      <c r="AA232" s="579" t="s">
        <v>1283</v>
      </c>
      <c r="AB232" s="579" t="s">
        <v>414</v>
      </c>
      <c r="AC232" s="579"/>
      <c r="AD232" s="579" t="s">
        <v>140</v>
      </c>
      <c r="AE232" s="579">
        <v>11</v>
      </c>
      <c r="AF232" s="580">
        <f>H232</f>
        <v>46182</v>
      </c>
      <c r="AG232" s="579">
        <f>A232</f>
        <v>1737</v>
      </c>
      <c r="AH232" s="579"/>
      <c r="AJ232" s="565"/>
    </row>
    <row r="233" spans="1:36" s="564" customFormat="1" x14ac:dyDescent="0.15">
      <c r="A233" s="566">
        <v>1738</v>
      </c>
      <c r="B233" s="566">
        <v>1092</v>
      </c>
      <c r="C233" s="567"/>
      <c r="D233" s="566">
        <v>1145</v>
      </c>
      <c r="E233" s="567"/>
      <c r="F233" s="568" t="s">
        <v>140</v>
      </c>
      <c r="G233" s="569">
        <v>45803</v>
      </c>
      <c r="H233" s="569">
        <v>46182</v>
      </c>
      <c r="I233" s="569"/>
      <c r="J233" s="581"/>
      <c r="K233" s="571">
        <v>46181</v>
      </c>
      <c r="L233" s="572">
        <v>46175</v>
      </c>
      <c r="M233" s="573">
        <v>46182</v>
      </c>
      <c r="N233" s="570"/>
      <c r="O233" s="574" t="s">
        <v>1028</v>
      </c>
      <c r="P233" s="574" t="s">
        <v>1028</v>
      </c>
      <c r="Q233" s="574" t="s">
        <v>1028</v>
      </c>
      <c r="R233" s="574" t="s">
        <v>1028</v>
      </c>
      <c r="S233" s="574" t="s">
        <v>1028</v>
      </c>
      <c r="T233" s="574" t="s">
        <v>1028</v>
      </c>
      <c r="U233" s="574" t="s">
        <v>1028</v>
      </c>
      <c r="V233" s="574" t="s">
        <v>1028</v>
      </c>
      <c r="W233" s="575" t="s">
        <v>1028</v>
      </c>
      <c r="X233" s="576" t="s">
        <v>1028</v>
      </c>
      <c r="Y233" s="577"/>
      <c r="Z233" s="578" t="s">
        <v>1028</v>
      </c>
      <c r="AA233" s="579" t="s">
        <v>1284</v>
      </c>
      <c r="AB233" s="579" t="s">
        <v>414</v>
      </c>
      <c r="AC233" s="579"/>
      <c r="AD233" s="579" t="s">
        <v>140</v>
      </c>
      <c r="AE233" s="579">
        <v>11</v>
      </c>
      <c r="AF233" s="580">
        <f>H233</f>
        <v>46182</v>
      </c>
      <c r="AG233" s="579">
        <f>A233</f>
        <v>1738</v>
      </c>
      <c r="AH233" s="579"/>
      <c r="AJ233" s="565"/>
    </row>
    <row r="234" spans="1:36" s="564" customFormat="1" x14ac:dyDescent="0.15">
      <c r="A234" s="566">
        <v>1739</v>
      </c>
      <c r="B234" s="566">
        <v>1093</v>
      </c>
      <c r="C234" s="567"/>
      <c r="D234" s="566">
        <v>1146</v>
      </c>
      <c r="E234" s="567"/>
      <c r="F234" s="568" t="s">
        <v>140</v>
      </c>
      <c r="G234" s="569">
        <v>45803</v>
      </c>
      <c r="H234" s="569">
        <v>46182</v>
      </c>
      <c r="I234" s="569"/>
      <c r="J234" s="581"/>
      <c r="K234" s="571">
        <v>46181</v>
      </c>
      <c r="L234" s="572">
        <v>46175</v>
      </c>
      <c r="M234" s="573">
        <v>46182</v>
      </c>
      <c r="N234" s="570"/>
      <c r="O234" s="574" t="s">
        <v>1028</v>
      </c>
      <c r="P234" s="574" t="s">
        <v>1028</v>
      </c>
      <c r="Q234" s="574" t="s">
        <v>1028</v>
      </c>
      <c r="R234" s="574" t="s">
        <v>1028</v>
      </c>
      <c r="S234" s="574" t="s">
        <v>1028</v>
      </c>
      <c r="T234" s="574" t="s">
        <v>1028</v>
      </c>
      <c r="U234" s="574" t="s">
        <v>1028</v>
      </c>
      <c r="V234" s="574" t="s">
        <v>1028</v>
      </c>
      <c r="W234" s="575" t="s">
        <v>1028</v>
      </c>
      <c r="X234" s="576" t="s">
        <v>1028</v>
      </c>
      <c r="Y234" s="577"/>
      <c r="Z234" s="578" t="s">
        <v>1028</v>
      </c>
      <c r="AA234" s="579" t="s">
        <v>1285</v>
      </c>
      <c r="AB234" s="579" t="s">
        <v>414</v>
      </c>
      <c r="AC234" s="579"/>
      <c r="AD234" s="579" t="s">
        <v>140</v>
      </c>
      <c r="AE234" s="579">
        <v>11</v>
      </c>
      <c r="AF234" s="580">
        <f>H234</f>
        <v>46182</v>
      </c>
      <c r="AG234" s="579">
        <f>A234</f>
        <v>1739</v>
      </c>
      <c r="AH234" s="579"/>
      <c r="AJ234" s="565"/>
    </row>
    <row r="235" spans="1:36" s="564" customFormat="1" x14ac:dyDescent="0.15">
      <c r="A235" s="566">
        <v>1740</v>
      </c>
      <c r="B235" s="566">
        <v>1094</v>
      </c>
      <c r="C235" s="567"/>
      <c r="D235" s="566">
        <v>1147</v>
      </c>
      <c r="E235" s="567"/>
      <c r="F235" s="568" t="s">
        <v>140</v>
      </c>
      <c r="G235" s="569">
        <v>45803</v>
      </c>
      <c r="H235" s="569">
        <v>46182</v>
      </c>
      <c r="I235" s="569"/>
      <c r="J235" s="581"/>
      <c r="K235" s="571">
        <v>46181</v>
      </c>
      <c r="L235" s="572">
        <v>46175</v>
      </c>
      <c r="M235" s="573">
        <v>46182</v>
      </c>
      <c r="N235" s="570"/>
      <c r="O235" s="574" t="s">
        <v>1028</v>
      </c>
      <c r="P235" s="574" t="s">
        <v>1028</v>
      </c>
      <c r="Q235" s="574" t="s">
        <v>1028</v>
      </c>
      <c r="R235" s="574" t="s">
        <v>1028</v>
      </c>
      <c r="S235" s="574" t="s">
        <v>1028</v>
      </c>
      <c r="T235" s="574" t="s">
        <v>1028</v>
      </c>
      <c r="U235" s="574" t="s">
        <v>1028</v>
      </c>
      <c r="V235" s="574" t="s">
        <v>1028</v>
      </c>
      <c r="W235" s="575" t="s">
        <v>1028</v>
      </c>
      <c r="X235" s="576" t="s">
        <v>1028</v>
      </c>
      <c r="Y235" s="577"/>
      <c r="Z235" s="578" t="s">
        <v>1028</v>
      </c>
      <c r="AA235" s="579" t="s">
        <v>1286</v>
      </c>
      <c r="AB235" s="579" t="s">
        <v>414</v>
      </c>
      <c r="AC235" s="579"/>
      <c r="AD235" s="579" t="s">
        <v>140</v>
      </c>
      <c r="AE235" s="579">
        <v>11</v>
      </c>
      <c r="AF235" s="580">
        <f>H235</f>
        <v>46182</v>
      </c>
      <c r="AG235" s="579">
        <f>A235</f>
        <v>1740</v>
      </c>
      <c r="AH235" s="579"/>
      <c r="AJ235" s="565"/>
    </row>
    <row r="236" spans="1:36" s="564" customFormat="1" x14ac:dyDescent="0.15">
      <c r="A236" s="566">
        <v>1741</v>
      </c>
      <c r="B236" s="566">
        <v>1095</v>
      </c>
      <c r="C236" s="567"/>
      <c r="D236" s="566">
        <v>1148</v>
      </c>
      <c r="E236" s="567"/>
      <c r="F236" s="568" t="s">
        <v>140</v>
      </c>
      <c r="G236" s="569">
        <v>45803</v>
      </c>
      <c r="H236" s="569">
        <v>46182</v>
      </c>
      <c r="I236" s="569"/>
      <c r="J236" s="581"/>
      <c r="K236" s="571">
        <v>46181</v>
      </c>
      <c r="L236" s="572">
        <v>46175</v>
      </c>
      <c r="M236" s="573">
        <v>46182</v>
      </c>
      <c r="N236" s="570"/>
      <c r="O236" s="574" t="s">
        <v>1028</v>
      </c>
      <c r="P236" s="574" t="s">
        <v>1028</v>
      </c>
      <c r="Q236" s="574" t="s">
        <v>1028</v>
      </c>
      <c r="R236" s="574" t="s">
        <v>1028</v>
      </c>
      <c r="S236" s="574" t="s">
        <v>1028</v>
      </c>
      <c r="T236" s="574" t="s">
        <v>1028</v>
      </c>
      <c r="U236" s="574" t="s">
        <v>1028</v>
      </c>
      <c r="V236" s="574" t="s">
        <v>1028</v>
      </c>
      <c r="W236" s="575" t="s">
        <v>1028</v>
      </c>
      <c r="X236" s="576" t="s">
        <v>1028</v>
      </c>
      <c r="Y236" s="577"/>
      <c r="Z236" s="578" t="s">
        <v>1028</v>
      </c>
      <c r="AA236" s="579" t="s">
        <v>1287</v>
      </c>
      <c r="AB236" s="579" t="s">
        <v>414</v>
      </c>
      <c r="AC236" s="579"/>
      <c r="AD236" s="579" t="s">
        <v>140</v>
      </c>
      <c r="AE236" s="579">
        <v>11</v>
      </c>
      <c r="AF236" s="580">
        <f>H236</f>
        <v>46182</v>
      </c>
      <c r="AG236" s="579">
        <f>A236</f>
        <v>1741</v>
      </c>
      <c r="AH236" s="579"/>
      <c r="AJ236" s="565"/>
    </row>
    <row r="237" spans="1:36" s="564" customFormat="1" x14ac:dyDescent="0.15">
      <c r="A237" s="566">
        <v>1742</v>
      </c>
      <c r="B237" s="566">
        <v>1096</v>
      </c>
      <c r="C237" s="567"/>
      <c r="D237" s="566">
        <v>1149</v>
      </c>
      <c r="E237" s="567"/>
      <c r="F237" s="568" t="s">
        <v>140</v>
      </c>
      <c r="G237" s="569">
        <v>45803</v>
      </c>
      <c r="H237" s="569">
        <v>46183</v>
      </c>
      <c r="I237" s="569"/>
      <c r="J237" s="581"/>
      <c r="K237" s="571">
        <v>46182</v>
      </c>
      <c r="L237" s="572">
        <v>46176</v>
      </c>
      <c r="M237" s="573">
        <v>46183</v>
      </c>
      <c r="N237" s="570"/>
      <c r="O237" s="574" t="s">
        <v>1028</v>
      </c>
      <c r="P237" s="574" t="s">
        <v>1028</v>
      </c>
      <c r="Q237" s="574" t="s">
        <v>1028</v>
      </c>
      <c r="R237" s="574" t="s">
        <v>1028</v>
      </c>
      <c r="S237" s="574" t="s">
        <v>1028</v>
      </c>
      <c r="T237" s="574" t="s">
        <v>1028</v>
      </c>
      <c r="U237" s="574" t="s">
        <v>1028</v>
      </c>
      <c r="V237" s="574" t="s">
        <v>1028</v>
      </c>
      <c r="W237" s="575" t="s">
        <v>1028</v>
      </c>
      <c r="X237" s="576" t="s">
        <v>1028</v>
      </c>
      <c r="Y237" s="577"/>
      <c r="Z237" s="578" t="s">
        <v>1028</v>
      </c>
      <c r="AA237" s="579" t="s">
        <v>1288</v>
      </c>
      <c r="AB237" s="579" t="s">
        <v>414</v>
      </c>
      <c r="AC237" s="579"/>
      <c r="AD237" s="579" t="s">
        <v>140</v>
      </c>
      <c r="AE237" s="579">
        <v>11</v>
      </c>
      <c r="AF237" s="580">
        <f>H237</f>
        <v>46183</v>
      </c>
      <c r="AG237" s="579">
        <f>A237</f>
        <v>1742</v>
      </c>
      <c r="AH237" s="579"/>
      <c r="AJ237" s="565"/>
    </row>
    <row r="238" spans="1:36" s="564" customFormat="1" x14ac:dyDescent="0.15">
      <c r="A238" s="566">
        <v>1743</v>
      </c>
      <c r="B238" s="566">
        <v>1097</v>
      </c>
      <c r="C238" s="567"/>
      <c r="D238" s="566">
        <v>1150</v>
      </c>
      <c r="E238" s="567"/>
      <c r="F238" s="568" t="s">
        <v>140</v>
      </c>
      <c r="G238" s="569">
        <v>45803</v>
      </c>
      <c r="H238" s="569">
        <v>46183</v>
      </c>
      <c r="I238" s="569"/>
      <c r="J238" s="581"/>
      <c r="K238" s="571">
        <v>46182</v>
      </c>
      <c r="L238" s="572">
        <v>46176</v>
      </c>
      <c r="M238" s="573">
        <v>46183</v>
      </c>
      <c r="N238" s="570"/>
      <c r="O238" s="574" t="s">
        <v>1028</v>
      </c>
      <c r="P238" s="574" t="s">
        <v>1028</v>
      </c>
      <c r="Q238" s="574" t="s">
        <v>1028</v>
      </c>
      <c r="R238" s="574" t="s">
        <v>1028</v>
      </c>
      <c r="S238" s="574" t="s">
        <v>1028</v>
      </c>
      <c r="T238" s="574" t="s">
        <v>1028</v>
      </c>
      <c r="U238" s="574" t="s">
        <v>1028</v>
      </c>
      <c r="V238" s="574" t="s">
        <v>1028</v>
      </c>
      <c r="W238" s="575" t="s">
        <v>1028</v>
      </c>
      <c r="X238" s="576" t="s">
        <v>1028</v>
      </c>
      <c r="Y238" s="577"/>
      <c r="Z238" s="578" t="s">
        <v>1028</v>
      </c>
      <c r="AA238" s="579" t="s">
        <v>1289</v>
      </c>
      <c r="AB238" s="579" t="s">
        <v>414</v>
      </c>
      <c r="AC238" s="579"/>
      <c r="AD238" s="579" t="s">
        <v>140</v>
      </c>
      <c r="AE238" s="579">
        <v>11</v>
      </c>
      <c r="AF238" s="580">
        <f>H238</f>
        <v>46183</v>
      </c>
      <c r="AG238" s="579">
        <f>A238</f>
        <v>1743</v>
      </c>
      <c r="AH238" s="579"/>
      <c r="AJ238" s="565"/>
    </row>
    <row r="239" spans="1:36" s="564" customFormat="1" x14ac:dyDescent="0.15">
      <c r="A239" s="566">
        <v>1744</v>
      </c>
      <c r="B239" s="566">
        <v>1098</v>
      </c>
      <c r="C239" s="567"/>
      <c r="D239" s="566">
        <v>1151</v>
      </c>
      <c r="E239" s="567"/>
      <c r="F239" s="568" t="s">
        <v>140</v>
      </c>
      <c r="G239" s="569">
        <v>45803</v>
      </c>
      <c r="H239" s="569">
        <v>46183</v>
      </c>
      <c r="I239" s="569"/>
      <c r="J239" s="581"/>
      <c r="K239" s="571">
        <v>46182</v>
      </c>
      <c r="L239" s="572">
        <v>46176</v>
      </c>
      <c r="M239" s="573">
        <v>46183</v>
      </c>
      <c r="N239" s="570"/>
      <c r="O239" s="574" t="s">
        <v>1028</v>
      </c>
      <c r="P239" s="574" t="s">
        <v>1028</v>
      </c>
      <c r="Q239" s="574" t="s">
        <v>1028</v>
      </c>
      <c r="R239" s="574" t="s">
        <v>1028</v>
      </c>
      <c r="S239" s="574" t="s">
        <v>1028</v>
      </c>
      <c r="T239" s="574" t="s">
        <v>1028</v>
      </c>
      <c r="U239" s="574" t="s">
        <v>1028</v>
      </c>
      <c r="V239" s="574" t="s">
        <v>1028</v>
      </c>
      <c r="W239" s="575" t="s">
        <v>1028</v>
      </c>
      <c r="X239" s="576" t="s">
        <v>1028</v>
      </c>
      <c r="Y239" s="577"/>
      <c r="Z239" s="578" t="s">
        <v>1028</v>
      </c>
      <c r="AA239" s="579" t="s">
        <v>1290</v>
      </c>
      <c r="AB239" s="579" t="s">
        <v>414</v>
      </c>
      <c r="AC239" s="579"/>
      <c r="AD239" s="579" t="s">
        <v>140</v>
      </c>
      <c r="AE239" s="579">
        <v>11</v>
      </c>
      <c r="AF239" s="580">
        <f>H239</f>
        <v>46183</v>
      </c>
      <c r="AG239" s="579">
        <f>A239</f>
        <v>1744</v>
      </c>
      <c r="AH239" s="579"/>
      <c r="AJ239" s="565"/>
    </row>
    <row r="240" spans="1:36" s="564" customFormat="1" x14ac:dyDescent="0.15">
      <c r="A240" s="566">
        <v>1745</v>
      </c>
      <c r="B240" s="566">
        <v>1099</v>
      </c>
      <c r="C240" s="567"/>
      <c r="D240" s="566">
        <v>1152</v>
      </c>
      <c r="E240" s="567"/>
      <c r="F240" s="568" t="s">
        <v>140</v>
      </c>
      <c r="G240" s="569">
        <v>45803</v>
      </c>
      <c r="H240" s="569">
        <v>46183</v>
      </c>
      <c r="I240" s="569"/>
      <c r="J240" s="581"/>
      <c r="K240" s="571">
        <v>46182</v>
      </c>
      <c r="L240" s="572">
        <v>46176</v>
      </c>
      <c r="M240" s="573">
        <v>46183</v>
      </c>
      <c r="N240" s="570"/>
      <c r="O240" s="574" t="s">
        <v>1028</v>
      </c>
      <c r="P240" s="574" t="s">
        <v>1028</v>
      </c>
      <c r="Q240" s="574" t="s">
        <v>1028</v>
      </c>
      <c r="R240" s="574" t="s">
        <v>1028</v>
      </c>
      <c r="S240" s="574" t="s">
        <v>1028</v>
      </c>
      <c r="T240" s="574" t="s">
        <v>1028</v>
      </c>
      <c r="U240" s="574" t="s">
        <v>1028</v>
      </c>
      <c r="V240" s="574" t="s">
        <v>1028</v>
      </c>
      <c r="W240" s="575" t="s">
        <v>1028</v>
      </c>
      <c r="X240" s="576" t="s">
        <v>1028</v>
      </c>
      <c r="Y240" s="577"/>
      <c r="Z240" s="578" t="s">
        <v>1028</v>
      </c>
      <c r="AA240" s="579" t="s">
        <v>1291</v>
      </c>
      <c r="AB240" s="579" t="s">
        <v>414</v>
      </c>
      <c r="AC240" s="579"/>
      <c r="AD240" s="579" t="s">
        <v>140</v>
      </c>
      <c r="AE240" s="579">
        <v>11</v>
      </c>
      <c r="AF240" s="580">
        <f>H240</f>
        <v>46183</v>
      </c>
      <c r="AG240" s="579">
        <f>A240</f>
        <v>1745</v>
      </c>
      <c r="AH240" s="579"/>
      <c r="AJ240" s="565"/>
    </row>
    <row r="241" spans="1:36" s="564" customFormat="1" x14ac:dyDescent="0.15">
      <c r="A241" s="566">
        <v>1746</v>
      </c>
      <c r="B241" s="566">
        <v>1100</v>
      </c>
      <c r="C241" s="567"/>
      <c r="D241" s="566">
        <v>1153</v>
      </c>
      <c r="E241" s="567"/>
      <c r="F241" s="568" t="s">
        <v>140</v>
      </c>
      <c r="G241" s="569">
        <v>45803</v>
      </c>
      <c r="H241" s="569">
        <v>46183</v>
      </c>
      <c r="I241" s="569"/>
      <c r="J241" s="581"/>
      <c r="K241" s="571">
        <v>46182</v>
      </c>
      <c r="L241" s="572">
        <v>46176</v>
      </c>
      <c r="M241" s="573">
        <v>46183</v>
      </c>
      <c r="N241" s="570"/>
      <c r="O241" s="574" t="s">
        <v>1028</v>
      </c>
      <c r="P241" s="574" t="s">
        <v>1028</v>
      </c>
      <c r="Q241" s="574" t="s">
        <v>1028</v>
      </c>
      <c r="R241" s="574" t="s">
        <v>1028</v>
      </c>
      <c r="S241" s="574" t="s">
        <v>1028</v>
      </c>
      <c r="T241" s="574" t="s">
        <v>1028</v>
      </c>
      <c r="U241" s="574" t="s">
        <v>1028</v>
      </c>
      <c r="V241" s="574" t="s">
        <v>1028</v>
      </c>
      <c r="W241" s="575" t="s">
        <v>1028</v>
      </c>
      <c r="X241" s="576" t="s">
        <v>1028</v>
      </c>
      <c r="Y241" s="577"/>
      <c r="Z241" s="578" t="s">
        <v>1028</v>
      </c>
      <c r="AA241" s="579" t="s">
        <v>1292</v>
      </c>
      <c r="AB241" s="579" t="s">
        <v>414</v>
      </c>
      <c r="AC241" s="579"/>
      <c r="AD241" s="579" t="s">
        <v>140</v>
      </c>
      <c r="AE241" s="579">
        <v>11</v>
      </c>
      <c r="AF241" s="580">
        <f>H241</f>
        <v>46183</v>
      </c>
      <c r="AG241" s="579">
        <f>A241</f>
        <v>1746</v>
      </c>
      <c r="AH241" s="579"/>
      <c r="AJ241" s="565"/>
    </row>
    <row r="242" spans="1:36" s="564" customFormat="1" x14ac:dyDescent="0.15">
      <c r="A242" s="566">
        <v>1747</v>
      </c>
      <c r="B242" s="566">
        <v>1101</v>
      </c>
      <c r="C242" s="567"/>
      <c r="D242" s="566">
        <v>1154</v>
      </c>
      <c r="E242" s="567"/>
      <c r="F242" s="568" t="s">
        <v>140</v>
      </c>
      <c r="G242" s="569">
        <v>45803</v>
      </c>
      <c r="H242" s="569">
        <v>46183</v>
      </c>
      <c r="I242" s="569"/>
      <c r="J242" s="581"/>
      <c r="K242" s="571">
        <v>46182</v>
      </c>
      <c r="L242" s="572">
        <v>46176</v>
      </c>
      <c r="M242" s="573">
        <v>46183</v>
      </c>
      <c r="N242" s="570"/>
      <c r="O242" s="574" t="s">
        <v>1028</v>
      </c>
      <c r="P242" s="574" t="s">
        <v>1028</v>
      </c>
      <c r="Q242" s="574" t="s">
        <v>1028</v>
      </c>
      <c r="R242" s="574" t="s">
        <v>1028</v>
      </c>
      <c r="S242" s="574" t="s">
        <v>1028</v>
      </c>
      <c r="T242" s="574" t="s">
        <v>1028</v>
      </c>
      <c r="U242" s="574" t="s">
        <v>1028</v>
      </c>
      <c r="V242" s="574" t="s">
        <v>1028</v>
      </c>
      <c r="W242" s="575" t="s">
        <v>1028</v>
      </c>
      <c r="X242" s="576" t="s">
        <v>1028</v>
      </c>
      <c r="Y242" s="577"/>
      <c r="Z242" s="578" t="s">
        <v>1028</v>
      </c>
      <c r="AA242" s="579" t="s">
        <v>1293</v>
      </c>
      <c r="AB242" s="579" t="s">
        <v>414</v>
      </c>
      <c r="AC242" s="579"/>
      <c r="AD242" s="579" t="s">
        <v>140</v>
      </c>
      <c r="AE242" s="579">
        <v>11</v>
      </c>
      <c r="AF242" s="580">
        <f>H242</f>
        <v>46183</v>
      </c>
      <c r="AG242" s="579">
        <f>A242</f>
        <v>1747</v>
      </c>
      <c r="AH242" s="579"/>
      <c r="AJ242" s="565"/>
    </row>
    <row r="243" spans="1:36" s="564" customFormat="1" x14ac:dyDescent="0.15">
      <c r="A243" s="566">
        <v>1748</v>
      </c>
      <c r="B243" s="566">
        <v>1102</v>
      </c>
      <c r="C243" s="567"/>
      <c r="D243" s="566">
        <v>1155</v>
      </c>
      <c r="E243" s="567"/>
      <c r="F243" s="568" t="s">
        <v>140</v>
      </c>
      <c r="G243" s="569">
        <v>45803</v>
      </c>
      <c r="H243" s="569">
        <v>46184</v>
      </c>
      <c r="I243" s="569"/>
      <c r="J243" s="581"/>
      <c r="K243" s="571">
        <v>46183</v>
      </c>
      <c r="L243" s="572">
        <v>46177</v>
      </c>
      <c r="M243" s="573">
        <v>46184</v>
      </c>
      <c r="N243" s="570"/>
      <c r="O243" s="574" t="s">
        <v>1028</v>
      </c>
      <c r="P243" s="574" t="s">
        <v>1028</v>
      </c>
      <c r="Q243" s="574" t="s">
        <v>1028</v>
      </c>
      <c r="R243" s="574" t="s">
        <v>1028</v>
      </c>
      <c r="S243" s="574" t="s">
        <v>1028</v>
      </c>
      <c r="T243" s="574" t="s">
        <v>1028</v>
      </c>
      <c r="U243" s="574" t="s">
        <v>1028</v>
      </c>
      <c r="V243" s="574" t="s">
        <v>1028</v>
      </c>
      <c r="W243" s="575" t="s">
        <v>1028</v>
      </c>
      <c r="X243" s="576" t="s">
        <v>1028</v>
      </c>
      <c r="Y243" s="577"/>
      <c r="Z243" s="578" t="s">
        <v>1028</v>
      </c>
      <c r="AA243" s="579" t="s">
        <v>1294</v>
      </c>
      <c r="AB243" s="579" t="s">
        <v>414</v>
      </c>
      <c r="AC243" s="579"/>
      <c r="AD243" s="579" t="s">
        <v>140</v>
      </c>
      <c r="AE243" s="579">
        <v>11</v>
      </c>
      <c r="AF243" s="580">
        <f>H243</f>
        <v>46184</v>
      </c>
      <c r="AG243" s="579">
        <f>A243</f>
        <v>1748</v>
      </c>
      <c r="AH243" s="579"/>
      <c r="AJ243" s="565"/>
    </row>
    <row r="244" spans="1:36" s="564" customFormat="1" x14ac:dyDescent="0.15">
      <c r="A244" s="566">
        <v>1749</v>
      </c>
      <c r="B244" s="566">
        <v>1103</v>
      </c>
      <c r="C244" s="567"/>
      <c r="D244" s="566">
        <v>1156</v>
      </c>
      <c r="E244" s="567"/>
      <c r="F244" s="568" t="s">
        <v>140</v>
      </c>
      <c r="G244" s="569">
        <v>45803</v>
      </c>
      <c r="H244" s="569">
        <v>46184</v>
      </c>
      <c r="I244" s="569"/>
      <c r="J244" s="581"/>
      <c r="K244" s="571">
        <v>46183</v>
      </c>
      <c r="L244" s="572">
        <v>46177</v>
      </c>
      <c r="M244" s="573">
        <v>46184</v>
      </c>
      <c r="N244" s="570"/>
      <c r="O244" s="574" t="s">
        <v>1028</v>
      </c>
      <c r="P244" s="574" t="s">
        <v>1028</v>
      </c>
      <c r="Q244" s="574" t="s">
        <v>1028</v>
      </c>
      <c r="R244" s="574" t="s">
        <v>1028</v>
      </c>
      <c r="S244" s="574" t="s">
        <v>1028</v>
      </c>
      <c r="T244" s="574" t="s">
        <v>1028</v>
      </c>
      <c r="U244" s="574" t="s">
        <v>1028</v>
      </c>
      <c r="V244" s="574" t="s">
        <v>1028</v>
      </c>
      <c r="W244" s="575" t="s">
        <v>1028</v>
      </c>
      <c r="X244" s="576" t="s">
        <v>1028</v>
      </c>
      <c r="Y244" s="577"/>
      <c r="Z244" s="578" t="s">
        <v>1028</v>
      </c>
      <c r="AA244" s="579" t="s">
        <v>1295</v>
      </c>
      <c r="AB244" s="579" t="s">
        <v>414</v>
      </c>
      <c r="AC244" s="579"/>
      <c r="AD244" s="579" t="s">
        <v>140</v>
      </c>
      <c r="AE244" s="579">
        <v>11</v>
      </c>
      <c r="AF244" s="580">
        <f>H244</f>
        <v>46184</v>
      </c>
      <c r="AG244" s="579">
        <f>A244</f>
        <v>1749</v>
      </c>
      <c r="AH244" s="579"/>
      <c r="AJ244" s="565"/>
    </row>
    <row r="245" spans="1:36" s="564" customFormat="1" x14ac:dyDescent="0.15">
      <c r="A245" s="566">
        <v>1750</v>
      </c>
      <c r="B245" s="566">
        <v>1104</v>
      </c>
      <c r="C245" s="567"/>
      <c r="D245" s="566">
        <v>1157</v>
      </c>
      <c r="E245" s="567"/>
      <c r="F245" s="568" t="s">
        <v>140</v>
      </c>
      <c r="G245" s="569">
        <v>45803</v>
      </c>
      <c r="H245" s="569">
        <v>46184</v>
      </c>
      <c r="I245" s="569"/>
      <c r="J245" s="581"/>
      <c r="K245" s="571">
        <v>46183</v>
      </c>
      <c r="L245" s="572">
        <v>46177</v>
      </c>
      <c r="M245" s="573">
        <v>46184</v>
      </c>
      <c r="N245" s="570"/>
      <c r="O245" s="574" t="s">
        <v>1028</v>
      </c>
      <c r="P245" s="574" t="s">
        <v>1028</v>
      </c>
      <c r="Q245" s="574" t="s">
        <v>1028</v>
      </c>
      <c r="R245" s="574" t="s">
        <v>1028</v>
      </c>
      <c r="S245" s="574" t="s">
        <v>1028</v>
      </c>
      <c r="T245" s="574" t="s">
        <v>1028</v>
      </c>
      <c r="U245" s="574" t="s">
        <v>1028</v>
      </c>
      <c r="V245" s="574" t="s">
        <v>1028</v>
      </c>
      <c r="W245" s="575" t="s">
        <v>1028</v>
      </c>
      <c r="X245" s="576" t="s">
        <v>1028</v>
      </c>
      <c r="Y245" s="577"/>
      <c r="Z245" s="578" t="s">
        <v>1028</v>
      </c>
      <c r="AA245" s="579" t="s">
        <v>1296</v>
      </c>
      <c r="AB245" s="579" t="s">
        <v>414</v>
      </c>
      <c r="AC245" s="579"/>
      <c r="AD245" s="579" t="s">
        <v>140</v>
      </c>
      <c r="AE245" s="579">
        <v>11</v>
      </c>
      <c r="AF245" s="580">
        <f>H245</f>
        <v>46184</v>
      </c>
      <c r="AG245" s="579">
        <f>A245</f>
        <v>1750</v>
      </c>
      <c r="AH245" s="579"/>
      <c r="AJ245" s="565"/>
    </row>
    <row r="246" spans="1:36" s="564" customFormat="1" x14ac:dyDescent="0.15">
      <c r="A246" s="566">
        <v>1751</v>
      </c>
      <c r="B246" s="566">
        <v>1105</v>
      </c>
      <c r="C246" s="567"/>
      <c r="D246" s="566">
        <v>1158</v>
      </c>
      <c r="E246" s="567"/>
      <c r="F246" s="568" t="s">
        <v>140</v>
      </c>
      <c r="G246" s="569">
        <v>45803</v>
      </c>
      <c r="H246" s="569">
        <v>46184</v>
      </c>
      <c r="I246" s="569"/>
      <c r="J246" s="581"/>
      <c r="K246" s="571">
        <v>46183</v>
      </c>
      <c r="L246" s="572">
        <v>46177</v>
      </c>
      <c r="M246" s="573">
        <v>46184</v>
      </c>
      <c r="N246" s="570"/>
      <c r="O246" s="574" t="s">
        <v>1028</v>
      </c>
      <c r="P246" s="574" t="s">
        <v>1028</v>
      </c>
      <c r="Q246" s="574" t="s">
        <v>1028</v>
      </c>
      <c r="R246" s="574" t="s">
        <v>1028</v>
      </c>
      <c r="S246" s="574" t="s">
        <v>1028</v>
      </c>
      <c r="T246" s="574" t="s">
        <v>1028</v>
      </c>
      <c r="U246" s="574" t="s">
        <v>1028</v>
      </c>
      <c r="V246" s="574" t="s">
        <v>1028</v>
      </c>
      <c r="W246" s="575" t="s">
        <v>1028</v>
      </c>
      <c r="X246" s="576" t="s">
        <v>1028</v>
      </c>
      <c r="Y246" s="577"/>
      <c r="Z246" s="578" t="s">
        <v>1028</v>
      </c>
      <c r="AA246" s="579" t="s">
        <v>1297</v>
      </c>
      <c r="AB246" s="579" t="s">
        <v>414</v>
      </c>
      <c r="AC246" s="579"/>
      <c r="AD246" s="579" t="s">
        <v>140</v>
      </c>
      <c r="AE246" s="579">
        <v>11</v>
      </c>
      <c r="AF246" s="580">
        <f>H246</f>
        <v>46184</v>
      </c>
      <c r="AG246" s="579">
        <f>A246</f>
        <v>1751</v>
      </c>
      <c r="AH246" s="579"/>
      <c r="AJ246" s="565"/>
    </row>
    <row r="247" spans="1:36" s="564" customFormat="1" x14ac:dyDescent="0.15">
      <c r="A247" s="566">
        <v>1752</v>
      </c>
      <c r="B247" s="566">
        <v>1106</v>
      </c>
      <c r="C247" s="567"/>
      <c r="D247" s="566">
        <v>1159</v>
      </c>
      <c r="E247" s="567"/>
      <c r="F247" s="568" t="s">
        <v>140</v>
      </c>
      <c r="G247" s="569">
        <v>45803</v>
      </c>
      <c r="H247" s="569">
        <v>46184</v>
      </c>
      <c r="I247" s="569"/>
      <c r="J247" s="581"/>
      <c r="K247" s="571">
        <v>46183</v>
      </c>
      <c r="L247" s="572">
        <v>46177</v>
      </c>
      <c r="M247" s="573">
        <v>46184</v>
      </c>
      <c r="N247" s="570"/>
      <c r="O247" s="574" t="s">
        <v>1028</v>
      </c>
      <c r="P247" s="574" t="s">
        <v>1028</v>
      </c>
      <c r="Q247" s="574" t="s">
        <v>1028</v>
      </c>
      <c r="R247" s="574" t="s">
        <v>1028</v>
      </c>
      <c r="S247" s="574" t="s">
        <v>1028</v>
      </c>
      <c r="T247" s="574" t="s">
        <v>1028</v>
      </c>
      <c r="U247" s="574" t="s">
        <v>1028</v>
      </c>
      <c r="V247" s="574" t="s">
        <v>1028</v>
      </c>
      <c r="W247" s="575" t="s">
        <v>1028</v>
      </c>
      <c r="X247" s="576" t="s">
        <v>1028</v>
      </c>
      <c r="Y247" s="577"/>
      <c r="Z247" s="578" t="s">
        <v>1028</v>
      </c>
      <c r="AA247" s="579" t="s">
        <v>1298</v>
      </c>
      <c r="AB247" s="579" t="s">
        <v>414</v>
      </c>
      <c r="AC247" s="579"/>
      <c r="AD247" s="579" t="s">
        <v>140</v>
      </c>
      <c r="AE247" s="579">
        <v>11</v>
      </c>
      <c r="AF247" s="580">
        <f>H247</f>
        <v>46184</v>
      </c>
      <c r="AG247" s="579">
        <f>A247</f>
        <v>1752</v>
      </c>
      <c r="AH247" s="579"/>
      <c r="AJ247" s="565"/>
    </row>
    <row r="248" spans="1:36" s="564" customFormat="1" x14ac:dyDescent="0.15">
      <c r="A248" s="566">
        <v>1753</v>
      </c>
      <c r="B248" s="566">
        <v>1107</v>
      </c>
      <c r="C248" s="567"/>
      <c r="D248" s="566">
        <v>1160</v>
      </c>
      <c r="E248" s="567"/>
      <c r="F248" s="568" t="s">
        <v>140</v>
      </c>
      <c r="G248" s="569">
        <v>45803</v>
      </c>
      <c r="H248" s="569">
        <v>46184</v>
      </c>
      <c r="I248" s="569"/>
      <c r="J248" s="581"/>
      <c r="K248" s="571">
        <v>46183</v>
      </c>
      <c r="L248" s="572">
        <v>46177</v>
      </c>
      <c r="M248" s="573">
        <v>46184</v>
      </c>
      <c r="N248" s="570"/>
      <c r="O248" s="574" t="s">
        <v>1028</v>
      </c>
      <c r="P248" s="574" t="s">
        <v>1028</v>
      </c>
      <c r="Q248" s="574" t="s">
        <v>1028</v>
      </c>
      <c r="R248" s="574" t="s">
        <v>1028</v>
      </c>
      <c r="S248" s="574" t="s">
        <v>1028</v>
      </c>
      <c r="T248" s="574" t="s">
        <v>1028</v>
      </c>
      <c r="U248" s="574" t="s">
        <v>1028</v>
      </c>
      <c r="V248" s="574" t="s">
        <v>1028</v>
      </c>
      <c r="W248" s="575" t="s">
        <v>1028</v>
      </c>
      <c r="X248" s="576" t="s">
        <v>1028</v>
      </c>
      <c r="Y248" s="577"/>
      <c r="Z248" s="578" t="s">
        <v>1028</v>
      </c>
      <c r="AA248" s="579" t="s">
        <v>1299</v>
      </c>
      <c r="AB248" s="579" t="s">
        <v>414</v>
      </c>
      <c r="AC248" s="579"/>
      <c r="AD248" s="579" t="s">
        <v>140</v>
      </c>
      <c r="AE248" s="579">
        <v>11</v>
      </c>
      <c r="AF248" s="580">
        <f>H248</f>
        <v>46184</v>
      </c>
      <c r="AG248" s="579">
        <f>A248</f>
        <v>1753</v>
      </c>
      <c r="AH248" s="579"/>
      <c r="AJ248" s="565"/>
    </row>
    <row r="249" spans="1:36" s="564" customFormat="1" x14ac:dyDescent="0.15">
      <c r="A249" s="566">
        <v>1754</v>
      </c>
      <c r="B249" s="566">
        <v>1108</v>
      </c>
      <c r="C249" s="567"/>
      <c r="D249" s="566">
        <v>1161</v>
      </c>
      <c r="E249" s="567"/>
      <c r="F249" s="568" t="s">
        <v>140</v>
      </c>
      <c r="G249" s="569">
        <v>45803</v>
      </c>
      <c r="H249" s="569">
        <v>46185</v>
      </c>
      <c r="I249" s="569"/>
      <c r="J249" s="581"/>
      <c r="K249" s="571">
        <v>46184</v>
      </c>
      <c r="L249" s="572">
        <v>46178</v>
      </c>
      <c r="M249" s="573">
        <v>46185</v>
      </c>
      <c r="N249" s="570"/>
      <c r="O249" s="574" t="s">
        <v>1028</v>
      </c>
      <c r="P249" s="574" t="s">
        <v>1028</v>
      </c>
      <c r="Q249" s="574" t="s">
        <v>1028</v>
      </c>
      <c r="R249" s="574" t="s">
        <v>1028</v>
      </c>
      <c r="S249" s="574" t="s">
        <v>1028</v>
      </c>
      <c r="T249" s="574" t="s">
        <v>1028</v>
      </c>
      <c r="U249" s="574" t="s">
        <v>1028</v>
      </c>
      <c r="V249" s="574" t="s">
        <v>1028</v>
      </c>
      <c r="W249" s="575" t="s">
        <v>1028</v>
      </c>
      <c r="X249" s="576" t="s">
        <v>1028</v>
      </c>
      <c r="Y249" s="577"/>
      <c r="Z249" s="578" t="s">
        <v>1028</v>
      </c>
      <c r="AA249" s="579" t="s">
        <v>1300</v>
      </c>
      <c r="AB249" s="579" t="s">
        <v>414</v>
      </c>
      <c r="AC249" s="579"/>
      <c r="AD249" s="579" t="s">
        <v>140</v>
      </c>
      <c r="AE249" s="579">
        <v>11</v>
      </c>
      <c r="AF249" s="580">
        <f>H249</f>
        <v>46185</v>
      </c>
      <c r="AG249" s="579">
        <f>A249</f>
        <v>1754</v>
      </c>
      <c r="AH249" s="579"/>
      <c r="AJ249" s="565"/>
    </row>
    <row r="250" spans="1:36" s="564" customFormat="1" x14ac:dyDescent="0.15">
      <c r="A250" s="566">
        <v>1755</v>
      </c>
      <c r="B250" s="566">
        <v>1109</v>
      </c>
      <c r="C250" s="567"/>
      <c r="D250" s="566">
        <v>1162</v>
      </c>
      <c r="E250" s="567"/>
      <c r="F250" s="568" t="s">
        <v>140</v>
      </c>
      <c r="G250" s="569">
        <v>45803</v>
      </c>
      <c r="H250" s="569">
        <v>46185</v>
      </c>
      <c r="I250" s="569"/>
      <c r="J250" s="581"/>
      <c r="K250" s="571">
        <v>46184</v>
      </c>
      <c r="L250" s="572">
        <v>46178</v>
      </c>
      <c r="M250" s="573">
        <v>46185</v>
      </c>
      <c r="N250" s="570"/>
      <c r="O250" s="574" t="s">
        <v>1028</v>
      </c>
      <c r="P250" s="574" t="s">
        <v>1028</v>
      </c>
      <c r="Q250" s="574" t="s">
        <v>1028</v>
      </c>
      <c r="R250" s="574" t="s">
        <v>1028</v>
      </c>
      <c r="S250" s="574" t="s">
        <v>1028</v>
      </c>
      <c r="T250" s="574" t="s">
        <v>1028</v>
      </c>
      <c r="U250" s="574" t="s">
        <v>1028</v>
      </c>
      <c r="V250" s="574" t="s">
        <v>1028</v>
      </c>
      <c r="W250" s="575" t="s">
        <v>1028</v>
      </c>
      <c r="X250" s="576" t="s">
        <v>1028</v>
      </c>
      <c r="Y250" s="577"/>
      <c r="Z250" s="578" t="s">
        <v>1028</v>
      </c>
      <c r="AA250" s="579" t="s">
        <v>1301</v>
      </c>
      <c r="AB250" s="579" t="s">
        <v>414</v>
      </c>
      <c r="AC250" s="579"/>
      <c r="AD250" s="579" t="s">
        <v>140</v>
      </c>
      <c r="AE250" s="579">
        <v>11</v>
      </c>
      <c r="AF250" s="580">
        <f>H250</f>
        <v>46185</v>
      </c>
      <c r="AG250" s="579">
        <f>A250</f>
        <v>1755</v>
      </c>
      <c r="AH250" s="579"/>
      <c r="AJ250" s="565"/>
    </row>
    <row r="251" spans="1:36" s="564" customFormat="1" x14ac:dyDescent="0.15">
      <c r="A251" s="566">
        <v>1756</v>
      </c>
      <c r="B251" s="566">
        <v>1110</v>
      </c>
      <c r="C251" s="567"/>
      <c r="D251" s="566">
        <v>1163</v>
      </c>
      <c r="E251" s="567"/>
      <c r="F251" s="568" t="s">
        <v>140</v>
      </c>
      <c r="G251" s="569">
        <v>45803</v>
      </c>
      <c r="H251" s="569">
        <v>46185</v>
      </c>
      <c r="I251" s="569"/>
      <c r="J251" s="581"/>
      <c r="K251" s="571">
        <v>46184</v>
      </c>
      <c r="L251" s="572">
        <v>46178</v>
      </c>
      <c r="M251" s="573">
        <v>46185</v>
      </c>
      <c r="N251" s="570"/>
      <c r="O251" s="574" t="s">
        <v>1028</v>
      </c>
      <c r="P251" s="574" t="s">
        <v>1028</v>
      </c>
      <c r="Q251" s="574" t="s">
        <v>1028</v>
      </c>
      <c r="R251" s="574" t="s">
        <v>1028</v>
      </c>
      <c r="S251" s="574" t="s">
        <v>1028</v>
      </c>
      <c r="T251" s="574" t="s">
        <v>1028</v>
      </c>
      <c r="U251" s="574" t="s">
        <v>1028</v>
      </c>
      <c r="V251" s="574" t="s">
        <v>1028</v>
      </c>
      <c r="W251" s="575" t="s">
        <v>1028</v>
      </c>
      <c r="X251" s="576" t="s">
        <v>1028</v>
      </c>
      <c r="Y251" s="577"/>
      <c r="Z251" s="578" t="s">
        <v>1028</v>
      </c>
      <c r="AA251" s="579" t="s">
        <v>1302</v>
      </c>
      <c r="AB251" s="579" t="s">
        <v>414</v>
      </c>
      <c r="AC251" s="579"/>
      <c r="AD251" s="579" t="s">
        <v>140</v>
      </c>
      <c r="AE251" s="579">
        <v>11</v>
      </c>
      <c r="AF251" s="580">
        <f>H251</f>
        <v>46185</v>
      </c>
      <c r="AG251" s="579">
        <f>A251</f>
        <v>1756</v>
      </c>
      <c r="AH251" s="579"/>
      <c r="AJ251" s="565"/>
    </row>
    <row r="252" spans="1:36" s="564" customFormat="1" x14ac:dyDescent="0.15">
      <c r="A252" s="566">
        <v>1757</v>
      </c>
      <c r="B252" s="566">
        <v>1111</v>
      </c>
      <c r="C252" s="567"/>
      <c r="D252" s="566">
        <v>1164</v>
      </c>
      <c r="E252" s="567"/>
      <c r="F252" s="568" t="s">
        <v>140</v>
      </c>
      <c r="G252" s="569">
        <v>45803</v>
      </c>
      <c r="H252" s="569">
        <v>46185</v>
      </c>
      <c r="I252" s="569"/>
      <c r="J252" s="581"/>
      <c r="K252" s="571">
        <v>46184</v>
      </c>
      <c r="L252" s="572">
        <v>46178</v>
      </c>
      <c r="M252" s="573">
        <v>46185</v>
      </c>
      <c r="N252" s="570"/>
      <c r="O252" s="574" t="s">
        <v>1028</v>
      </c>
      <c r="P252" s="574" t="s">
        <v>1028</v>
      </c>
      <c r="Q252" s="574" t="s">
        <v>1028</v>
      </c>
      <c r="R252" s="574" t="s">
        <v>1028</v>
      </c>
      <c r="S252" s="574" t="s">
        <v>1028</v>
      </c>
      <c r="T252" s="574" t="s">
        <v>1028</v>
      </c>
      <c r="U252" s="574" t="s">
        <v>1028</v>
      </c>
      <c r="V252" s="574" t="s">
        <v>1028</v>
      </c>
      <c r="W252" s="575" t="s">
        <v>1028</v>
      </c>
      <c r="X252" s="576" t="s">
        <v>1028</v>
      </c>
      <c r="Y252" s="577"/>
      <c r="Z252" s="578" t="s">
        <v>1028</v>
      </c>
      <c r="AA252" s="579" t="s">
        <v>1303</v>
      </c>
      <c r="AB252" s="579" t="s">
        <v>414</v>
      </c>
      <c r="AC252" s="579"/>
      <c r="AD252" s="579" t="s">
        <v>140</v>
      </c>
      <c r="AE252" s="579">
        <v>11</v>
      </c>
      <c r="AF252" s="580">
        <f>H252</f>
        <v>46185</v>
      </c>
      <c r="AG252" s="579">
        <f>A252</f>
        <v>1757</v>
      </c>
      <c r="AH252" s="579"/>
      <c r="AJ252" s="565"/>
    </row>
    <row r="253" spans="1:36" s="564" customFormat="1" x14ac:dyDescent="0.15">
      <c r="A253" s="566">
        <v>1758</v>
      </c>
      <c r="B253" s="566">
        <v>1112</v>
      </c>
      <c r="C253" s="567"/>
      <c r="D253" s="566">
        <v>1165</v>
      </c>
      <c r="E253" s="567"/>
      <c r="F253" s="568" t="s">
        <v>140</v>
      </c>
      <c r="G253" s="569">
        <v>45803</v>
      </c>
      <c r="H253" s="569">
        <v>46185</v>
      </c>
      <c r="I253" s="569"/>
      <c r="J253" s="581"/>
      <c r="K253" s="571">
        <v>46184</v>
      </c>
      <c r="L253" s="572">
        <v>46178</v>
      </c>
      <c r="M253" s="573">
        <v>46185</v>
      </c>
      <c r="N253" s="570"/>
      <c r="O253" s="574" t="s">
        <v>1028</v>
      </c>
      <c r="P253" s="574" t="s">
        <v>1028</v>
      </c>
      <c r="Q253" s="574" t="s">
        <v>1028</v>
      </c>
      <c r="R253" s="574" t="s">
        <v>1028</v>
      </c>
      <c r="S253" s="574" t="s">
        <v>1028</v>
      </c>
      <c r="T253" s="574" t="s">
        <v>1028</v>
      </c>
      <c r="U253" s="574" t="s">
        <v>1028</v>
      </c>
      <c r="V253" s="574" t="s">
        <v>1028</v>
      </c>
      <c r="W253" s="575" t="s">
        <v>1028</v>
      </c>
      <c r="X253" s="576" t="s">
        <v>1028</v>
      </c>
      <c r="Y253" s="577"/>
      <c r="Z253" s="578" t="s">
        <v>1028</v>
      </c>
      <c r="AA253" s="579" t="s">
        <v>1304</v>
      </c>
      <c r="AB253" s="579" t="s">
        <v>414</v>
      </c>
      <c r="AC253" s="579"/>
      <c r="AD253" s="579" t="s">
        <v>140</v>
      </c>
      <c r="AE253" s="579">
        <v>11</v>
      </c>
      <c r="AF253" s="580">
        <f>H253</f>
        <v>46185</v>
      </c>
      <c r="AG253" s="579">
        <f>A253</f>
        <v>1758</v>
      </c>
      <c r="AH253" s="579"/>
      <c r="AJ253" s="565"/>
    </row>
    <row r="254" spans="1:36" s="564" customFormat="1" x14ac:dyDescent="0.15">
      <c r="A254" s="566">
        <v>1759</v>
      </c>
      <c r="B254" s="566">
        <v>1113</v>
      </c>
      <c r="C254" s="567"/>
      <c r="D254" s="566">
        <v>1166</v>
      </c>
      <c r="E254" s="567"/>
      <c r="F254" s="568" t="s">
        <v>140</v>
      </c>
      <c r="G254" s="569">
        <v>45803</v>
      </c>
      <c r="H254" s="569">
        <v>46188</v>
      </c>
      <c r="I254" s="569"/>
      <c r="J254" s="581"/>
      <c r="K254" s="571">
        <v>46185</v>
      </c>
      <c r="L254" s="572">
        <v>46181</v>
      </c>
      <c r="M254" s="573">
        <v>46188</v>
      </c>
      <c r="N254" s="570"/>
      <c r="O254" s="574" t="s">
        <v>1028</v>
      </c>
      <c r="P254" s="574" t="s">
        <v>1028</v>
      </c>
      <c r="Q254" s="574" t="s">
        <v>1028</v>
      </c>
      <c r="R254" s="574" t="s">
        <v>1028</v>
      </c>
      <c r="S254" s="574" t="s">
        <v>1028</v>
      </c>
      <c r="T254" s="574" t="s">
        <v>1028</v>
      </c>
      <c r="U254" s="574" t="s">
        <v>1028</v>
      </c>
      <c r="V254" s="574" t="s">
        <v>1028</v>
      </c>
      <c r="W254" s="575" t="s">
        <v>1028</v>
      </c>
      <c r="X254" s="576" t="s">
        <v>1028</v>
      </c>
      <c r="Y254" s="577"/>
      <c r="Z254" s="578" t="s">
        <v>1028</v>
      </c>
      <c r="AA254" s="579" t="s">
        <v>1305</v>
      </c>
      <c r="AB254" s="579" t="s">
        <v>414</v>
      </c>
      <c r="AC254" s="579"/>
      <c r="AD254" s="579" t="s">
        <v>140</v>
      </c>
      <c r="AE254" s="579">
        <v>11</v>
      </c>
      <c r="AF254" s="580">
        <f>H254</f>
        <v>46188</v>
      </c>
      <c r="AG254" s="579">
        <f>A254</f>
        <v>1759</v>
      </c>
      <c r="AH254" s="579"/>
      <c r="AJ254" s="565"/>
    </row>
    <row r="255" spans="1:36" s="564" customFormat="1" x14ac:dyDescent="0.15">
      <c r="A255" s="566">
        <v>1760</v>
      </c>
      <c r="B255" s="566">
        <v>1114</v>
      </c>
      <c r="C255" s="567"/>
      <c r="D255" s="566">
        <v>1167</v>
      </c>
      <c r="E255" s="567"/>
      <c r="F255" s="568" t="s">
        <v>140</v>
      </c>
      <c r="G255" s="569">
        <v>45803</v>
      </c>
      <c r="H255" s="569">
        <v>46188</v>
      </c>
      <c r="I255" s="569"/>
      <c r="J255" s="581"/>
      <c r="K255" s="571">
        <v>46185</v>
      </c>
      <c r="L255" s="572">
        <v>46181</v>
      </c>
      <c r="M255" s="573">
        <v>46188</v>
      </c>
      <c r="N255" s="570"/>
      <c r="O255" s="574" t="s">
        <v>1028</v>
      </c>
      <c r="P255" s="574" t="s">
        <v>1028</v>
      </c>
      <c r="Q255" s="574" t="s">
        <v>1028</v>
      </c>
      <c r="R255" s="574" t="s">
        <v>1028</v>
      </c>
      <c r="S255" s="574" t="s">
        <v>1028</v>
      </c>
      <c r="T255" s="574" t="s">
        <v>1028</v>
      </c>
      <c r="U255" s="574" t="s">
        <v>1028</v>
      </c>
      <c r="V255" s="574" t="s">
        <v>1028</v>
      </c>
      <c r="W255" s="575" t="s">
        <v>1028</v>
      </c>
      <c r="X255" s="576" t="s">
        <v>1028</v>
      </c>
      <c r="Y255" s="577"/>
      <c r="Z255" s="578" t="s">
        <v>1028</v>
      </c>
      <c r="AA255" s="579" t="s">
        <v>1306</v>
      </c>
      <c r="AB255" s="579" t="s">
        <v>414</v>
      </c>
      <c r="AC255" s="579"/>
      <c r="AD255" s="579" t="s">
        <v>140</v>
      </c>
      <c r="AE255" s="579">
        <v>11</v>
      </c>
      <c r="AF255" s="580">
        <f>H255</f>
        <v>46188</v>
      </c>
      <c r="AG255" s="579">
        <f>A255</f>
        <v>1760</v>
      </c>
      <c r="AH255" s="579"/>
      <c r="AJ255" s="565"/>
    </row>
    <row r="256" spans="1:36" s="564" customFormat="1" x14ac:dyDescent="0.15">
      <c r="A256" s="566">
        <v>1761</v>
      </c>
      <c r="B256" s="566">
        <v>1115</v>
      </c>
      <c r="C256" s="567"/>
      <c r="D256" s="566">
        <v>1168</v>
      </c>
      <c r="E256" s="567"/>
      <c r="F256" s="568" t="s">
        <v>140</v>
      </c>
      <c r="G256" s="569">
        <v>45803</v>
      </c>
      <c r="H256" s="569">
        <v>46188</v>
      </c>
      <c r="I256" s="569"/>
      <c r="J256" s="581"/>
      <c r="K256" s="571">
        <v>46185</v>
      </c>
      <c r="L256" s="572">
        <v>46181</v>
      </c>
      <c r="M256" s="573">
        <v>46188</v>
      </c>
      <c r="N256" s="570"/>
      <c r="O256" s="574" t="s">
        <v>1028</v>
      </c>
      <c r="P256" s="574" t="s">
        <v>1028</v>
      </c>
      <c r="Q256" s="574" t="s">
        <v>1028</v>
      </c>
      <c r="R256" s="574" t="s">
        <v>1028</v>
      </c>
      <c r="S256" s="574" t="s">
        <v>1028</v>
      </c>
      <c r="T256" s="574" t="s">
        <v>1028</v>
      </c>
      <c r="U256" s="574" t="s">
        <v>1028</v>
      </c>
      <c r="V256" s="574" t="s">
        <v>1028</v>
      </c>
      <c r="W256" s="575" t="s">
        <v>1028</v>
      </c>
      <c r="X256" s="576" t="s">
        <v>1028</v>
      </c>
      <c r="Y256" s="577"/>
      <c r="Z256" s="578" t="s">
        <v>1028</v>
      </c>
      <c r="AA256" s="579" t="s">
        <v>1307</v>
      </c>
      <c r="AB256" s="579" t="s">
        <v>414</v>
      </c>
      <c r="AC256" s="579"/>
      <c r="AD256" s="579" t="s">
        <v>140</v>
      </c>
      <c r="AE256" s="579">
        <v>11</v>
      </c>
      <c r="AF256" s="580">
        <f>H256</f>
        <v>46188</v>
      </c>
      <c r="AG256" s="579">
        <f>A256</f>
        <v>1761</v>
      </c>
      <c r="AH256" s="579"/>
      <c r="AJ256" s="565"/>
    </row>
    <row r="257" spans="1:36" s="564" customFormat="1" x14ac:dyDescent="0.15">
      <c r="A257" s="566">
        <v>1762</v>
      </c>
      <c r="B257" s="566">
        <v>1116</v>
      </c>
      <c r="C257" s="567"/>
      <c r="D257" s="566">
        <v>1169</v>
      </c>
      <c r="E257" s="567"/>
      <c r="F257" s="568" t="s">
        <v>140</v>
      </c>
      <c r="G257" s="569">
        <v>45803</v>
      </c>
      <c r="H257" s="569">
        <v>46188</v>
      </c>
      <c r="I257" s="569"/>
      <c r="J257" s="581"/>
      <c r="K257" s="571">
        <v>46185</v>
      </c>
      <c r="L257" s="572">
        <v>46181</v>
      </c>
      <c r="M257" s="573">
        <v>46188</v>
      </c>
      <c r="N257" s="570"/>
      <c r="O257" s="574" t="s">
        <v>1028</v>
      </c>
      <c r="P257" s="574" t="s">
        <v>1028</v>
      </c>
      <c r="Q257" s="574" t="s">
        <v>1028</v>
      </c>
      <c r="R257" s="574" t="s">
        <v>1028</v>
      </c>
      <c r="S257" s="574" t="s">
        <v>1028</v>
      </c>
      <c r="T257" s="574" t="s">
        <v>1028</v>
      </c>
      <c r="U257" s="574" t="s">
        <v>1028</v>
      </c>
      <c r="V257" s="574" t="s">
        <v>1028</v>
      </c>
      <c r="W257" s="575" t="s">
        <v>1028</v>
      </c>
      <c r="X257" s="576" t="s">
        <v>1028</v>
      </c>
      <c r="Y257" s="577"/>
      <c r="Z257" s="578" t="s">
        <v>1028</v>
      </c>
      <c r="AA257" s="579" t="s">
        <v>1308</v>
      </c>
      <c r="AB257" s="579" t="s">
        <v>414</v>
      </c>
      <c r="AC257" s="579"/>
      <c r="AD257" s="579" t="s">
        <v>140</v>
      </c>
      <c r="AE257" s="579">
        <v>11</v>
      </c>
      <c r="AF257" s="580">
        <f>H257</f>
        <v>46188</v>
      </c>
      <c r="AG257" s="579">
        <f>A257</f>
        <v>1762</v>
      </c>
      <c r="AH257" s="579"/>
      <c r="AJ257" s="565"/>
    </row>
    <row r="258" spans="1:36" s="564" customFormat="1" x14ac:dyDescent="0.15">
      <c r="A258" s="566">
        <v>1763</v>
      </c>
      <c r="B258" s="566">
        <v>1117</v>
      </c>
      <c r="C258" s="567"/>
      <c r="D258" s="566">
        <v>1170</v>
      </c>
      <c r="E258" s="567"/>
      <c r="F258" s="568" t="s">
        <v>140</v>
      </c>
      <c r="G258" s="569">
        <v>45803</v>
      </c>
      <c r="H258" s="569">
        <v>46188</v>
      </c>
      <c r="I258" s="569"/>
      <c r="J258" s="581"/>
      <c r="K258" s="571">
        <v>46185</v>
      </c>
      <c r="L258" s="572">
        <v>46181</v>
      </c>
      <c r="M258" s="573">
        <v>46188</v>
      </c>
      <c r="N258" s="570"/>
      <c r="O258" s="574" t="s">
        <v>1028</v>
      </c>
      <c r="P258" s="574" t="s">
        <v>1028</v>
      </c>
      <c r="Q258" s="574" t="s">
        <v>1028</v>
      </c>
      <c r="R258" s="574" t="s">
        <v>1028</v>
      </c>
      <c r="S258" s="574" t="s">
        <v>1028</v>
      </c>
      <c r="T258" s="574" t="s">
        <v>1028</v>
      </c>
      <c r="U258" s="574" t="s">
        <v>1028</v>
      </c>
      <c r="V258" s="574" t="s">
        <v>1028</v>
      </c>
      <c r="W258" s="575" t="s">
        <v>1028</v>
      </c>
      <c r="X258" s="576" t="s">
        <v>1028</v>
      </c>
      <c r="Y258" s="577"/>
      <c r="Z258" s="578" t="s">
        <v>1028</v>
      </c>
      <c r="AA258" s="579" t="s">
        <v>1309</v>
      </c>
      <c r="AB258" s="579" t="s">
        <v>414</v>
      </c>
      <c r="AC258" s="579"/>
      <c r="AD258" s="579" t="s">
        <v>140</v>
      </c>
      <c r="AE258" s="579">
        <v>11</v>
      </c>
      <c r="AF258" s="580">
        <f>H258</f>
        <v>46188</v>
      </c>
      <c r="AG258" s="579">
        <f>A258</f>
        <v>1763</v>
      </c>
      <c r="AH258" s="579"/>
      <c r="AJ258" s="565"/>
    </row>
    <row r="259" spans="1:36" s="564" customFormat="1" x14ac:dyDescent="0.15">
      <c r="A259" s="566">
        <v>1764</v>
      </c>
      <c r="B259" s="566">
        <v>1118</v>
      </c>
      <c r="C259" s="567"/>
      <c r="D259" s="566">
        <v>1171</v>
      </c>
      <c r="E259" s="567"/>
      <c r="F259" s="568" t="s">
        <v>140</v>
      </c>
      <c r="G259" s="569">
        <v>45803</v>
      </c>
      <c r="H259" s="569">
        <v>46189</v>
      </c>
      <c r="I259" s="569"/>
      <c r="J259" s="581"/>
      <c r="K259" s="571">
        <v>46188</v>
      </c>
      <c r="L259" s="572">
        <v>46182</v>
      </c>
      <c r="M259" s="573">
        <v>46189</v>
      </c>
      <c r="N259" s="570"/>
      <c r="O259" s="574" t="s">
        <v>1028</v>
      </c>
      <c r="P259" s="574" t="s">
        <v>1028</v>
      </c>
      <c r="Q259" s="574" t="s">
        <v>1028</v>
      </c>
      <c r="R259" s="574" t="s">
        <v>1028</v>
      </c>
      <c r="S259" s="574" t="s">
        <v>1028</v>
      </c>
      <c r="T259" s="574" t="s">
        <v>1028</v>
      </c>
      <c r="U259" s="574" t="s">
        <v>1028</v>
      </c>
      <c r="V259" s="574" t="s">
        <v>1028</v>
      </c>
      <c r="W259" s="575" t="s">
        <v>1028</v>
      </c>
      <c r="X259" s="576" t="s">
        <v>1028</v>
      </c>
      <c r="Y259" s="577"/>
      <c r="Z259" s="578" t="s">
        <v>1028</v>
      </c>
      <c r="AA259" s="579" t="s">
        <v>1310</v>
      </c>
      <c r="AB259" s="579" t="s">
        <v>414</v>
      </c>
      <c r="AC259" s="579"/>
      <c r="AD259" s="579" t="s">
        <v>140</v>
      </c>
      <c r="AE259" s="579">
        <v>11</v>
      </c>
      <c r="AF259" s="580">
        <f>H259</f>
        <v>46189</v>
      </c>
      <c r="AG259" s="579">
        <f>A259</f>
        <v>1764</v>
      </c>
      <c r="AH259" s="579"/>
      <c r="AJ259" s="565"/>
    </row>
    <row r="260" spans="1:36" s="564" customFormat="1" x14ac:dyDescent="0.15">
      <c r="A260" s="566">
        <v>1765</v>
      </c>
      <c r="B260" s="566">
        <v>1119</v>
      </c>
      <c r="C260" s="567"/>
      <c r="D260" s="566">
        <v>1172</v>
      </c>
      <c r="E260" s="567"/>
      <c r="F260" s="568" t="s">
        <v>140</v>
      </c>
      <c r="G260" s="569">
        <v>45803</v>
      </c>
      <c r="H260" s="569">
        <v>46189</v>
      </c>
      <c r="I260" s="569"/>
      <c r="J260" s="581"/>
      <c r="K260" s="571">
        <v>46188</v>
      </c>
      <c r="L260" s="572">
        <v>46182</v>
      </c>
      <c r="M260" s="573">
        <v>46189</v>
      </c>
      <c r="N260" s="570"/>
      <c r="O260" s="574" t="s">
        <v>1028</v>
      </c>
      <c r="P260" s="574" t="s">
        <v>1028</v>
      </c>
      <c r="Q260" s="574" t="s">
        <v>1028</v>
      </c>
      <c r="R260" s="574" t="s">
        <v>1028</v>
      </c>
      <c r="S260" s="574" t="s">
        <v>1028</v>
      </c>
      <c r="T260" s="574" t="s">
        <v>1028</v>
      </c>
      <c r="U260" s="574" t="s">
        <v>1028</v>
      </c>
      <c r="V260" s="574" t="s">
        <v>1028</v>
      </c>
      <c r="W260" s="575" t="s">
        <v>1028</v>
      </c>
      <c r="X260" s="576" t="s">
        <v>1028</v>
      </c>
      <c r="Y260" s="577"/>
      <c r="Z260" s="578" t="s">
        <v>1028</v>
      </c>
      <c r="AA260" s="579" t="s">
        <v>1311</v>
      </c>
      <c r="AB260" s="579" t="s">
        <v>414</v>
      </c>
      <c r="AC260" s="579"/>
      <c r="AD260" s="579" t="s">
        <v>140</v>
      </c>
      <c r="AE260" s="579">
        <v>11</v>
      </c>
      <c r="AF260" s="580">
        <f>H260</f>
        <v>46189</v>
      </c>
      <c r="AG260" s="579">
        <f>A260</f>
        <v>1765</v>
      </c>
      <c r="AH260" s="579"/>
      <c r="AJ260" s="565"/>
    </row>
    <row r="261" spans="1:36" s="564" customFormat="1" x14ac:dyDescent="0.15">
      <c r="A261" s="566">
        <v>1766</v>
      </c>
      <c r="B261" s="566">
        <v>1120</v>
      </c>
      <c r="C261" s="567"/>
      <c r="D261" s="566">
        <v>1173</v>
      </c>
      <c r="E261" s="567"/>
      <c r="F261" s="568" t="s">
        <v>140</v>
      </c>
      <c r="G261" s="569">
        <v>45803</v>
      </c>
      <c r="H261" s="569">
        <v>46189</v>
      </c>
      <c r="I261" s="569"/>
      <c r="J261" s="581"/>
      <c r="K261" s="571">
        <v>46188</v>
      </c>
      <c r="L261" s="572">
        <v>46182</v>
      </c>
      <c r="M261" s="573">
        <v>46189</v>
      </c>
      <c r="N261" s="570"/>
      <c r="O261" s="574" t="s">
        <v>1028</v>
      </c>
      <c r="P261" s="574" t="s">
        <v>1028</v>
      </c>
      <c r="Q261" s="574" t="s">
        <v>1028</v>
      </c>
      <c r="R261" s="574" t="s">
        <v>1028</v>
      </c>
      <c r="S261" s="574" t="s">
        <v>1028</v>
      </c>
      <c r="T261" s="574" t="s">
        <v>1028</v>
      </c>
      <c r="U261" s="574" t="s">
        <v>1028</v>
      </c>
      <c r="V261" s="574" t="s">
        <v>1028</v>
      </c>
      <c r="W261" s="575" t="s">
        <v>1028</v>
      </c>
      <c r="X261" s="576" t="s">
        <v>1028</v>
      </c>
      <c r="Y261" s="577"/>
      <c r="Z261" s="578" t="s">
        <v>1028</v>
      </c>
      <c r="AA261" s="579" t="s">
        <v>1312</v>
      </c>
      <c r="AB261" s="579" t="s">
        <v>414</v>
      </c>
      <c r="AC261" s="579"/>
      <c r="AD261" s="579" t="s">
        <v>140</v>
      </c>
      <c r="AE261" s="579">
        <v>11</v>
      </c>
      <c r="AF261" s="580">
        <f>H261</f>
        <v>46189</v>
      </c>
      <c r="AG261" s="579">
        <f>A261</f>
        <v>1766</v>
      </c>
      <c r="AH261" s="579"/>
      <c r="AJ261" s="565"/>
    </row>
    <row r="262" spans="1:36" s="564" customFormat="1" x14ac:dyDescent="0.15">
      <c r="A262" s="566">
        <v>1767</v>
      </c>
      <c r="B262" s="566">
        <v>1121</v>
      </c>
      <c r="C262" s="567"/>
      <c r="D262" s="566">
        <v>1174</v>
      </c>
      <c r="E262" s="567"/>
      <c r="F262" s="568" t="s">
        <v>140</v>
      </c>
      <c r="G262" s="569">
        <v>45803</v>
      </c>
      <c r="H262" s="569">
        <v>46189</v>
      </c>
      <c r="I262" s="569"/>
      <c r="J262" s="581"/>
      <c r="K262" s="571">
        <v>46188</v>
      </c>
      <c r="L262" s="572">
        <v>46182</v>
      </c>
      <c r="M262" s="573">
        <v>46189</v>
      </c>
      <c r="N262" s="570"/>
      <c r="O262" s="574" t="s">
        <v>1028</v>
      </c>
      <c r="P262" s="574" t="s">
        <v>1028</v>
      </c>
      <c r="Q262" s="574" t="s">
        <v>1028</v>
      </c>
      <c r="R262" s="574" t="s">
        <v>1028</v>
      </c>
      <c r="S262" s="574" t="s">
        <v>1028</v>
      </c>
      <c r="T262" s="574" t="s">
        <v>1028</v>
      </c>
      <c r="U262" s="574" t="s">
        <v>1028</v>
      </c>
      <c r="V262" s="574" t="s">
        <v>1028</v>
      </c>
      <c r="W262" s="575" t="s">
        <v>1028</v>
      </c>
      <c r="X262" s="576" t="s">
        <v>1028</v>
      </c>
      <c r="Y262" s="577"/>
      <c r="Z262" s="578" t="s">
        <v>1028</v>
      </c>
      <c r="AA262" s="579" t="s">
        <v>1313</v>
      </c>
      <c r="AB262" s="579" t="s">
        <v>414</v>
      </c>
      <c r="AC262" s="579"/>
      <c r="AD262" s="579" t="s">
        <v>140</v>
      </c>
      <c r="AE262" s="579">
        <v>11</v>
      </c>
      <c r="AF262" s="580">
        <f>H262</f>
        <v>46189</v>
      </c>
      <c r="AG262" s="579">
        <f>A262</f>
        <v>1767</v>
      </c>
      <c r="AH262" s="579"/>
      <c r="AJ262" s="565"/>
    </row>
    <row r="263" spans="1:36" s="564" customFormat="1" x14ac:dyDescent="0.15">
      <c r="A263" s="566">
        <v>1768</v>
      </c>
      <c r="B263" s="566">
        <v>1122</v>
      </c>
      <c r="C263" s="567"/>
      <c r="D263" s="566">
        <v>1175</v>
      </c>
      <c r="E263" s="567"/>
      <c r="F263" s="568" t="s">
        <v>140</v>
      </c>
      <c r="G263" s="569">
        <v>45803</v>
      </c>
      <c r="H263" s="569">
        <v>46189</v>
      </c>
      <c r="I263" s="569"/>
      <c r="J263" s="581"/>
      <c r="K263" s="571">
        <v>46188</v>
      </c>
      <c r="L263" s="572">
        <v>46182</v>
      </c>
      <c r="M263" s="573">
        <v>46189</v>
      </c>
      <c r="N263" s="570"/>
      <c r="O263" s="574" t="s">
        <v>1028</v>
      </c>
      <c r="P263" s="574" t="s">
        <v>1028</v>
      </c>
      <c r="Q263" s="574" t="s">
        <v>1028</v>
      </c>
      <c r="R263" s="574" t="s">
        <v>1028</v>
      </c>
      <c r="S263" s="574" t="s">
        <v>1028</v>
      </c>
      <c r="T263" s="574" t="s">
        <v>1028</v>
      </c>
      <c r="U263" s="574" t="s">
        <v>1028</v>
      </c>
      <c r="V263" s="574" t="s">
        <v>1028</v>
      </c>
      <c r="W263" s="575" t="s">
        <v>1028</v>
      </c>
      <c r="X263" s="576" t="s">
        <v>1028</v>
      </c>
      <c r="Y263" s="577"/>
      <c r="Z263" s="578" t="s">
        <v>1028</v>
      </c>
      <c r="AA263" s="579" t="s">
        <v>1314</v>
      </c>
      <c r="AB263" s="579" t="s">
        <v>414</v>
      </c>
      <c r="AC263" s="579"/>
      <c r="AD263" s="579" t="s">
        <v>140</v>
      </c>
      <c r="AE263" s="579">
        <v>11</v>
      </c>
      <c r="AF263" s="580">
        <f>H263</f>
        <v>46189</v>
      </c>
      <c r="AG263" s="579">
        <f>A263</f>
        <v>1768</v>
      </c>
      <c r="AH263" s="579"/>
      <c r="AJ263" s="565"/>
    </row>
    <row r="264" spans="1:36" s="564" customFormat="1" x14ac:dyDescent="0.15">
      <c r="A264" s="566">
        <v>1769</v>
      </c>
      <c r="B264" s="566">
        <v>1123</v>
      </c>
      <c r="C264" s="567"/>
      <c r="D264" s="566">
        <v>1176</v>
      </c>
      <c r="E264" s="567"/>
      <c r="F264" s="568" t="s">
        <v>140</v>
      </c>
      <c r="G264" s="569">
        <v>45803</v>
      </c>
      <c r="H264" s="569">
        <v>46190</v>
      </c>
      <c r="I264" s="569"/>
      <c r="J264" s="581"/>
      <c r="K264" s="571">
        <v>46189</v>
      </c>
      <c r="L264" s="572">
        <v>46183</v>
      </c>
      <c r="M264" s="573">
        <v>46190</v>
      </c>
      <c r="N264" s="570"/>
      <c r="O264" s="574" t="s">
        <v>1028</v>
      </c>
      <c r="P264" s="574" t="s">
        <v>1028</v>
      </c>
      <c r="Q264" s="574" t="s">
        <v>1028</v>
      </c>
      <c r="R264" s="574" t="s">
        <v>1028</v>
      </c>
      <c r="S264" s="574" t="s">
        <v>1028</v>
      </c>
      <c r="T264" s="574" t="s">
        <v>1028</v>
      </c>
      <c r="U264" s="574" t="s">
        <v>1028</v>
      </c>
      <c r="V264" s="574" t="s">
        <v>1028</v>
      </c>
      <c r="W264" s="575" t="s">
        <v>1028</v>
      </c>
      <c r="X264" s="576" t="s">
        <v>1028</v>
      </c>
      <c r="Y264" s="577"/>
      <c r="Z264" s="578" t="s">
        <v>1028</v>
      </c>
      <c r="AA264" s="579" t="s">
        <v>1315</v>
      </c>
      <c r="AB264" s="579" t="s">
        <v>414</v>
      </c>
      <c r="AC264" s="579"/>
      <c r="AD264" s="579" t="s">
        <v>140</v>
      </c>
      <c r="AE264" s="579">
        <v>11</v>
      </c>
      <c r="AF264" s="580">
        <f>H264</f>
        <v>46190</v>
      </c>
      <c r="AG264" s="579">
        <f>A264</f>
        <v>1769</v>
      </c>
      <c r="AH264" s="579"/>
      <c r="AJ264" s="565"/>
    </row>
    <row r="265" spans="1:36" s="564" customFormat="1" x14ac:dyDescent="0.15">
      <c r="A265" s="566">
        <v>1770</v>
      </c>
      <c r="B265" s="566">
        <v>1124</v>
      </c>
      <c r="C265" s="567"/>
      <c r="D265" s="566">
        <v>1177</v>
      </c>
      <c r="E265" s="567"/>
      <c r="F265" s="568" t="s">
        <v>140</v>
      </c>
      <c r="G265" s="569">
        <v>45803</v>
      </c>
      <c r="H265" s="569">
        <v>46190</v>
      </c>
      <c r="I265" s="569"/>
      <c r="J265" s="581"/>
      <c r="K265" s="571">
        <v>46189</v>
      </c>
      <c r="L265" s="572">
        <v>46183</v>
      </c>
      <c r="M265" s="573">
        <v>46190</v>
      </c>
      <c r="N265" s="570"/>
      <c r="O265" s="574" t="s">
        <v>1028</v>
      </c>
      <c r="P265" s="574" t="s">
        <v>1028</v>
      </c>
      <c r="Q265" s="574" t="s">
        <v>1028</v>
      </c>
      <c r="R265" s="574" t="s">
        <v>1028</v>
      </c>
      <c r="S265" s="574" t="s">
        <v>1028</v>
      </c>
      <c r="T265" s="574" t="s">
        <v>1028</v>
      </c>
      <c r="U265" s="574" t="s">
        <v>1028</v>
      </c>
      <c r="V265" s="574" t="s">
        <v>1028</v>
      </c>
      <c r="W265" s="575" t="s">
        <v>1028</v>
      </c>
      <c r="X265" s="576" t="s">
        <v>1028</v>
      </c>
      <c r="Y265" s="577"/>
      <c r="Z265" s="578" t="s">
        <v>1028</v>
      </c>
      <c r="AA265" s="579" t="s">
        <v>1316</v>
      </c>
      <c r="AB265" s="579" t="s">
        <v>414</v>
      </c>
      <c r="AC265" s="579"/>
      <c r="AD265" s="579" t="s">
        <v>140</v>
      </c>
      <c r="AE265" s="579">
        <v>11</v>
      </c>
      <c r="AF265" s="580">
        <f>H265</f>
        <v>46190</v>
      </c>
      <c r="AG265" s="579">
        <f>A265</f>
        <v>1770</v>
      </c>
      <c r="AH265" s="579"/>
      <c r="AJ265" s="565"/>
    </row>
    <row r="266" spans="1:36" s="564" customFormat="1" x14ac:dyDescent="0.15">
      <c r="A266" s="566">
        <v>1771</v>
      </c>
      <c r="B266" s="566">
        <v>1125</v>
      </c>
      <c r="C266" s="567"/>
      <c r="D266" s="566">
        <v>1178</v>
      </c>
      <c r="E266" s="567"/>
      <c r="F266" s="568" t="s">
        <v>140</v>
      </c>
      <c r="G266" s="569">
        <v>45803</v>
      </c>
      <c r="H266" s="569">
        <v>46190</v>
      </c>
      <c r="I266" s="569"/>
      <c r="J266" s="581"/>
      <c r="K266" s="571">
        <v>46189</v>
      </c>
      <c r="L266" s="572">
        <v>46183</v>
      </c>
      <c r="M266" s="573">
        <v>46190</v>
      </c>
      <c r="N266" s="570"/>
      <c r="O266" s="574" t="s">
        <v>1028</v>
      </c>
      <c r="P266" s="574" t="s">
        <v>1028</v>
      </c>
      <c r="Q266" s="574" t="s">
        <v>1028</v>
      </c>
      <c r="R266" s="574" t="s">
        <v>1028</v>
      </c>
      <c r="S266" s="574" t="s">
        <v>1028</v>
      </c>
      <c r="T266" s="574" t="s">
        <v>1028</v>
      </c>
      <c r="U266" s="574" t="s">
        <v>1028</v>
      </c>
      <c r="V266" s="574" t="s">
        <v>1028</v>
      </c>
      <c r="W266" s="575" t="s">
        <v>1028</v>
      </c>
      <c r="X266" s="576" t="s">
        <v>1028</v>
      </c>
      <c r="Y266" s="577"/>
      <c r="Z266" s="578" t="s">
        <v>1028</v>
      </c>
      <c r="AA266" s="579" t="s">
        <v>1317</v>
      </c>
      <c r="AB266" s="579" t="s">
        <v>414</v>
      </c>
      <c r="AC266" s="579"/>
      <c r="AD266" s="579" t="s">
        <v>140</v>
      </c>
      <c r="AE266" s="579">
        <v>11</v>
      </c>
      <c r="AF266" s="580">
        <f>H266</f>
        <v>46190</v>
      </c>
      <c r="AG266" s="579">
        <f>A266</f>
        <v>1771</v>
      </c>
      <c r="AH266" s="579"/>
      <c r="AJ266" s="565"/>
    </row>
    <row r="267" spans="1:36" s="564" customFormat="1" x14ac:dyDescent="0.15">
      <c r="A267" s="566">
        <v>1772</v>
      </c>
      <c r="B267" s="566">
        <v>1126</v>
      </c>
      <c r="C267" s="567"/>
      <c r="D267" s="566">
        <v>1179</v>
      </c>
      <c r="E267" s="567"/>
      <c r="F267" s="568" t="s">
        <v>140</v>
      </c>
      <c r="G267" s="569">
        <v>45803</v>
      </c>
      <c r="H267" s="569">
        <v>46190</v>
      </c>
      <c r="I267" s="569"/>
      <c r="J267" s="581"/>
      <c r="K267" s="571">
        <v>46189</v>
      </c>
      <c r="L267" s="572">
        <v>46183</v>
      </c>
      <c r="M267" s="573">
        <v>46190</v>
      </c>
      <c r="N267" s="570"/>
      <c r="O267" s="574" t="s">
        <v>1028</v>
      </c>
      <c r="P267" s="574" t="s">
        <v>1028</v>
      </c>
      <c r="Q267" s="574" t="s">
        <v>1028</v>
      </c>
      <c r="R267" s="574" t="s">
        <v>1028</v>
      </c>
      <c r="S267" s="574" t="s">
        <v>1028</v>
      </c>
      <c r="T267" s="574" t="s">
        <v>1028</v>
      </c>
      <c r="U267" s="574" t="s">
        <v>1028</v>
      </c>
      <c r="V267" s="574" t="s">
        <v>1028</v>
      </c>
      <c r="W267" s="575" t="s">
        <v>1028</v>
      </c>
      <c r="X267" s="576" t="s">
        <v>1028</v>
      </c>
      <c r="Y267" s="577"/>
      <c r="Z267" s="578" t="s">
        <v>1028</v>
      </c>
      <c r="AA267" s="579" t="s">
        <v>1318</v>
      </c>
      <c r="AB267" s="579" t="s">
        <v>414</v>
      </c>
      <c r="AC267" s="579"/>
      <c r="AD267" s="579" t="s">
        <v>140</v>
      </c>
      <c r="AE267" s="579">
        <v>11</v>
      </c>
      <c r="AF267" s="580">
        <f>H267</f>
        <v>46190</v>
      </c>
      <c r="AG267" s="579">
        <f>A267</f>
        <v>1772</v>
      </c>
      <c r="AH267" s="579"/>
      <c r="AJ267" s="565"/>
    </row>
    <row r="268" spans="1:36" s="564" customFormat="1" x14ac:dyDescent="0.15">
      <c r="A268" s="566">
        <v>1773</v>
      </c>
      <c r="B268" s="566">
        <v>1127</v>
      </c>
      <c r="C268" s="567"/>
      <c r="D268" s="566">
        <v>1180</v>
      </c>
      <c r="E268" s="567"/>
      <c r="F268" s="568" t="s">
        <v>140</v>
      </c>
      <c r="G268" s="569">
        <v>45803</v>
      </c>
      <c r="H268" s="569">
        <v>46190</v>
      </c>
      <c r="I268" s="569"/>
      <c r="J268" s="581"/>
      <c r="K268" s="571">
        <v>46189</v>
      </c>
      <c r="L268" s="572">
        <v>46183</v>
      </c>
      <c r="M268" s="573">
        <v>46190</v>
      </c>
      <c r="N268" s="570"/>
      <c r="O268" s="574" t="s">
        <v>1028</v>
      </c>
      <c r="P268" s="574" t="s">
        <v>1028</v>
      </c>
      <c r="Q268" s="574" t="s">
        <v>1028</v>
      </c>
      <c r="R268" s="574" t="s">
        <v>1028</v>
      </c>
      <c r="S268" s="574" t="s">
        <v>1028</v>
      </c>
      <c r="T268" s="574" t="s">
        <v>1028</v>
      </c>
      <c r="U268" s="574" t="s">
        <v>1028</v>
      </c>
      <c r="V268" s="574" t="s">
        <v>1028</v>
      </c>
      <c r="W268" s="575" t="s">
        <v>1028</v>
      </c>
      <c r="X268" s="576" t="s">
        <v>1028</v>
      </c>
      <c r="Y268" s="577"/>
      <c r="Z268" s="578" t="s">
        <v>1028</v>
      </c>
      <c r="AA268" s="579" t="s">
        <v>1319</v>
      </c>
      <c r="AB268" s="579" t="s">
        <v>414</v>
      </c>
      <c r="AC268" s="579"/>
      <c r="AD268" s="579" t="s">
        <v>140</v>
      </c>
      <c r="AE268" s="579">
        <v>11</v>
      </c>
      <c r="AF268" s="580">
        <f>H268</f>
        <v>46190</v>
      </c>
      <c r="AG268" s="579">
        <f>A268</f>
        <v>1773</v>
      </c>
      <c r="AH268" s="579"/>
      <c r="AJ268" s="565"/>
    </row>
    <row r="269" spans="1:36" s="564" customFormat="1" x14ac:dyDescent="0.15">
      <c r="A269" s="566">
        <v>1774</v>
      </c>
      <c r="B269" s="566">
        <v>1128</v>
      </c>
      <c r="C269" s="567"/>
      <c r="D269" s="566">
        <v>1181</v>
      </c>
      <c r="E269" s="567"/>
      <c r="F269" s="568" t="s">
        <v>140</v>
      </c>
      <c r="G269" s="569">
        <v>45803</v>
      </c>
      <c r="H269" s="569">
        <v>46190</v>
      </c>
      <c r="I269" s="569"/>
      <c r="J269" s="581"/>
      <c r="K269" s="571">
        <v>46189</v>
      </c>
      <c r="L269" s="572">
        <v>46183</v>
      </c>
      <c r="M269" s="573">
        <v>46190</v>
      </c>
      <c r="N269" s="570"/>
      <c r="O269" s="574" t="s">
        <v>1028</v>
      </c>
      <c r="P269" s="574" t="s">
        <v>1028</v>
      </c>
      <c r="Q269" s="574" t="s">
        <v>1028</v>
      </c>
      <c r="R269" s="574" t="s">
        <v>1028</v>
      </c>
      <c r="S269" s="574" t="s">
        <v>1028</v>
      </c>
      <c r="T269" s="574" t="s">
        <v>1028</v>
      </c>
      <c r="U269" s="574" t="s">
        <v>1028</v>
      </c>
      <c r="V269" s="574" t="s">
        <v>1028</v>
      </c>
      <c r="W269" s="575" t="s">
        <v>1028</v>
      </c>
      <c r="X269" s="576" t="s">
        <v>1028</v>
      </c>
      <c r="Y269" s="577"/>
      <c r="Z269" s="578" t="s">
        <v>1028</v>
      </c>
      <c r="AA269" s="579" t="s">
        <v>1320</v>
      </c>
      <c r="AB269" s="579" t="s">
        <v>414</v>
      </c>
      <c r="AC269" s="579"/>
      <c r="AD269" s="579" t="s">
        <v>140</v>
      </c>
      <c r="AE269" s="579">
        <v>11</v>
      </c>
      <c r="AF269" s="580">
        <f>H269</f>
        <v>46190</v>
      </c>
      <c r="AG269" s="579">
        <f>A269</f>
        <v>1774</v>
      </c>
      <c r="AH269" s="579"/>
      <c r="AJ269" s="565"/>
    </row>
    <row r="270" spans="1:36" s="564" customFormat="1" x14ac:dyDescent="0.15">
      <c r="A270" s="566">
        <v>1775</v>
      </c>
      <c r="B270" s="566">
        <v>1129</v>
      </c>
      <c r="C270" s="567"/>
      <c r="D270" s="566">
        <v>1182</v>
      </c>
      <c r="E270" s="567"/>
      <c r="F270" s="568" t="s">
        <v>140</v>
      </c>
      <c r="G270" s="569">
        <v>45803</v>
      </c>
      <c r="H270" s="569">
        <v>46191</v>
      </c>
      <c r="I270" s="569"/>
      <c r="J270" s="581"/>
      <c r="K270" s="571">
        <v>46190</v>
      </c>
      <c r="L270" s="572">
        <v>46184</v>
      </c>
      <c r="M270" s="573">
        <v>46191</v>
      </c>
      <c r="N270" s="570"/>
      <c r="O270" s="574" t="s">
        <v>1028</v>
      </c>
      <c r="P270" s="574" t="s">
        <v>1028</v>
      </c>
      <c r="Q270" s="574" t="s">
        <v>1028</v>
      </c>
      <c r="R270" s="574" t="s">
        <v>1028</v>
      </c>
      <c r="S270" s="574" t="s">
        <v>1028</v>
      </c>
      <c r="T270" s="574" t="s">
        <v>1028</v>
      </c>
      <c r="U270" s="574" t="s">
        <v>1028</v>
      </c>
      <c r="V270" s="574" t="s">
        <v>1028</v>
      </c>
      <c r="W270" s="575" t="s">
        <v>1028</v>
      </c>
      <c r="X270" s="576" t="s">
        <v>1028</v>
      </c>
      <c r="Y270" s="577"/>
      <c r="Z270" s="578" t="s">
        <v>1028</v>
      </c>
      <c r="AA270" s="579" t="s">
        <v>1321</v>
      </c>
      <c r="AB270" s="579" t="s">
        <v>414</v>
      </c>
      <c r="AC270" s="579"/>
      <c r="AD270" s="579" t="s">
        <v>140</v>
      </c>
      <c r="AE270" s="579">
        <v>11</v>
      </c>
      <c r="AF270" s="580">
        <f>H270</f>
        <v>46191</v>
      </c>
      <c r="AG270" s="579">
        <f>A270</f>
        <v>1775</v>
      </c>
      <c r="AH270" s="579"/>
      <c r="AJ270" s="565"/>
    </row>
    <row r="271" spans="1:36" s="564" customFormat="1" x14ac:dyDescent="0.15">
      <c r="A271" s="566">
        <v>1776</v>
      </c>
      <c r="B271" s="566">
        <v>1130</v>
      </c>
      <c r="C271" s="567"/>
      <c r="D271" s="566">
        <v>1183</v>
      </c>
      <c r="E271" s="567"/>
      <c r="F271" s="568" t="s">
        <v>140</v>
      </c>
      <c r="G271" s="569">
        <v>45803</v>
      </c>
      <c r="H271" s="569">
        <v>46191</v>
      </c>
      <c r="I271" s="569"/>
      <c r="J271" s="581"/>
      <c r="K271" s="571">
        <v>46190</v>
      </c>
      <c r="L271" s="572">
        <v>46184</v>
      </c>
      <c r="M271" s="573">
        <v>46191</v>
      </c>
      <c r="N271" s="570"/>
      <c r="O271" s="574" t="s">
        <v>1028</v>
      </c>
      <c r="P271" s="574" t="s">
        <v>1028</v>
      </c>
      <c r="Q271" s="574" t="s">
        <v>1028</v>
      </c>
      <c r="R271" s="574" t="s">
        <v>1028</v>
      </c>
      <c r="S271" s="574" t="s">
        <v>1028</v>
      </c>
      <c r="T271" s="574" t="s">
        <v>1028</v>
      </c>
      <c r="U271" s="574" t="s">
        <v>1028</v>
      </c>
      <c r="V271" s="574" t="s">
        <v>1028</v>
      </c>
      <c r="W271" s="575" t="s">
        <v>1028</v>
      </c>
      <c r="X271" s="576" t="s">
        <v>1028</v>
      </c>
      <c r="Y271" s="577"/>
      <c r="Z271" s="578" t="s">
        <v>1028</v>
      </c>
      <c r="AA271" s="579" t="s">
        <v>1322</v>
      </c>
      <c r="AB271" s="579" t="s">
        <v>414</v>
      </c>
      <c r="AC271" s="579"/>
      <c r="AD271" s="579" t="s">
        <v>140</v>
      </c>
      <c r="AE271" s="579">
        <v>11</v>
      </c>
      <c r="AF271" s="580">
        <f>H271</f>
        <v>46191</v>
      </c>
      <c r="AG271" s="579">
        <f>A271</f>
        <v>1776</v>
      </c>
      <c r="AH271" s="579"/>
      <c r="AJ271" s="565"/>
    </row>
    <row r="272" spans="1:36" s="564" customFormat="1" x14ac:dyDescent="0.15">
      <c r="A272" s="566">
        <v>1777</v>
      </c>
      <c r="B272" s="566">
        <v>1131</v>
      </c>
      <c r="C272" s="567"/>
      <c r="D272" s="566">
        <v>1184</v>
      </c>
      <c r="E272" s="567"/>
      <c r="F272" s="568" t="s">
        <v>140</v>
      </c>
      <c r="G272" s="569">
        <v>45803</v>
      </c>
      <c r="H272" s="569">
        <v>46191</v>
      </c>
      <c r="I272" s="569"/>
      <c r="J272" s="581"/>
      <c r="K272" s="571">
        <v>46190</v>
      </c>
      <c r="L272" s="572">
        <v>46184</v>
      </c>
      <c r="M272" s="573">
        <v>46191</v>
      </c>
      <c r="N272" s="570"/>
      <c r="O272" s="574" t="s">
        <v>1028</v>
      </c>
      <c r="P272" s="574" t="s">
        <v>1028</v>
      </c>
      <c r="Q272" s="574" t="s">
        <v>1028</v>
      </c>
      <c r="R272" s="574" t="s">
        <v>1028</v>
      </c>
      <c r="S272" s="574" t="s">
        <v>1028</v>
      </c>
      <c r="T272" s="574" t="s">
        <v>1028</v>
      </c>
      <c r="U272" s="574" t="s">
        <v>1028</v>
      </c>
      <c r="V272" s="574" t="s">
        <v>1028</v>
      </c>
      <c r="W272" s="575" t="s">
        <v>1028</v>
      </c>
      <c r="X272" s="576" t="s">
        <v>1028</v>
      </c>
      <c r="Y272" s="577"/>
      <c r="Z272" s="578" t="s">
        <v>1028</v>
      </c>
      <c r="AA272" s="579" t="s">
        <v>1323</v>
      </c>
      <c r="AB272" s="579" t="s">
        <v>414</v>
      </c>
      <c r="AC272" s="579"/>
      <c r="AD272" s="579" t="s">
        <v>140</v>
      </c>
      <c r="AE272" s="579">
        <v>11</v>
      </c>
      <c r="AF272" s="580">
        <f>H272</f>
        <v>46191</v>
      </c>
      <c r="AG272" s="579">
        <f>A272</f>
        <v>1777</v>
      </c>
      <c r="AH272" s="579"/>
      <c r="AJ272" s="565"/>
    </row>
    <row r="273" spans="1:36" s="564" customFormat="1" x14ac:dyDescent="0.15">
      <c r="A273" s="566">
        <v>1778</v>
      </c>
      <c r="B273" s="566">
        <v>1132</v>
      </c>
      <c r="C273" s="567"/>
      <c r="D273" s="566">
        <v>1185</v>
      </c>
      <c r="E273" s="567"/>
      <c r="F273" s="568" t="s">
        <v>140</v>
      </c>
      <c r="G273" s="569">
        <v>45803</v>
      </c>
      <c r="H273" s="569">
        <v>46191</v>
      </c>
      <c r="I273" s="569"/>
      <c r="J273" s="581"/>
      <c r="K273" s="571">
        <v>46190</v>
      </c>
      <c r="L273" s="572">
        <v>46184</v>
      </c>
      <c r="M273" s="573">
        <v>46191</v>
      </c>
      <c r="N273" s="570"/>
      <c r="O273" s="574" t="s">
        <v>1028</v>
      </c>
      <c r="P273" s="574" t="s">
        <v>1028</v>
      </c>
      <c r="Q273" s="574" t="s">
        <v>1028</v>
      </c>
      <c r="R273" s="574" t="s">
        <v>1028</v>
      </c>
      <c r="S273" s="574" t="s">
        <v>1028</v>
      </c>
      <c r="T273" s="574" t="s">
        <v>1028</v>
      </c>
      <c r="U273" s="574" t="s">
        <v>1028</v>
      </c>
      <c r="V273" s="574" t="s">
        <v>1028</v>
      </c>
      <c r="W273" s="575" t="s">
        <v>1028</v>
      </c>
      <c r="X273" s="576" t="s">
        <v>1028</v>
      </c>
      <c r="Y273" s="577"/>
      <c r="Z273" s="578" t="s">
        <v>1028</v>
      </c>
      <c r="AA273" s="579" t="s">
        <v>1324</v>
      </c>
      <c r="AB273" s="579" t="s">
        <v>414</v>
      </c>
      <c r="AC273" s="579"/>
      <c r="AD273" s="579" t="s">
        <v>140</v>
      </c>
      <c r="AE273" s="579">
        <v>11</v>
      </c>
      <c r="AF273" s="580">
        <f>H273</f>
        <v>46191</v>
      </c>
      <c r="AG273" s="579">
        <f>A273</f>
        <v>1778</v>
      </c>
      <c r="AH273" s="579"/>
      <c r="AJ273" s="565"/>
    </row>
    <row r="274" spans="1:36" s="564" customFormat="1" x14ac:dyDescent="0.15">
      <c r="A274" s="566">
        <v>1779</v>
      </c>
      <c r="B274" s="566">
        <v>1133</v>
      </c>
      <c r="C274" s="567"/>
      <c r="D274" s="566">
        <v>1186</v>
      </c>
      <c r="E274" s="567"/>
      <c r="F274" s="568" t="s">
        <v>140</v>
      </c>
      <c r="G274" s="569">
        <v>45803</v>
      </c>
      <c r="H274" s="569">
        <v>46191</v>
      </c>
      <c r="I274" s="569"/>
      <c r="J274" s="581"/>
      <c r="K274" s="571">
        <v>46190</v>
      </c>
      <c r="L274" s="572">
        <v>46184</v>
      </c>
      <c r="M274" s="573">
        <v>46191</v>
      </c>
      <c r="N274" s="570"/>
      <c r="O274" s="574" t="s">
        <v>1028</v>
      </c>
      <c r="P274" s="574" t="s">
        <v>1028</v>
      </c>
      <c r="Q274" s="574" t="s">
        <v>1028</v>
      </c>
      <c r="R274" s="574" t="s">
        <v>1028</v>
      </c>
      <c r="S274" s="574" t="s">
        <v>1028</v>
      </c>
      <c r="T274" s="574" t="s">
        <v>1028</v>
      </c>
      <c r="U274" s="574" t="s">
        <v>1028</v>
      </c>
      <c r="V274" s="574" t="s">
        <v>1028</v>
      </c>
      <c r="W274" s="575" t="s">
        <v>1028</v>
      </c>
      <c r="X274" s="576" t="s">
        <v>1028</v>
      </c>
      <c r="Y274" s="577"/>
      <c r="Z274" s="578" t="s">
        <v>1028</v>
      </c>
      <c r="AA274" s="579" t="s">
        <v>1325</v>
      </c>
      <c r="AB274" s="579" t="s">
        <v>414</v>
      </c>
      <c r="AC274" s="579"/>
      <c r="AD274" s="579" t="s">
        <v>140</v>
      </c>
      <c r="AE274" s="579">
        <v>11</v>
      </c>
      <c r="AF274" s="580">
        <f>H274</f>
        <v>46191</v>
      </c>
      <c r="AG274" s="579">
        <f>A274</f>
        <v>1779</v>
      </c>
      <c r="AH274" s="579"/>
      <c r="AJ274" s="565"/>
    </row>
    <row r="275" spans="1:36" s="564" customFormat="1" x14ac:dyDescent="0.15">
      <c r="A275" s="566">
        <v>1780</v>
      </c>
      <c r="B275" s="566">
        <v>1134</v>
      </c>
      <c r="C275" s="567"/>
      <c r="D275" s="566">
        <v>1187</v>
      </c>
      <c r="E275" s="567"/>
      <c r="F275" s="568" t="s">
        <v>140</v>
      </c>
      <c r="G275" s="569">
        <v>45803</v>
      </c>
      <c r="H275" s="569">
        <v>46191</v>
      </c>
      <c r="I275" s="569"/>
      <c r="J275" s="581"/>
      <c r="K275" s="571">
        <v>46190</v>
      </c>
      <c r="L275" s="572">
        <v>46184</v>
      </c>
      <c r="M275" s="573">
        <v>46191</v>
      </c>
      <c r="N275" s="570"/>
      <c r="O275" s="574" t="s">
        <v>1028</v>
      </c>
      <c r="P275" s="574" t="s">
        <v>1028</v>
      </c>
      <c r="Q275" s="574" t="s">
        <v>1028</v>
      </c>
      <c r="R275" s="574" t="s">
        <v>1028</v>
      </c>
      <c r="S275" s="574" t="s">
        <v>1028</v>
      </c>
      <c r="T275" s="574" t="s">
        <v>1028</v>
      </c>
      <c r="U275" s="574" t="s">
        <v>1028</v>
      </c>
      <c r="V275" s="574" t="s">
        <v>1028</v>
      </c>
      <c r="W275" s="575" t="s">
        <v>1028</v>
      </c>
      <c r="X275" s="576" t="s">
        <v>1028</v>
      </c>
      <c r="Y275" s="577"/>
      <c r="Z275" s="578" t="s">
        <v>1028</v>
      </c>
      <c r="AA275" s="579" t="s">
        <v>1326</v>
      </c>
      <c r="AB275" s="579" t="s">
        <v>414</v>
      </c>
      <c r="AC275" s="579"/>
      <c r="AD275" s="579" t="s">
        <v>140</v>
      </c>
      <c r="AE275" s="579">
        <v>11</v>
      </c>
      <c r="AF275" s="580">
        <f>H275</f>
        <v>46191</v>
      </c>
      <c r="AG275" s="579">
        <f>A275</f>
        <v>1780</v>
      </c>
      <c r="AH275" s="579"/>
      <c r="AJ275" s="565"/>
    </row>
    <row r="276" spans="1:36" s="564" customFormat="1" x14ac:dyDescent="0.15">
      <c r="A276" s="566">
        <v>1781</v>
      </c>
      <c r="B276" s="566">
        <v>1135</v>
      </c>
      <c r="C276" s="567"/>
      <c r="D276" s="566">
        <v>1188</v>
      </c>
      <c r="E276" s="567"/>
      <c r="F276" s="568" t="s">
        <v>140</v>
      </c>
      <c r="G276" s="569">
        <v>45803</v>
      </c>
      <c r="H276" s="569">
        <v>46192</v>
      </c>
      <c r="I276" s="569"/>
      <c r="J276" s="581"/>
      <c r="K276" s="571">
        <v>46191</v>
      </c>
      <c r="L276" s="572">
        <v>46185</v>
      </c>
      <c r="M276" s="573">
        <v>46192</v>
      </c>
      <c r="N276" s="570"/>
      <c r="O276" s="574" t="s">
        <v>1028</v>
      </c>
      <c r="P276" s="574" t="s">
        <v>1028</v>
      </c>
      <c r="Q276" s="574" t="s">
        <v>1028</v>
      </c>
      <c r="R276" s="574" t="s">
        <v>1028</v>
      </c>
      <c r="S276" s="574" t="s">
        <v>1028</v>
      </c>
      <c r="T276" s="574" t="s">
        <v>1028</v>
      </c>
      <c r="U276" s="574" t="s">
        <v>1028</v>
      </c>
      <c r="V276" s="574" t="s">
        <v>1028</v>
      </c>
      <c r="W276" s="575" t="s">
        <v>1028</v>
      </c>
      <c r="X276" s="576" t="s">
        <v>1028</v>
      </c>
      <c r="Y276" s="577"/>
      <c r="Z276" s="578" t="s">
        <v>1028</v>
      </c>
      <c r="AA276" s="579" t="s">
        <v>1327</v>
      </c>
      <c r="AB276" s="579" t="s">
        <v>414</v>
      </c>
      <c r="AC276" s="579"/>
      <c r="AD276" s="579" t="s">
        <v>140</v>
      </c>
      <c r="AE276" s="579">
        <v>11</v>
      </c>
      <c r="AF276" s="580">
        <f>H276</f>
        <v>46192</v>
      </c>
      <c r="AG276" s="579">
        <f>A276</f>
        <v>1781</v>
      </c>
      <c r="AH276" s="579"/>
      <c r="AJ276" s="565"/>
    </row>
    <row r="277" spans="1:36" s="564" customFormat="1" x14ac:dyDescent="0.15">
      <c r="A277" s="566">
        <v>1782</v>
      </c>
      <c r="B277" s="566">
        <v>1136</v>
      </c>
      <c r="C277" s="567"/>
      <c r="D277" s="566">
        <v>1189</v>
      </c>
      <c r="E277" s="567"/>
      <c r="F277" s="568" t="s">
        <v>140</v>
      </c>
      <c r="G277" s="569">
        <v>45803</v>
      </c>
      <c r="H277" s="569">
        <v>46192</v>
      </c>
      <c r="I277" s="569"/>
      <c r="J277" s="581"/>
      <c r="K277" s="571">
        <v>46191</v>
      </c>
      <c r="L277" s="572">
        <v>46185</v>
      </c>
      <c r="M277" s="573">
        <v>46192</v>
      </c>
      <c r="N277" s="570"/>
      <c r="O277" s="574" t="s">
        <v>1028</v>
      </c>
      <c r="P277" s="574" t="s">
        <v>1028</v>
      </c>
      <c r="Q277" s="574" t="s">
        <v>1028</v>
      </c>
      <c r="R277" s="574" t="s">
        <v>1028</v>
      </c>
      <c r="S277" s="574" t="s">
        <v>1028</v>
      </c>
      <c r="T277" s="574" t="s">
        <v>1028</v>
      </c>
      <c r="U277" s="574" t="s">
        <v>1028</v>
      </c>
      <c r="V277" s="574" t="s">
        <v>1028</v>
      </c>
      <c r="W277" s="575" t="s">
        <v>1028</v>
      </c>
      <c r="X277" s="576" t="s">
        <v>1028</v>
      </c>
      <c r="Y277" s="577"/>
      <c r="Z277" s="578" t="s">
        <v>1028</v>
      </c>
      <c r="AA277" s="579" t="s">
        <v>1328</v>
      </c>
      <c r="AB277" s="579" t="s">
        <v>414</v>
      </c>
      <c r="AC277" s="579"/>
      <c r="AD277" s="579" t="s">
        <v>140</v>
      </c>
      <c r="AE277" s="579">
        <v>11</v>
      </c>
      <c r="AF277" s="580">
        <f>H277</f>
        <v>46192</v>
      </c>
      <c r="AG277" s="579">
        <f>A277</f>
        <v>1782</v>
      </c>
      <c r="AH277" s="579"/>
      <c r="AJ277" s="565"/>
    </row>
    <row r="278" spans="1:36" s="564" customFormat="1" x14ac:dyDescent="0.15">
      <c r="A278" s="566">
        <v>1783</v>
      </c>
      <c r="B278" s="566">
        <v>1137</v>
      </c>
      <c r="C278" s="567"/>
      <c r="D278" s="566">
        <v>1190</v>
      </c>
      <c r="E278" s="567"/>
      <c r="F278" s="568" t="s">
        <v>140</v>
      </c>
      <c r="G278" s="569">
        <v>45803</v>
      </c>
      <c r="H278" s="569">
        <v>46192</v>
      </c>
      <c r="I278" s="569"/>
      <c r="J278" s="581"/>
      <c r="K278" s="571">
        <v>46191</v>
      </c>
      <c r="L278" s="572">
        <v>46185</v>
      </c>
      <c r="M278" s="573">
        <v>46192</v>
      </c>
      <c r="N278" s="570"/>
      <c r="O278" s="574" t="s">
        <v>1028</v>
      </c>
      <c r="P278" s="574" t="s">
        <v>1028</v>
      </c>
      <c r="Q278" s="574" t="s">
        <v>1028</v>
      </c>
      <c r="R278" s="574" t="s">
        <v>1028</v>
      </c>
      <c r="S278" s="574" t="s">
        <v>1028</v>
      </c>
      <c r="T278" s="574" t="s">
        <v>1028</v>
      </c>
      <c r="U278" s="574" t="s">
        <v>1028</v>
      </c>
      <c r="V278" s="574" t="s">
        <v>1028</v>
      </c>
      <c r="W278" s="575" t="s">
        <v>1028</v>
      </c>
      <c r="X278" s="576" t="s">
        <v>1028</v>
      </c>
      <c r="Y278" s="577"/>
      <c r="Z278" s="578" t="s">
        <v>1028</v>
      </c>
      <c r="AA278" s="579" t="s">
        <v>1329</v>
      </c>
      <c r="AB278" s="579" t="s">
        <v>414</v>
      </c>
      <c r="AC278" s="579"/>
      <c r="AD278" s="579" t="s">
        <v>140</v>
      </c>
      <c r="AE278" s="579">
        <v>11</v>
      </c>
      <c r="AF278" s="580">
        <f>H278</f>
        <v>46192</v>
      </c>
      <c r="AG278" s="579">
        <f>A278</f>
        <v>1783</v>
      </c>
      <c r="AH278" s="579"/>
      <c r="AJ278" s="565"/>
    </row>
    <row r="279" spans="1:36" s="564" customFormat="1" x14ac:dyDescent="0.15">
      <c r="A279" s="566">
        <v>1784</v>
      </c>
      <c r="B279" s="566">
        <v>1138</v>
      </c>
      <c r="C279" s="567"/>
      <c r="D279" s="566">
        <v>1191</v>
      </c>
      <c r="E279" s="567"/>
      <c r="F279" s="568" t="s">
        <v>140</v>
      </c>
      <c r="G279" s="569">
        <v>45803</v>
      </c>
      <c r="H279" s="569">
        <v>46192</v>
      </c>
      <c r="I279" s="569"/>
      <c r="J279" s="581"/>
      <c r="K279" s="571">
        <v>46191</v>
      </c>
      <c r="L279" s="572">
        <v>46185</v>
      </c>
      <c r="M279" s="573">
        <v>46192</v>
      </c>
      <c r="N279" s="570"/>
      <c r="O279" s="574" t="s">
        <v>1028</v>
      </c>
      <c r="P279" s="574" t="s">
        <v>1028</v>
      </c>
      <c r="Q279" s="574" t="s">
        <v>1028</v>
      </c>
      <c r="R279" s="574" t="s">
        <v>1028</v>
      </c>
      <c r="S279" s="574" t="s">
        <v>1028</v>
      </c>
      <c r="T279" s="574" t="s">
        <v>1028</v>
      </c>
      <c r="U279" s="574" t="s">
        <v>1028</v>
      </c>
      <c r="V279" s="574" t="s">
        <v>1028</v>
      </c>
      <c r="W279" s="575" t="s">
        <v>1028</v>
      </c>
      <c r="X279" s="576" t="s">
        <v>1028</v>
      </c>
      <c r="Y279" s="577"/>
      <c r="Z279" s="578" t="s">
        <v>1028</v>
      </c>
      <c r="AA279" s="579" t="s">
        <v>1330</v>
      </c>
      <c r="AB279" s="579" t="s">
        <v>414</v>
      </c>
      <c r="AC279" s="579"/>
      <c r="AD279" s="579" t="s">
        <v>140</v>
      </c>
      <c r="AE279" s="579">
        <v>11</v>
      </c>
      <c r="AF279" s="580">
        <f>H279</f>
        <v>46192</v>
      </c>
      <c r="AG279" s="579">
        <f>A279</f>
        <v>1784</v>
      </c>
      <c r="AH279" s="579"/>
      <c r="AJ279" s="565"/>
    </row>
    <row r="280" spans="1:36" s="564" customFormat="1" x14ac:dyDescent="0.15">
      <c r="A280" s="566">
        <v>1785</v>
      </c>
      <c r="B280" s="566">
        <v>1139</v>
      </c>
      <c r="C280" s="567"/>
      <c r="D280" s="566">
        <v>1192</v>
      </c>
      <c r="E280" s="567"/>
      <c r="F280" s="568" t="s">
        <v>140</v>
      </c>
      <c r="G280" s="569">
        <v>45803</v>
      </c>
      <c r="H280" s="569">
        <v>46192</v>
      </c>
      <c r="I280" s="569"/>
      <c r="J280" s="581"/>
      <c r="K280" s="571">
        <v>46191</v>
      </c>
      <c r="L280" s="572">
        <v>46185</v>
      </c>
      <c r="M280" s="573">
        <v>46192</v>
      </c>
      <c r="N280" s="570"/>
      <c r="O280" s="574" t="s">
        <v>1028</v>
      </c>
      <c r="P280" s="574" t="s">
        <v>1028</v>
      </c>
      <c r="Q280" s="574" t="s">
        <v>1028</v>
      </c>
      <c r="R280" s="574" t="s">
        <v>1028</v>
      </c>
      <c r="S280" s="574" t="s">
        <v>1028</v>
      </c>
      <c r="T280" s="574" t="s">
        <v>1028</v>
      </c>
      <c r="U280" s="574" t="s">
        <v>1028</v>
      </c>
      <c r="V280" s="574" t="s">
        <v>1028</v>
      </c>
      <c r="W280" s="575" t="s">
        <v>1028</v>
      </c>
      <c r="X280" s="576" t="s">
        <v>1028</v>
      </c>
      <c r="Y280" s="577"/>
      <c r="Z280" s="578" t="s">
        <v>1028</v>
      </c>
      <c r="AA280" s="579" t="s">
        <v>1331</v>
      </c>
      <c r="AB280" s="579" t="s">
        <v>414</v>
      </c>
      <c r="AC280" s="579"/>
      <c r="AD280" s="579" t="s">
        <v>140</v>
      </c>
      <c r="AE280" s="579">
        <v>11</v>
      </c>
      <c r="AF280" s="580">
        <f>H280</f>
        <v>46192</v>
      </c>
      <c r="AG280" s="579">
        <f>A280</f>
        <v>1785</v>
      </c>
      <c r="AH280" s="579"/>
      <c r="AJ280" s="565"/>
    </row>
    <row r="281" spans="1:36" s="564" customFormat="1" x14ac:dyDescent="0.15">
      <c r="A281" s="566">
        <v>1786</v>
      </c>
      <c r="B281" s="566">
        <v>1140</v>
      </c>
      <c r="C281" s="567"/>
      <c r="D281" s="566">
        <v>1193</v>
      </c>
      <c r="E281" s="567"/>
      <c r="F281" s="568" t="s">
        <v>140</v>
      </c>
      <c r="G281" s="569">
        <v>45803</v>
      </c>
      <c r="H281" s="569">
        <v>46195</v>
      </c>
      <c r="I281" s="569"/>
      <c r="J281" s="581"/>
      <c r="K281" s="571">
        <v>46192</v>
      </c>
      <c r="L281" s="572">
        <v>46188</v>
      </c>
      <c r="M281" s="573">
        <v>46195</v>
      </c>
      <c r="N281" s="570"/>
      <c r="O281" s="574" t="s">
        <v>1028</v>
      </c>
      <c r="P281" s="574" t="s">
        <v>1028</v>
      </c>
      <c r="Q281" s="574" t="s">
        <v>1028</v>
      </c>
      <c r="R281" s="574" t="s">
        <v>1028</v>
      </c>
      <c r="S281" s="574" t="s">
        <v>1028</v>
      </c>
      <c r="T281" s="574" t="s">
        <v>1028</v>
      </c>
      <c r="U281" s="574" t="s">
        <v>1028</v>
      </c>
      <c r="V281" s="574" t="s">
        <v>1028</v>
      </c>
      <c r="W281" s="575" t="s">
        <v>1028</v>
      </c>
      <c r="X281" s="576" t="s">
        <v>1028</v>
      </c>
      <c r="Y281" s="577"/>
      <c r="Z281" s="578" t="s">
        <v>1028</v>
      </c>
      <c r="AA281" s="579" t="s">
        <v>1332</v>
      </c>
      <c r="AB281" s="579" t="s">
        <v>414</v>
      </c>
      <c r="AC281" s="579"/>
      <c r="AD281" s="579" t="s">
        <v>140</v>
      </c>
      <c r="AE281" s="579">
        <v>11</v>
      </c>
      <c r="AF281" s="580">
        <f>H281</f>
        <v>46195</v>
      </c>
      <c r="AG281" s="579">
        <f>A281</f>
        <v>1786</v>
      </c>
      <c r="AH281" s="579"/>
      <c r="AJ281" s="565"/>
    </row>
    <row r="282" spans="1:36" s="564" customFormat="1" x14ac:dyDescent="0.15">
      <c r="A282" s="566">
        <v>1787</v>
      </c>
      <c r="B282" s="566">
        <v>1141</v>
      </c>
      <c r="C282" s="567"/>
      <c r="D282" s="566">
        <v>1194</v>
      </c>
      <c r="E282" s="567"/>
      <c r="F282" s="568" t="s">
        <v>140</v>
      </c>
      <c r="G282" s="569">
        <v>45803</v>
      </c>
      <c r="H282" s="569">
        <v>46195</v>
      </c>
      <c r="I282" s="569"/>
      <c r="J282" s="581"/>
      <c r="K282" s="571">
        <v>46192</v>
      </c>
      <c r="L282" s="572">
        <v>46188</v>
      </c>
      <c r="M282" s="573">
        <v>46195</v>
      </c>
      <c r="N282" s="570"/>
      <c r="O282" s="574" t="s">
        <v>1028</v>
      </c>
      <c r="P282" s="574" t="s">
        <v>1028</v>
      </c>
      <c r="Q282" s="574" t="s">
        <v>1028</v>
      </c>
      <c r="R282" s="574" t="s">
        <v>1028</v>
      </c>
      <c r="S282" s="574" t="s">
        <v>1028</v>
      </c>
      <c r="T282" s="574" t="s">
        <v>1028</v>
      </c>
      <c r="U282" s="574" t="s">
        <v>1028</v>
      </c>
      <c r="V282" s="574" t="s">
        <v>1028</v>
      </c>
      <c r="W282" s="575" t="s">
        <v>1028</v>
      </c>
      <c r="X282" s="576" t="s">
        <v>1028</v>
      </c>
      <c r="Y282" s="577"/>
      <c r="Z282" s="578" t="s">
        <v>1028</v>
      </c>
      <c r="AA282" s="579" t="s">
        <v>1333</v>
      </c>
      <c r="AB282" s="579" t="s">
        <v>414</v>
      </c>
      <c r="AC282" s="579"/>
      <c r="AD282" s="579" t="s">
        <v>140</v>
      </c>
      <c r="AE282" s="579">
        <v>11</v>
      </c>
      <c r="AF282" s="580">
        <f>H282</f>
        <v>46195</v>
      </c>
      <c r="AG282" s="579">
        <f>A282</f>
        <v>1787</v>
      </c>
      <c r="AH282" s="579"/>
      <c r="AJ282" s="565"/>
    </row>
    <row r="283" spans="1:36" s="564" customFormat="1" x14ac:dyDescent="0.15">
      <c r="A283" s="566">
        <v>1788</v>
      </c>
      <c r="B283" s="566">
        <v>1142</v>
      </c>
      <c r="C283" s="567"/>
      <c r="D283" s="566">
        <v>1195</v>
      </c>
      <c r="E283" s="567"/>
      <c r="F283" s="568" t="s">
        <v>140</v>
      </c>
      <c r="G283" s="569">
        <v>45803</v>
      </c>
      <c r="H283" s="569">
        <v>46195</v>
      </c>
      <c r="I283" s="569"/>
      <c r="J283" s="581"/>
      <c r="K283" s="571">
        <v>46192</v>
      </c>
      <c r="L283" s="572">
        <v>46188</v>
      </c>
      <c r="M283" s="573">
        <v>46195</v>
      </c>
      <c r="N283" s="570"/>
      <c r="O283" s="574" t="s">
        <v>1028</v>
      </c>
      <c r="P283" s="574" t="s">
        <v>1028</v>
      </c>
      <c r="Q283" s="574" t="s">
        <v>1028</v>
      </c>
      <c r="R283" s="574" t="s">
        <v>1028</v>
      </c>
      <c r="S283" s="574" t="s">
        <v>1028</v>
      </c>
      <c r="T283" s="574" t="s">
        <v>1028</v>
      </c>
      <c r="U283" s="574" t="s">
        <v>1028</v>
      </c>
      <c r="V283" s="574" t="s">
        <v>1028</v>
      </c>
      <c r="W283" s="575" t="s">
        <v>1028</v>
      </c>
      <c r="X283" s="576" t="s">
        <v>1028</v>
      </c>
      <c r="Y283" s="577"/>
      <c r="Z283" s="578" t="s">
        <v>1028</v>
      </c>
      <c r="AA283" s="579" t="s">
        <v>1334</v>
      </c>
      <c r="AB283" s="579" t="s">
        <v>414</v>
      </c>
      <c r="AC283" s="579"/>
      <c r="AD283" s="579" t="s">
        <v>140</v>
      </c>
      <c r="AE283" s="579">
        <v>11</v>
      </c>
      <c r="AF283" s="580">
        <f>H283</f>
        <v>46195</v>
      </c>
      <c r="AG283" s="579">
        <f>A283</f>
        <v>1788</v>
      </c>
      <c r="AH283" s="579"/>
      <c r="AJ283" s="565"/>
    </row>
    <row r="284" spans="1:36" s="564" customFormat="1" x14ac:dyDescent="0.15">
      <c r="A284" s="566">
        <v>1789</v>
      </c>
      <c r="B284" s="566">
        <v>1143</v>
      </c>
      <c r="C284" s="567"/>
      <c r="D284" s="566">
        <v>1196</v>
      </c>
      <c r="E284" s="567"/>
      <c r="F284" s="568" t="s">
        <v>140</v>
      </c>
      <c r="G284" s="569">
        <v>45803</v>
      </c>
      <c r="H284" s="569">
        <v>46195</v>
      </c>
      <c r="I284" s="569"/>
      <c r="J284" s="581"/>
      <c r="K284" s="571">
        <v>46192</v>
      </c>
      <c r="L284" s="572">
        <v>46188</v>
      </c>
      <c r="M284" s="573">
        <v>46195</v>
      </c>
      <c r="N284" s="570"/>
      <c r="O284" s="574" t="s">
        <v>1028</v>
      </c>
      <c r="P284" s="574" t="s">
        <v>1028</v>
      </c>
      <c r="Q284" s="574" t="s">
        <v>1028</v>
      </c>
      <c r="R284" s="574" t="s">
        <v>1028</v>
      </c>
      <c r="S284" s="574" t="s">
        <v>1028</v>
      </c>
      <c r="T284" s="574" t="s">
        <v>1028</v>
      </c>
      <c r="U284" s="574" t="s">
        <v>1028</v>
      </c>
      <c r="V284" s="574" t="s">
        <v>1028</v>
      </c>
      <c r="W284" s="575" t="s">
        <v>1028</v>
      </c>
      <c r="X284" s="576" t="s">
        <v>1028</v>
      </c>
      <c r="Y284" s="577"/>
      <c r="Z284" s="578" t="s">
        <v>1028</v>
      </c>
      <c r="AA284" s="579" t="s">
        <v>1335</v>
      </c>
      <c r="AB284" s="579" t="s">
        <v>414</v>
      </c>
      <c r="AC284" s="579"/>
      <c r="AD284" s="579" t="s">
        <v>140</v>
      </c>
      <c r="AE284" s="579">
        <v>11</v>
      </c>
      <c r="AF284" s="580">
        <f>H284</f>
        <v>46195</v>
      </c>
      <c r="AG284" s="579">
        <f>A284</f>
        <v>1789</v>
      </c>
      <c r="AH284" s="579"/>
      <c r="AJ284" s="565"/>
    </row>
    <row r="285" spans="1:36" s="564" customFormat="1" x14ac:dyDescent="0.15">
      <c r="A285" s="566">
        <v>1790</v>
      </c>
      <c r="B285" s="566">
        <v>1144</v>
      </c>
      <c r="C285" s="567"/>
      <c r="D285" s="566">
        <v>1197</v>
      </c>
      <c r="E285" s="567"/>
      <c r="F285" s="568" t="s">
        <v>140</v>
      </c>
      <c r="G285" s="569">
        <v>45803</v>
      </c>
      <c r="H285" s="569">
        <v>46195</v>
      </c>
      <c r="I285" s="569"/>
      <c r="J285" s="581"/>
      <c r="K285" s="571">
        <v>46192</v>
      </c>
      <c r="L285" s="572">
        <v>46188</v>
      </c>
      <c r="M285" s="573">
        <v>46195</v>
      </c>
      <c r="N285" s="570"/>
      <c r="O285" s="574" t="s">
        <v>1028</v>
      </c>
      <c r="P285" s="574" t="s">
        <v>1028</v>
      </c>
      <c r="Q285" s="574" t="s">
        <v>1028</v>
      </c>
      <c r="R285" s="574" t="s">
        <v>1028</v>
      </c>
      <c r="S285" s="574" t="s">
        <v>1028</v>
      </c>
      <c r="T285" s="574" t="s">
        <v>1028</v>
      </c>
      <c r="U285" s="574" t="s">
        <v>1028</v>
      </c>
      <c r="V285" s="574" t="s">
        <v>1028</v>
      </c>
      <c r="W285" s="575" t="s">
        <v>1028</v>
      </c>
      <c r="X285" s="576" t="s">
        <v>1028</v>
      </c>
      <c r="Y285" s="577"/>
      <c r="Z285" s="578" t="s">
        <v>1028</v>
      </c>
      <c r="AA285" s="579" t="s">
        <v>1336</v>
      </c>
      <c r="AB285" s="579" t="s">
        <v>414</v>
      </c>
      <c r="AC285" s="579"/>
      <c r="AD285" s="579" t="s">
        <v>140</v>
      </c>
      <c r="AE285" s="579">
        <v>11</v>
      </c>
      <c r="AF285" s="580">
        <f>H285</f>
        <v>46195</v>
      </c>
      <c r="AG285" s="579">
        <f>A285</f>
        <v>1790</v>
      </c>
      <c r="AH285" s="579"/>
      <c r="AJ285" s="565"/>
    </row>
    <row r="286" spans="1:36" s="564" customFormat="1" x14ac:dyDescent="0.15">
      <c r="A286" s="567"/>
      <c r="B286" s="567"/>
      <c r="C286" s="567"/>
      <c r="D286" s="567"/>
      <c r="E286" s="567"/>
      <c r="F286" s="582"/>
      <c r="G286" s="569">
        <v>46084</v>
      </c>
      <c r="H286" s="569">
        <v>46195</v>
      </c>
      <c r="I286" s="569"/>
      <c r="J286" s="583" t="s">
        <v>1337</v>
      </c>
      <c r="K286" s="584"/>
      <c r="L286" s="572">
        <v>46189</v>
      </c>
      <c r="M286" s="573">
        <v>46195</v>
      </c>
      <c r="N286" s="585" t="s">
        <v>1066</v>
      </c>
      <c r="O286" s="577"/>
      <c r="P286" s="577"/>
      <c r="Q286" s="577"/>
      <c r="R286" s="577"/>
      <c r="S286" s="577"/>
      <c r="T286" s="577"/>
      <c r="U286" s="574" t="s">
        <v>1028</v>
      </c>
      <c r="V286" s="577"/>
      <c r="W286" s="586"/>
      <c r="X286" s="587"/>
      <c r="Y286" s="577"/>
      <c r="Z286" s="577"/>
      <c r="AA286" s="588" t="s">
        <v>1338</v>
      </c>
      <c r="AB286" s="589" t="s">
        <v>513</v>
      </c>
      <c r="AC286" s="589" t="s">
        <v>1062</v>
      </c>
      <c r="AD286" s="589" t="s">
        <v>1063</v>
      </c>
      <c r="AE286" s="579">
        <f>F286</f>
        <v>0</v>
      </c>
      <c r="AF286" s="580">
        <f>H286</f>
        <v>46195</v>
      </c>
      <c r="AG286" s="579">
        <f>A286</f>
        <v>0</v>
      </c>
      <c r="AH286" s="589" t="s">
        <v>1064</v>
      </c>
      <c r="AJ286" s="565"/>
    </row>
    <row r="287" spans="1:36" s="564" customFormat="1" x14ac:dyDescent="0.15">
      <c r="A287" s="567"/>
      <c r="B287" s="567"/>
      <c r="C287" s="567"/>
      <c r="D287" s="567"/>
      <c r="E287" s="567"/>
      <c r="F287" s="582"/>
      <c r="G287" s="569">
        <v>46084</v>
      </c>
      <c r="H287" s="569">
        <v>46195</v>
      </c>
      <c r="I287" s="569"/>
      <c r="J287" s="583" t="s">
        <v>1337</v>
      </c>
      <c r="K287" s="584"/>
      <c r="L287" s="572">
        <v>46189</v>
      </c>
      <c r="M287" s="573">
        <v>46195</v>
      </c>
      <c r="N287" s="585" t="s">
        <v>1066</v>
      </c>
      <c r="O287" s="577"/>
      <c r="P287" s="577"/>
      <c r="Q287" s="577"/>
      <c r="R287" s="577"/>
      <c r="S287" s="577"/>
      <c r="T287" s="577"/>
      <c r="U287" s="574" t="s">
        <v>1028</v>
      </c>
      <c r="V287" s="577"/>
      <c r="W287" s="586"/>
      <c r="X287" s="587"/>
      <c r="Y287" s="577"/>
      <c r="Z287" s="577"/>
      <c r="AA287" s="588" t="s">
        <v>1338</v>
      </c>
      <c r="AB287" s="589" t="s">
        <v>513</v>
      </c>
      <c r="AC287" s="589" t="s">
        <v>1068</v>
      </c>
      <c r="AD287" s="589" t="s">
        <v>1063</v>
      </c>
      <c r="AE287" s="579">
        <f>F287</f>
        <v>0</v>
      </c>
      <c r="AF287" s="580">
        <f>H287</f>
        <v>46195</v>
      </c>
      <c r="AG287" s="579">
        <f>A287</f>
        <v>0</v>
      </c>
      <c r="AH287" s="589" t="s">
        <v>1064</v>
      </c>
      <c r="AJ287" s="565"/>
    </row>
    <row r="288" spans="1:36" s="564" customFormat="1" x14ac:dyDescent="0.15">
      <c r="A288" s="567"/>
      <c r="B288" s="567"/>
      <c r="C288" s="567"/>
      <c r="D288" s="567"/>
      <c r="E288" s="567"/>
      <c r="F288" s="582"/>
      <c r="G288" s="569">
        <v>46084</v>
      </c>
      <c r="H288" s="569">
        <v>46195</v>
      </c>
      <c r="I288" s="569"/>
      <c r="J288" s="583" t="s">
        <v>1337</v>
      </c>
      <c r="K288" s="584"/>
      <c r="L288" s="572">
        <v>46189</v>
      </c>
      <c r="M288" s="573">
        <v>46195</v>
      </c>
      <c r="N288" s="585" t="s">
        <v>1066</v>
      </c>
      <c r="O288" s="577"/>
      <c r="P288" s="577"/>
      <c r="Q288" s="577"/>
      <c r="R288" s="577"/>
      <c r="S288" s="577"/>
      <c r="T288" s="577"/>
      <c r="U288" s="574" t="s">
        <v>1028</v>
      </c>
      <c r="V288" s="577"/>
      <c r="W288" s="586"/>
      <c r="X288" s="587"/>
      <c r="Y288" s="577"/>
      <c r="Z288" s="577"/>
      <c r="AA288" s="588" t="s">
        <v>1338</v>
      </c>
      <c r="AB288" s="589" t="s">
        <v>513</v>
      </c>
      <c r="AC288" s="589" t="s">
        <v>1069</v>
      </c>
      <c r="AD288" s="589" t="s">
        <v>1063</v>
      </c>
      <c r="AE288" s="579">
        <f>F288</f>
        <v>0</v>
      </c>
      <c r="AF288" s="580">
        <f>H288</f>
        <v>46195</v>
      </c>
      <c r="AG288" s="579">
        <f>A288</f>
        <v>0</v>
      </c>
      <c r="AH288" s="589" t="s">
        <v>1064</v>
      </c>
      <c r="AJ288" s="565"/>
    </row>
    <row r="289" spans="1:36" s="564" customFormat="1" x14ac:dyDescent="0.15">
      <c r="A289" s="567"/>
      <c r="B289" s="567"/>
      <c r="C289" s="567"/>
      <c r="D289" s="567"/>
      <c r="E289" s="567"/>
      <c r="F289" s="582"/>
      <c r="G289" s="569">
        <v>46084</v>
      </c>
      <c r="H289" s="569">
        <v>46195</v>
      </c>
      <c r="I289" s="569"/>
      <c r="J289" s="583" t="s">
        <v>1337</v>
      </c>
      <c r="K289" s="584"/>
      <c r="L289" s="572">
        <v>46189</v>
      </c>
      <c r="M289" s="573">
        <v>46195</v>
      </c>
      <c r="N289" s="585" t="s">
        <v>1066</v>
      </c>
      <c r="O289" s="577"/>
      <c r="P289" s="577"/>
      <c r="Q289" s="577"/>
      <c r="R289" s="577"/>
      <c r="S289" s="577"/>
      <c r="T289" s="577"/>
      <c r="U289" s="574" t="s">
        <v>1028</v>
      </c>
      <c r="V289" s="577"/>
      <c r="W289" s="586"/>
      <c r="X289" s="587"/>
      <c r="Y289" s="577"/>
      <c r="Z289" s="577"/>
      <c r="AA289" s="588" t="s">
        <v>1339</v>
      </c>
      <c r="AB289" s="589" t="s">
        <v>513</v>
      </c>
      <c r="AC289" s="589" t="s">
        <v>1070</v>
      </c>
      <c r="AD289" s="589" t="s">
        <v>1063</v>
      </c>
      <c r="AE289" s="579">
        <f>F289</f>
        <v>0</v>
      </c>
      <c r="AF289" s="580">
        <f>H289</f>
        <v>46195</v>
      </c>
      <c r="AG289" s="579">
        <f>A289</f>
        <v>0</v>
      </c>
      <c r="AH289" s="589" t="s">
        <v>1064</v>
      </c>
      <c r="AJ289" s="565"/>
    </row>
    <row r="290" spans="1:36" s="564" customFormat="1" x14ac:dyDescent="0.15">
      <c r="A290" s="567"/>
      <c r="B290" s="567"/>
      <c r="C290" s="567"/>
      <c r="D290" s="567"/>
      <c r="E290" s="567"/>
      <c r="F290" s="582"/>
      <c r="G290" s="569">
        <v>46084</v>
      </c>
      <c r="H290" s="569">
        <v>46195</v>
      </c>
      <c r="I290" s="569"/>
      <c r="J290" s="583" t="s">
        <v>1337</v>
      </c>
      <c r="K290" s="584"/>
      <c r="L290" s="572">
        <v>46189</v>
      </c>
      <c r="M290" s="573">
        <v>46195</v>
      </c>
      <c r="N290" s="585" t="s">
        <v>1066</v>
      </c>
      <c r="O290" s="577"/>
      <c r="P290" s="577"/>
      <c r="Q290" s="577"/>
      <c r="R290" s="577"/>
      <c r="S290" s="577"/>
      <c r="T290" s="577"/>
      <c r="U290" s="574" t="s">
        <v>1028</v>
      </c>
      <c r="V290" s="577"/>
      <c r="W290" s="586"/>
      <c r="X290" s="587"/>
      <c r="Y290" s="577"/>
      <c r="Z290" s="577"/>
      <c r="AA290" s="588" t="s">
        <v>1339</v>
      </c>
      <c r="AB290" s="589" t="s">
        <v>513</v>
      </c>
      <c r="AC290" s="589" t="s">
        <v>1071</v>
      </c>
      <c r="AD290" s="589" t="s">
        <v>1063</v>
      </c>
      <c r="AE290" s="579">
        <f>F290</f>
        <v>0</v>
      </c>
      <c r="AF290" s="580">
        <f>H290</f>
        <v>46195</v>
      </c>
      <c r="AG290" s="579">
        <f>A290</f>
        <v>0</v>
      </c>
      <c r="AH290" s="589" t="s">
        <v>1064</v>
      </c>
      <c r="AJ290" s="565"/>
    </row>
    <row r="291" spans="1:36" s="564" customFormat="1" x14ac:dyDescent="0.15">
      <c r="A291" s="566">
        <v>1791</v>
      </c>
      <c r="B291" s="566">
        <v>1145</v>
      </c>
      <c r="C291" s="567"/>
      <c r="D291" s="566">
        <v>1198</v>
      </c>
      <c r="E291" s="567"/>
      <c r="F291" s="568" t="s">
        <v>140</v>
      </c>
      <c r="G291" s="569">
        <v>45803</v>
      </c>
      <c r="H291" s="569">
        <v>46196</v>
      </c>
      <c r="I291" s="569"/>
      <c r="J291" s="570"/>
      <c r="K291" s="571">
        <v>46195</v>
      </c>
      <c r="L291" s="572">
        <v>46189</v>
      </c>
      <c r="M291" s="573">
        <v>46196</v>
      </c>
      <c r="N291" s="570"/>
      <c r="O291" s="574" t="s">
        <v>1028</v>
      </c>
      <c r="P291" s="574" t="s">
        <v>1028</v>
      </c>
      <c r="Q291" s="574" t="s">
        <v>1028</v>
      </c>
      <c r="R291" s="574" t="s">
        <v>1028</v>
      </c>
      <c r="S291" s="574" t="s">
        <v>1028</v>
      </c>
      <c r="T291" s="574" t="s">
        <v>1028</v>
      </c>
      <c r="U291" s="574" t="s">
        <v>1028</v>
      </c>
      <c r="V291" s="574" t="s">
        <v>1028</v>
      </c>
      <c r="W291" s="575" t="s">
        <v>1028</v>
      </c>
      <c r="X291" s="576" t="s">
        <v>1028</v>
      </c>
      <c r="Y291" s="577"/>
      <c r="Z291" s="578" t="s">
        <v>1028</v>
      </c>
      <c r="AA291" s="579" t="s">
        <v>1340</v>
      </c>
      <c r="AB291" s="579" t="s">
        <v>414</v>
      </c>
      <c r="AC291" s="579"/>
      <c r="AD291" s="579" t="s">
        <v>140</v>
      </c>
      <c r="AE291" s="579">
        <v>11</v>
      </c>
      <c r="AF291" s="580">
        <f>H291</f>
        <v>46196</v>
      </c>
      <c r="AG291" s="579">
        <f>A291</f>
        <v>1791</v>
      </c>
      <c r="AH291" s="579"/>
      <c r="AJ291" s="565"/>
    </row>
    <row r="292" spans="1:36" s="564" customFormat="1" x14ac:dyDescent="0.15">
      <c r="A292" s="566">
        <v>1792</v>
      </c>
      <c r="B292" s="566">
        <v>1146</v>
      </c>
      <c r="C292" s="567"/>
      <c r="D292" s="566">
        <v>1199</v>
      </c>
      <c r="E292" s="567"/>
      <c r="F292" s="568" t="s">
        <v>140</v>
      </c>
      <c r="G292" s="569">
        <v>45803</v>
      </c>
      <c r="H292" s="569">
        <v>46196</v>
      </c>
      <c r="I292" s="569"/>
      <c r="J292" s="581"/>
      <c r="K292" s="571">
        <v>46195</v>
      </c>
      <c r="L292" s="572">
        <v>46189</v>
      </c>
      <c r="M292" s="573">
        <v>46196</v>
      </c>
      <c r="N292" s="570"/>
      <c r="O292" s="574" t="s">
        <v>1028</v>
      </c>
      <c r="P292" s="574" t="s">
        <v>1028</v>
      </c>
      <c r="Q292" s="574" t="s">
        <v>1028</v>
      </c>
      <c r="R292" s="574" t="s">
        <v>1028</v>
      </c>
      <c r="S292" s="574" t="s">
        <v>1028</v>
      </c>
      <c r="T292" s="574" t="s">
        <v>1028</v>
      </c>
      <c r="U292" s="574" t="s">
        <v>1028</v>
      </c>
      <c r="V292" s="574" t="s">
        <v>1028</v>
      </c>
      <c r="W292" s="575" t="s">
        <v>1028</v>
      </c>
      <c r="X292" s="576" t="s">
        <v>1028</v>
      </c>
      <c r="Y292" s="577"/>
      <c r="Z292" s="578" t="s">
        <v>1028</v>
      </c>
      <c r="AA292" s="579" t="s">
        <v>1341</v>
      </c>
      <c r="AB292" s="579" t="s">
        <v>414</v>
      </c>
      <c r="AC292" s="579"/>
      <c r="AD292" s="579" t="s">
        <v>140</v>
      </c>
      <c r="AE292" s="579">
        <v>11</v>
      </c>
      <c r="AF292" s="580">
        <f>H292</f>
        <v>46196</v>
      </c>
      <c r="AG292" s="579">
        <f>A292</f>
        <v>1792</v>
      </c>
      <c r="AH292" s="579"/>
      <c r="AJ292" s="565"/>
    </row>
    <row r="293" spans="1:36" s="564" customFormat="1" x14ac:dyDescent="0.15">
      <c r="A293" s="566">
        <v>1793</v>
      </c>
      <c r="B293" s="566">
        <v>1147</v>
      </c>
      <c r="C293" s="567"/>
      <c r="D293" s="566">
        <v>1200</v>
      </c>
      <c r="E293" s="567"/>
      <c r="F293" s="568" t="s">
        <v>140</v>
      </c>
      <c r="G293" s="569">
        <v>45803</v>
      </c>
      <c r="H293" s="569">
        <v>46196</v>
      </c>
      <c r="I293" s="569"/>
      <c r="J293" s="581"/>
      <c r="K293" s="571">
        <v>46195</v>
      </c>
      <c r="L293" s="572">
        <v>46189</v>
      </c>
      <c r="M293" s="573">
        <v>46196</v>
      </c>
      <c r="N293" s="570"/>
      <c r="O293" s="574" t="s">
        <v>1028</v>
      </c>
      <c r="P293" s="574" t="s">
        <v>1028</v>
      </c>
      <c r="Q293" s="574" t="s">
        <v>1028</v>
      </c>
      <c r="R293" s="574" t="s">
        <v>1028</v>
      </c>
      <c r="S293" s="574" t="s">
        <v>1028</v>
      </c>
      <c r="T293" s="574" t="s">
        <v>1028</v>
      </c>
      <c r="U293" s="574" t="s">
        <v>1028</v>
      </c>
      <c r="V293" s="574" t="s">
        <v>1028</v>
      </c>
      <c r="W293" s="575" t="s">
        <v>1028</v>
      </c>
      <c r="X293" s="576" t="s">
        <v>1028</v>
      </c>
      <c r="Y293" s="577"/>
      <c r="Z293" s="578" t="s">
        <v>1028</v>
      </c>
      <c r="AA293" s="579" t="s">
        <v>1342</v>
      </c>
      <c r="AB293" s="579" t="s">
        <v>414</v>
      </c>
      <c r="AC293" s="579"/>
      <c r="AD293" s="579" t="s">
        <v>140</v>
      </c>
      <c r="AE293" s="579">
        <v>11</v>
      </c>
      <c r="AF293" s="580">
        <f>H293</f>
        <v>46196</v>
      </c>
      <c r="AG293" s="579">
        <f>A293</f>
        <v>1793</v>
      </c>
      <c r="AH293" s="579"/>
      <c r="AJ293" s="565"/>
    </row>
    <row r="294" spans="1:36" s="564" customFormat="1" x14ac:dyDescent="0.15">
      <c r="A294" s="566">
        <v>1794</v>
      </c>
      <c r="B294" s="566">
        <v>1148</v>
      </c>
      <c r="C294" s="567"/>
      <c r="D294" s="566">
        <v>1201</v>
      </c>
      <c r="E294" s="567"/>
      <c r="F294" s="568" t="s">
        <v>140</v>
      </c>
      <c r="G294" s="569">
        <v>45803</v>
      </c>
      <c r="H294" s="569">
        <v>46196</v>
      </c>
      <c r="I294" s="569"/>
      <c r="J294" s="581"/>
      <c r="K294" s="571">
        <v>46195</v>
      </c>
      <c r="L294" s="572">
        <v>46189</v>
      </c>
      <c r="M294" s="573">
        <v>46196</v>
      </c>
      <c r="N294" s="570"/>
      <c r="O294" s="574" t="s">
        <v>1028</v>
      </c>
      <c r="P294" s="574" t="s">
        <v>1028</v>
      </c>
      <c r="Q294" s="574" t="s">
        <v>1028</v>
      </c>
      <c r="R294" s="574" t="s">
        <v>1028</v>
      </c>
      <c r="S294" s="574" t="s">
        <v>1028</v>
      </c>
      <c r="T294" s="574" t="s">
        <v>1028</v>
      </c>
      <c r="U294" s="574" t="s">
        <v>1028</v>
      </c>
      <c r="V294" s="574" t="s">
        <v>1028</v>
      </c>
      <c r="W294" s="575" t="s">
        <v>1028</v>
      </c>
      <c r="X294" s="576" t="s">
        <v>1028</v>
      </c>
      <c r="Y294" s="577"/>
      <c r="Z294" s="578" t="s">
        <v>1028</v>
      </c>
      <c r="AA294" s="579" t="s">
        <v>1343</v>
      </c>
      <c r="AB294" s="579" t="s">
        <v>414</v>
      </c>
      <c r="AC294" s="579"/>
      <c r="AD294" s="579" t="s">
        <v>140</v>
      </c>
      <c r="AE294" s="579">
        <v>11</v>
      </c>
      <c r="AF294" s="580">
        <f>H294</f>
        <v>46196</v>
      </c>
      <c r="AG294" s="579">
        <f>A294</f>
        <v>1794</v>
      </c>
      <c r="AH294" s="579"/>
      <c r="AJ294" s="565"/>
    </row>
    <row r="295" spans="1:36" s="564" customFormat="1" x14ac:dyDescent="0.15">
      <c r="A295" s="566">
        <v>1795</v>
      </c>
      <c r="B295" s="566">
        <v>1149</v>
      </c>
      <c r="C295" s="567"/>
      <c r="D295" s="566">
        <v>1202</v>
      </c>
      <c r="E295" s="567"/>
      <c r="F295" s="568" t="s">
        <v>140</v>
      </c>
      <c r="G295" s="569">
        <v>45803</v>
      </c>
      <c r="H295" s="569">
        <v>46196</v>
      </c>
      <c r="I295" s="569"/>
      <c r="J295" s="581"/>
      <c r="K295" s="571">
        <v>46195</v>
      </c>
      <c r="L295" s="572">
        <v>46189</v>
      </c>
      <c r="M295" s="573">
        <v>46196</v>
      </c>
      <c r="N295" s="570"/>
      <c r="O295" s="574" t="s">
        <v>1028</v>
      </c>
      <c r="P295" s="574" t="s">
        <v>1028</v>
      </c>
      <c r="Q295" s="574" t="s">
        <v>1028</v>
      </c>
      <c r="R295" s="574" t="s">
        <v>1028</v>
      </c>
      <c r="S295" s="574" t="s">
        <v>1028</v>
      </c>
      <c r="T295" s="574" t="s">
        <v>1028</v>
      </c>
      <c r="U295" s="574" t="s">
        <v>1028</v>
      </c>
      <c r="V295" s="574" t="s">
        <v>1028</v>
      </c>
      <c r="W295" s="575" t="s">
        <v>1028</v>
      </c>
      <c r="X295" s="576" t="s">
        <v>1028</v>
      </c>
      <c r="Y295" s="577"/>
      <c r="Z295" s="578" t="s">
        <v>1028</v>
      </c>
      <c r="AA295" s="579" t="s">
        <v>1344</v>
      </c>
      <c r="AB295" s="579" t="s">
        <v>414</v>
      </c>
      <c r="AC295" s="579"/>
      <c r="AD295" s="579" t="s">
        <v>140</v>
      </c>
      <c r="AE295" s="579">
        <v>11</v>
      </c>
      <c r="AF295" s="580">
        <f>H295</f>
        <v>46196</v>
      </c>
      <c r="AG295" s="579">
        <f>A295</f>
        <v>1795</v>
      </c>
      <c r="AH295" s="579"/>
      <c r="AJ295" s="565"/>
    </row>
    <row r="296" spans="1:36" s="564" customFormat="1" x14ac:dyDescent="0.15">
      <c r="A296" s="567"/>
      <c r="B296" s="567"/>
      <c r="C296" s="567"/>
      <c r="D296" s="567"/>
      <c r="E296" s="567"/>
      <c r="F296" s="582"/>
      <c r="G296" s="569">
        <v>46084</v>
      </c>
      <c r="H296" s="569">
        <v>46196</v>
      </c>
      <c r="I296" s="569"/>
      <c r="J296" s="583" t="s">
        <v>1345</v>
      </c>
      <c r="K296" s="584"/>
      <c r="L296" s="572">
        <v>46190</v>
      </c>
      <c r="M296" s="573">
        <v>46196</v>
      </c>
      <c r="N296" s="585" t="s">
        <v>1066</v>
      </c>
      <c r="O296" s="577"/>
      <c r="P296" s="577"/>
      <c r="Q296" s="577"/>
      <c r="R296" s="577"/>
      <c r="S296" s="577"/>
      <c r="T296" s="577"/>
      <c r="U296" s="574" t="s">
        <v>1028</v>
      </c>
      <c r="V296" s="577"/>
      <c r="W296" s="586"/>
      <c r="X296" s="587"/>
      <c r="Y296" s="577"/>
      <c r="Z296" s="577"/>
      <c r="AA296" s="588" t="s">
        <v>1346</v>
      </c>
      <c r="AB296" s="589" t="s">
        <v>513</v>
      </c>
      <c r="AC296" s="589" t="s">
        <v>1062</v>
      </c>
      <c r="AD296" s="589" t="s">
        <v>1063</v>
      </c>
      <c r="AE296" s="579">
        <f>F296</f>
        <v>0</v>
      </c>
      <c r="AF296" s="580">
        <f>H296</f>
        <v>46196</v>
      </c>
      <c r="AG296" s="579">
        <f>A296</f>
        <v>0</v>
      </c>
      <c r="AH296" s="589" t="s">
        <v>1105</v>
      </c>
      <c r="AJ296" s="565"/>
    </row>
    <row r="297" spans="1:36" s="564" customFormat="1" x14ac:dyDescent="0.15">
      <c r="A297" s="567"/>
      <c r="B297" s="567"/>
      <c r="C297" s="567"/>
      <c r="D297" s="567"/>
      <c r="E297" s="567"/>
      <c r="F297" s="582"/>
      <c r="G297" s="569">
        <v>46084</v>
      </c>
      <c r="H297" s="569">
        <v>46196</v>
      </c>
      <c r="I297" s="569"/>
      <c r="J297" s="583" t="s">
        <v>1347</v>
      </c>
      <c r="K297" s="584"/>
      <c r="L297" s="572">
        <v>46190</v>
      </c>
      <c r="M297" s="573">
        <v>46196</v>
      </c>
      <c r="N297" s="585" t="s">
        <v>1066</v>
      </c>
      <c r="O297" s="577"/>
      <c r="P297" s="577"/>
      <c r="Q297" s="577"/>
      <c r="R297" s="577"/>
      <c r="S297" s="577"/>
      <c r="T297" s="577"/>
      <c r="U297" s="574" t="s">
        <v>1028</v>
      </c>
      <c r="V297" s="577"/>
      <c r="W297" s="586"/>
      <c r="X297" s="587"/>
      <c r="Y297" s="577"/>
      <c r="Z297" s="577"/>
      <c r="AA297" s="588" t="s">
        <v>1346</v>
      </c>
      <c r="AB297" s="589" t="s">
        <v>513</v>
      </c>
      <c r="AC297" s="589" t="s">
        <v>1068</v>
      </c>
      <c r="AD297" s="589" t="s">
        <v>1063</v>
      </c>
      <c r="AE297" s="579">
        <f>F297</f>
        <v>0</v>
      </c>
      <c r="AF297" s="580">
        <f>H297</f>
        <v>46196</v>
      </c>
      <c r="AG297" s="579">
        <f>A297</f>
        <v>0</v>
      </c>
      <c r="AH297" s="589" t="s">
        <v>1064</v>
      </c>
      <c r="AJ297" s="565"/>
    </row>
    <row r="298" spans="1:36" s="564" customFormat="1" x14ac:dyDescent="0.15">
      <c r="A298" s="567"/>
      <c r="B298" s="567"/>
      <c r="C298" s="567"/>
      <c r="D298" s="567"/>
      <c r="E298" s="567"/>
      <c r="F298" s="582"/>
      <c r="G298" s="569">
        <v>46084</v>
      </c>
      <c r="H298" s="569">
        <v>46196</v>
      </c>
      <c r="I298" s="569"/>
      <c r="J298" s="583" t="s">
        <v>1347</v>
      </c>
      <c r="K298" s="584"/>
      <c r="L298" s="572">
        <v>46190</v>
      </c>
      <c r="M298" s="573">
        <v>46196</v>
      </c>
      <c r="N298" s="585" t="s">
        <v>1066</v>
      </c>
      <c r="O298" s="577"/>
      <c r="P298" s="577"/>
      <c r="Q298" s="577"/>
      <c r="R298" s="577"/>
      <c r="S298" s="577"/>
      <c r="T298" s="577"/>
      <c r="U298" s="574" t="s">
        <v>1028</v>
      </c>
      <c r="V298" s="577"/>
      <c r="W298" s="586"/>
      <c r="X298" s="587"/>
      <c r="Y298" s="577"/>
      <c r="Z298" s="577"/>
      <c r="AA298" s="588" t="s">
        <v>1346</v>
      </c>
      <c r="AB298" s="589" t="s">
        <v>513</v>
      </c>
      <c r="AC298" s="589" t="s">
        <v>1069</v>
      </c>
      <c r="AD298" s="589" t="s">
        <v>1063</v>
      </c>
      <c r="AE298" s="579">
        <f>F298</f>
        <v>0</v>
      </c>
      <c r="AF298" s="580">
        <f>H298</f>
        <v>46196</v>
      </c>
      <c r="AG298" s="579">
        <f>A298</f>
        <v>0</v>
      </c>
      <c r="AH298" s="589" t="s">
        <v>1064</v>
      </c>
      <c r="AJ298" s="565"/>
    </row>
    <row r="299" spans="1:36" s="564" customFormat="1" x14ac:dyDescent="0.15">
      <c r="A299" s="567"/>
      <c r="B299" s="567"/>
      <c r="C299" s="567"/>
      <c r="D299" s="567"/>
      <c r="E299" s="567"/>
      <c r="F299" s="582"/>
      <c r="G299" s="569">
        <v>46084</v>
      </c>
      <c r="H299" s="569">
        <v>46196</v>
      </c>
      <c r="I299" s="569"/>
      <c r="J299" s="583" t="s">
        <v>1345</v>
      </c>
      <c r="K299" s="584"/>
      <c r="L299" s="572">
        <v>46190</v>
      </c>
      <c r="M299" s="573">
        <v>46196</v>
      </c>
      <c r="N299" s="585" t="s">
        <v>1066</v>
      </c>
      <c r="O299" s="577"/>
      <c r="P299" s="577"/>
      <c r="Q299" s="577"/>
      <c r="R299" s="577"/>
      <c r="S299" s="577"/>
      <c r="T299" s="577"/>
      <c r="U299" s="574" t="s">
        <v>1028</v>
      </c>
      <c r="V299" s="577"/>
      <c r="W299" s="586"/>
      <c r="X299" s="587"/>
      <c r="Y299" s="577"/>
      <c r="Z299" s="577"/>
      <c r="AA299" s="588" t="s">
        <v>1348</v>
      </c>
      <c r="AB299" s="589" t="s">
        <v>513</v>
      </c>
      <c r="AC299" s="589" t="s">
        <v>1070</v>
      </c>
      <c r="AD299" s="589" t="s">
        <v>1063</v>
      </c>
      <c r="AE299" s="579">
        <f>F299</f>
        <v>0</v>
      </c>
      <c r="AF299" s="580">
        <f>H299</f>
        <v>46196</v>
      </c>
      <c r="AG299" s="579">
        <f>A299</f>
        <v>0</v>
      </c>
      <c r="AH299" s="589" t="s">
        <v>1064</v>
      </c>
      <c r="AJ299" s="565"/>
    </row>
    <row r="300" spans="1:36" s="564" customFormat="1" x14ac:dyDescent="0.15">
      <c r="A300" s="567"/>
      <c r="B300" s="567"/>
      <c r="C300" s="567"/>
      <c r="D300" s="567"/>
      <c r="E300" s="567"/>
      <c r="F300" s="582"/>
      <c r="G300" s="569">
        <v>46084</v>
      </c>
      <c r="H300" s="569">
        <v>46196</v>
      </c>
      <c r="I300" s="569"/>
      <c r="J300" s="583" t="s">
        <v>1347</v>
      </c>
      <c r="K300" s="584"/>
      <c r="L300" s="572">
        <v>46190</v>
      </c>
      <c r="M300" s="573">
        <v>46196</v>
      </c>
      <c r="N300" s="585" t="s">
        <v>1103</v>
      </c>
      <c r="O300" s="577"/>
      <c r="P300" s="577"/>
      <c r="Q300" s="577"/>
      <c r="R300" s="577"/>
      <c r="S300" s="577"/>
      <c r="T300" s="577"/>
      <c r="U300" s="574" t="s">
        <v>1028</v>
      </c>
      <c r="V300" s="577"/>
      <c r="W300" s="586"/>
      <c r="X300" s="587"/>
      <c r="Y300" s="577"/>
      <c r="Z300" s="577"/>
      <c r="AA300" s="588" t="s">
        <v>1348</v>
      </c>
      <c r="AB300" s="589" t="s">
        <v>513</v>
      </c>
      <c r="AC300" s="589" t="s">
        <v>1071</v>
      </c>
      <c r="AD300" s="589" t="s">
        <v>1063</v>
      </c>
      <c r="AE300" s="579">
        <f>F300</f>
        <v>0</v>
      </c>
      <c r="AF300" s="580">
        <f>H300</f>
        <v>46196</v>
      </c>
      <c r="AG300" s="579">
        <f>A300</f>
        <v>0</v>
      </c>
      <c r="AH300" s="589" t="s">
        <v>1105</v>
      </c>
      <c r="AJ300" s="565"/>
    </row>
    <row r="301" spans="1:36" s="564" customFormat="1" x14ac:dyDescent="0.15">
      <c r="A301" s="566">
        <v>1796</v>
      </c>
      <c r="B301" s="566">
        <v>1150</v>
      </c>
      <c r="C301" s="567"/>
      <c r="D301" s="566">
        <v>1203</v>
      </c>
      <c r="E301" s="567"/>
      <c r="F301" s="568" t="s">
        <v>140</v>
      </c>
      <c r="G301" s="569">
        <v>45803</v>
      </c>
      <c r="H301" s="569">
        <v>46197</v>
      </c>
      <c r="I301" s="569"/>
      <c r="J301" s="570"/>
      <c r="K301" s="571">
        <v>46196</v>
      </c>
      <c r="L301" s="572">
        <v>46190</v>
      </c>
      <c r="M301" s="573">
        <v>46197</v>
      </c>
      <c r="N301" s="570"/>
      <c r="O301" s="574" t="s">
        <v>1028</v>
      </c>
      <c r="P301" s="574" t="s">
        <v>1028</v>
      </c>
      <c r="Q301" s="574" t="s">
        <v>1028</v>
      </c>
      <c r="R301" s="574" t="s">
        <v>1028</v>
      </c>
      <c r="S301" s="574" t="s">
        <v>1028</v>
      </c>
      <c r="T301" s="574" t="s">
        <v>1028</v>
      </c>
      <c r="U301" s="574" t="s">
        <v>1028</v>
      </c>
      <c r="V301" s="574" t="s">
        <v>1028</v>
      </c>
      <c r="W301" s="575" t="s">
        <v>1028</v>
      </c>
      <c r="X301" s="576" t="s">
        <v>1028</v>
      </c>
      <c r="Y301" s="577"/>
      <c r="Z301" s="578" t="s">
        <v>1028</v>
      </c>
      <c r="AA301" s="579" t="s">
        <v>1349</v>
      </c>
      <c r="AB301" s="579" t="s">
        <v>414</v>
      </c>
      <c r="AC301" s="579"/>
      <c r="AD301" s="579" t="s">
        <v>140</v>
      </c>
      <c r="AE301" s="579">
        <v>11</v>
      </c>
      <c r="AF301" s="580">
        <f>H301</f>
        <v>46197</v>
      </c>
      <c r="AG301" s="579">
        <f>A301</f>
        <v>1796</v>
      </c>
      <c r="AH301" s="579"/>
      <c r="AJ301" s="565"/>
    </row>
    <row r="302" spans="1:36" s="564" customFormat="1" x14ac:dyDescent="0.15">
      <c r="A302" s="566">
        <v>1797</v>
      </c>
      <c r="B302" s="566">
        <v>1151</v>
      </c>
      <c r="C302" s="567"/>
      <c r="D302" s="566">
        <v>1204</v>
      </c>
      <c r="E302" s="567"/>
      <c r="F302" s="568" t="s">
        <v>140</v>
      </c>
      <c r="G302" s="569">
        <v>45803</v>
      </c>
      <c r="H302" s="569">
        <v>46197</v>
      </c>
      <c r="I302" s="569"/>
      <c r="J302" s="581"/>
      <c r="K302" s="571">
        <v>46196</v>
      </c>
      <c r="L302" s="572">
        <v>46190</v>
      </c>
      <c r="M302" s="573">
        <v>46197</v>
      </c>
      <c r="N302" s="570"/>
      <c r="O302" s="574" t="s">
        <v>1028</v>
      </c>
      <c r="P302" s="574" t="s">
        <v>1028</v>
      </c>
      <c r="Q302" s="574" t="s">
        <v>1028</v>
      </c>
      <c r="R302" s="574" t="s">
        <v>1028</v>
      </c>
      <c r="S302" s="574" t="s">
        <v>1028</v>
      </c>
      <c r="T302" s="574" t="s">
        <v>1028</v>
      </c>
      <c r="U302" s="574" t="s">
        <v>1028</v>
      </c>
      <c r="V302" s="574" t="s">
        <v>1028</v>
      </c>
      <c r="W302" s="575" t="s">
        <v>1028</v>
      </c>
      <c r="X302" s="576" t="s">
        <v>1028</v>
      </c>
      <c r="Y302" s="577"/>
      <c r="Z302" s="578" t="s">
        <v>1028</v>
      </c>
      <c r="AA302" s="579" t="s">
        <v>1350</v>
      </c>
      <c r="AB302" s="579" t="s">
        <v>414</v>
      </c>
      <c r="AC302" s="579"/>
      <c r="AD302" s="579" t="s">
        <v>140</v>
      </c>
      <c r="AE302" s="579">
        <v>11</v>
      </c>
      <c r="AF302" s="580">
        <f>H302</f>
        <v>46197</v>
      </c>
      <c r="AG302" s="579">
        <f>A302</f>
        <v>1797</v>
      </c>
      <c r="AH302" s="579"/>
      <c r="AJ302" s="565"/>
    </row>
    <row r="303" spans="1:36" s="564" customFormat="1" x14ac:dyDescent="0.15">
      <c r="A303" s="566">
        <v>1798</v>
      </c>
      <c r="B303" s="566">
        <v>1152</v>
      </c>
      <c r="C303" s="567"/>
      <c r="D303" s="566">
        <v>1205</v>
      </c>
      <c r="E303" s="567"/>
      <c r="F303" s="568" t="s">
        <v>140</v>
      </c>
      <c r="G303" s="569">
        <v>45803</v>
      </c>
      <c r="H303" s="569">
        <v>46197</v>
      </c>
      <c r="I303" s="569"/>
      <c r="J303" s="581"/>
      <c r="K303" s="571">
        <v>46196</v>
      </c>
      <c r="L303" s="572">
        <v>46190</v>
      </c>
      <c r="M303" s="573">
        <v>46197</v>
      </c>
      <c r="N303" s="570"/>
      <c r="O303" s="574" t="s">
        <v>1028</v>
      </c>
      <c r="P303" s="574" t="s">
        <v>1028</v>
      </c>
      <c r="Q303" s="574" t="s">
        <v>1028</v>
      </c>
      <c r="R303" s="574" t="s">
        <v>1028</v>
      </c>
      <c r="S303" s="574" t="s">
        <v>1028</v>
      </c>
      <c r="T303" s="574" t="s">
        <v>1028</v>
      </c>
      <c r="U303" s="574" t="s">
        <v>1028</v>
      </c>
      <c r="V303" s="574" t="s">
        <v>1028</v>
      </c>
      <c r="W303" s="575" t="s">
        <v>1028</v>
      </c>
      <c r="X303" s="576" t="s">
        <v>1028</v>
      </c>
      <c r="Y303" s="577"/>
      <c r="Z303" s="578" t="s">
        <v>1028</v>
      </c>
      <c r="AA303" s="579" t="s">
        <v>1351</v>
      </c>
      <c r="AB303" s="579" t="s">
        <v>414</v>
      </c>
      <c r="AC303" s="579"/>
      <c r="AD303" s="579" t="s">
        <v>140</v>
      </c>
      <c r="AE303" s="579">
        <v>11</v>
      </c>
      <c r="AF303" s="580">
        <f>H303</f>
        <v>46197</v>
      </c>
      <c r="AG303" s="579">
        <f>A303</f>
        <v>1798</v>
      </c>
      <c r="AH303" s="579"/>
      <c r="AJ303" s="565"/>
    </row>
    <row r="304" spans="1:36" s="564" customFormat="1" x14ac:dyDescent="0.15">
      <c r="A304" s="566">
        <v>1799</v>
      </c>
      <c r="B304" s="566">
        <v>1153</v>
      </c>
      <c r="C304" s="567"/>
      <c r="D304" s="566">
        <v>1206</v>
      </c>
      <c r="E304" s="567"/>
      <c r="F304" s="568" t="s">
        <v>140</v>
      </c>
      <c r="G304" s="569">
        <v>45803</v>
      </c>
      <c r="H304" s="569">
        <v>46197</v>
      </c>
      <c r="I304" s="569"/>
      <c r="J304" s="581"/>
      <c r="K304" s="571">
        <v>46196</v>
      </c>
      <c r="L304" s="572">
        <v>46190</v>
      </c>
      <c r="M304" s="573">
        <v>46197</v>
      </c>
      <c r="N304" s="570"/>
      <c r="O304" s="574" t="s">
        <v>1028</v>
      </c>
      <c r="P304" s="574" t="s">
        <v>1028</v>
      </c>
      <c r="Q304" s="574" t="s">
        <v>1028</v>
      </c>
      <c r="R304" s="574" t="s">
        <v>1028</v>
      </c>
      <c r="S304" s="574" t="s">
        <v>1028</v>
      </c>
      <c r="T304" s="574" t="s">
        <v>1028</v>
      </c>
      <c r="U304" s="574" t="s">
        <v>1028</v>
      </c>
      <c r="V304" s="574" t="s">
        <v>1028</v>
      </c>
      <c r="W304" s="575" t="s">
        <v>1028</v>
      </c>
      <c r="X304" s="576" t="s">
        <v>1028</v>
      </c>
      <c r="Y304" s="577"/>
      <c r="Z304" s="578" t="s">
        <v>1028</v>
      </c>
      <c r="AA304" s="579" t="s">
        <v>1352</v>
      </c>
      <c r="AB304" s="579" t="s">
        <v>414</v>
      </c>
      <c r="AC304" s="579"/>
      <c r="AD304" s="579" t="s">
        <v>140</v>
      </c>
      <c r="AE304" s="579">
        <v>11</v>
      </c>
      <c r="AF304" s="580">
        <f>H304</f>
        <v>46197</v>
      </c>
      <c r="AG304" s="579">
        <f>A304</f>
        <v>1799</v>
      </c>
      <c r="AH304" s="579"/>
      <c r="AJ304" s="565"/>
    </row>
    <row r="305" spans="1:36" s="564" customFormat="1" x14ac:dyDescent="0.15">
      <c r="A305" s="566">
        <v>1800</v>
      </c>
      <c r="B305" s="566">
        <v>1154</v>
      </c>
      <c r="C305" s="567"/>
      <c r="D305" s="566">
        <v>1207</v>
      </c>
      <c r="E305" s="567"/>
      <c r="F305" s="568" t="s">
        <v>140</v>
      </c>
      <c r="G305" s="569">
        <v>45803</v>
      </c>
      <c r="H305" s="569">
        <v>46197</v>
      </c>
      <c r="I305" s="569"/>
      <c r="J305" s="581"/>
      <c r="K305" s="571">
        <v>46196</v>
      </c>
      <c r="L305" s="572">
        <v>46190</v>
      </c>
      <c r="M305" s="573">
        <v>46197</v>
      </c>
      <c r="N305" s="570"/>
      <c r="O305" s="574" t="s">
        <v>1028</v>
      </c>
      <c r="P305" s="574" t="s">
        <v>1028</v>
      </c>
      <c r="Q305" s="574" t="s">
        <v>1028</v>
      </c>
      <c r="R305" s="574" t="s">
        <v>1028</v>
      </c>
      <c r="S305" s="574" t="s">
        <v>1028</v>
      </c>
      <c r="T305" s="574" t="s">
        <v>1028</v>
      </c>
      <c r="U305" s="574" t="s">
        <v>1028</v>
      </c>
      <c r="V305" s="574" t="s">
        <v>1028</v>
      </c>
      <c r="W305" s="575" t="s">
        <v>1028</v>
      </c>
      <c r="X305" s="576" t="s">
        <v>1028</v>
      </c>
      <c r="Y305" s="577"/>
      <c r="Z305" s="578" t="s">
        <v>1028</v>
      </c>
      <c r="AA305" s="579" t="s">
        <v>1353</v>
      </c>
      <c r="AB305" s="579" t="s">
        <v>414</v>
      </c>
      <c r="AC305" s="579"/>
      <c r="AD305" s="579" t="s">
        <v>140</v>
      </c>
      <c r="AE305" s="579">
        <v>11</v>
      </c>
      <c r="AF305" s="580">
        <f>H305</f>
        <v>46197</v>
      </c>
      <c r="AG305" s="579">
        <f>A305</f>
        <v>1800</v>
      </c>
      <c r="AH305" s="579"/>
      <c r="AJ305" s="565"/>
    </row>
    <row r="306" spans="1:36" s="564" customFormat="1" x14ac:dyDescent="0.15">
      <c r="A306" s="566">
        <v>1801</v>
      </c>
      <c r="B306" s="566">
        <v>1155</v>
      </c>
      <c r="C306" s="567"/>
      <c r="D306" s="566">
        <v>1208</v>
      </c>
      <c r="E306" s="567"/>
      <c r="F306" s="568" t="s">
        <v>140</v>
      </c>
      <c r="G306" s="569">
        <v>45803</v>
      </c>
      <c r="H306" s="569">
        <v>46197</v>
      </c>
      <c r="I306" s="569"/>
      <c r="J306" s="581"/>
      <c r="K306" s="571">
        <v>46196</v>
      </c>
      <c r="L306" s="572">
        <v>46190</v>
      </c>
      <c r="M306" s="573">
        <v>46197</v>
      </c>
      <c r="N306" s="570"/>
      <c r="O306" s="574" t="s">
        <v>1028</v>
      </c>
      <c r="P306" s="574" t="s">
        <v>1028</v>
      </c>
      <c r="Q306" s="574" t="s">
        <v>1028</v>
      </c>
      <c r="R306" s="574" t="s">
        <v>1028</v>
      </c>
      <c r="S306" s="574" t="s">
        <v>1028</v>
      </c>
      <c r="T306" s="574" t="s">
        <v>1028</v>
      </c>
      <c r="U306" s="574" t="s">
        <v>1028</v>
      </c>
      <c r="V306" s="574" t="s">
        <v>1028</v>
      </c>
      <c r="W306" s="575" t="s">
        <v>1028</v>
      </c>
      <c r="X306" s="576" t="s">
        <v>1028</v>
      </c>
      <c r="Y306" s="577"/>
      <c r="Z306" s="578" t="s">
        <v>1028</v>
      </c>
      <c r="AA306" s="579" t="s">
        <v>1354</v>
      </c>
      <c r="AB306" s="579" t="s">
        <v>414</v>
      </c>
      <c r="AC306" s="579"/>
      <c r="AD306" s="579" t="s">
        <v>140</v>
      </c>
      <c r="AE306" s="579">
        <v>11</v>
      </c>
      <c r="AF306" s="580">
        <f>H306</f>
        <v>46197</v>
      </c>
      <c r="AG306" s="579">
        <f>A306</f>
        <v>1801</v>
      </c>
      <c r="AH306" s="579"/>
      <c r="AJ306" s="565"/>
    </row>
    <row r="307" spans="1:36" s="564" customFormat="1" x14ac:dyDescent="0.15">
      <c r="A307" s="566">
        <v>1802</v>
      </c>
      <c r="B307" s="566">
        <v>1156</v>
      </c>
      <c r="C307" s="567"/>
      <c r="D307" s="566">
        <v>1209</v>
      </c>
      <c r="E307" s="567"/>
      <c r="F307" s="568" t="s">
        <v>140</v>
      </c>
      <c r="G307" s="569">
        <v>45803</v>
      </c>
      <c r="H307" s="569">
        <v>46198</v>
      </c>
      <c r="I307" s="569"/>
      <c r="J307" s="581"/>
      <c r="K307" s="571">
        <v>46197</v>
      </c>
      <c r="L307" s="572">
        <v>46191</v>
      </c>
      <c r="M307" s="573">
        <v>46198</v>
      </c>
      <c r="N307" s="570"/>
      <c r="O307" s="574" t="s">
        <v>1028</v>
      </c>
      <c r="P307" s="574" t="s">
        <v>1028</v>
      </c>
      <c r="Q307" s="574" t="s">
        <v>1028</v>
      </c>
      <c r="R307" s="574" t="s">
        <v>1028</v>
      </c>
      <c r="S307" s="574" t="s">
        <v>1028</v>
      </c>
      <c r="T307" s="574" t="s">
        <v>1028</v>
      </c>
      <c r="U307" s="574" t="s">
        <v>1028</v>
      </c>
      <c r="V307" s="574" t="s">
        <v>1028</v>
      </c>
      <c r="W307" s="575" t="s">
        <v>1028</v>
      </c>
      <c r="X307" s="576" t="s">
        <v>1028</v>
      </c>
      <c r="Y307" s="577"/>
      <c r="Z307" s="578" t="s">
        <v>1028</v>
      </c>
      <c r="AA307" s="579" t="s">
        <v>1355</v>
      </c>
      <c r="AB307" s="579" t="s">
        <v>414</v>
      </c>
      <c r="AC307" s="579"/>
      <c r="AD307" s="579" t="s">
        <v>140</v>
      </c>
      <c r="AE307" s="579">
        <v>11</v>
      </c>
      <c r="AF307" s="580">
        <f>H307</f>
        <v>46198</v>
      </c>
      <c r="AG307" s="579">
        <f>A307</f>
        <v>1802</v>
      </c>
      <c r="AH307" s="579"/>
      <c r="AJ307" s="565"/>
    </row>
    <row r="308" spans="1:36" s="564" customFormat="1" x14ac:dyDescent="0.15">
      <c r="A308" s="566">
        <v>1803</v>
      </c>
      <c r="B308" s="566">
        <v>1157</v>
      </c>
      <c r="C308" s="567"/>
      <c r="D308" s="566">
        <v>1210</v>
      </c>
      <c r="E308" s="567"/>
      <c r="F308" s="568" t="s">
        <v>140</v>
      </c>
      <c r="G308" s="569">
        <v>45803</v>
      </c>
      <c r="H308" s="569">
        <v>46198</v>
      </c>
      <c r="I308" s="569"/>
      <c r="J308" s="581"/>
      <c r="K308" s="571">
        <v>46197</v>
      </c>
      <c r="L308" s="572">
        <v>46191</v>
      </c>
      <c r="M308" s="573">
        <v>46198</v>
      </c>
      <c r="N308" s="570"/>
      <c r="O308" s="574" t="s">
        <v>1028</v>
      </c>
      <c r="P308" s="574" t="s">
        <v>1028</v>
      </c>
      <c r="Q308" s="574" t="s">
        <v>1028</v>
      </c>
      <c r="R308" s="574" t="s">
        <v>1028</v>
      </c>
      <c r="S308" s="574" t="s">
        <v>1028</v>
      </c>
      <c r="T308" s="574" t="s">
        <v>1028</v>
      </c>
      <c r="U308" s="574" t="s">
        <v>1028</v>
      </c>
      <c r="V308" s="574" t="s">
        <v>1028</v>
      </c>
      <c r="W308" s="575" t="s">
        <v>1028</v>
      </c>
      <c r="X308" s="576" t="s">
        <v>1028</v>
      </c>
      <c r="Y308" s="577"/>
      <c r="Z308" s="578" t="s">
        <v>1028</v>
      </c>
      <c r="AA308" s="579" t="s">
        <v>1356</v>
      </c>
      <c r="AB308" s="579" t="s">
        <v>414</v>
      </c>
      <c r="AC308" s="579"/>
      <c r="AD308" s="579" t="s">
        <v>140</v>
      </c>
      <c r="AE308" s="579">
        <v>11</v>
      </c>
      <c r="AF308" s="580">
        <f>H308</f>
        <v>46198</v>
      </c>
      <c r="AG308" s="579">
        <f>A308</f>
        <v>1803</v>
      </c>
      <c r="AH308" s="579"/>
      <c r="AJ308" s="565"/>
    </row>
    <row r="309" spans="1:36" s="564" customFormat="1" x14ac:dyDescent="0.15">
      <c r="A309" s="566">
        <v>1804</v>
      </c>
      <c r="B309" s="566">
        <v>1158</v>
      </c>
      <c r="C309" s="567"/>
      <c r="D309" s="566">
        <v>1211</v>
      </c>
      <c r="E309" s="567"/>
      <c r="F309" s="568" t="s">
        <v>140</v>
      </c>
      <c r="G309" s="569">
        <v>45803</v>
      </c>
      <c r="H309" s="569">
        <v>46198</v>
      </c>
      <c r="I309" s="569"/>
      <c r="J309" s="581"/>
      <c r="K309" s="571">
        <v>46197</v>
      </c>
      <c r="L309" s="572">
        <v>46191</v>
      </c>
      <c r="M309" s="573">
        <v>46198</v>
      </c>
      <c r="N309" s="570"/>
      <c r="O309" s="574" t="s">
        <v>1028</v>
      </c>
      <c r="P309" s="574" t="s">
        <v>1028</v>
      </c>
      <c r="Q309" s="574" t="s">
        <v>1028</v>
      </c>
      <c r="R309" s="574" t="s">
        <v>1028</v>
      </c>
      <c r="S309" s="574" t="s">
        <v>1028</v>
      </c>
      <c r="T309" s="574" t="s">
        <v>1028</v>
      </c>
      <c r="U309" s="574" t="s">
        <v>1028</v>
      </c>
      <c r="V309" s="574" t="s">
        <v>1028</v>
      </c>
      <c r="W309" s="575" t="s">
        <v>1028</v>
      </c>
      <c r="X309" s="576" t="s">
        <v>1028</v>
      </c>
      <c r="Y309" s="577"/>
      <c r="Z309" s="578" t="s">
        <v>1028</v>
      </c>
      <c r="AA309" s="579" t="s">
        <v>1357</v>
      </c>
      <c r="AB309" s="579" t="s">
        <v>414</v>
      </c>
      <c r="AC309" s="579"/>
      <c r="AD309" s="579" t="s">
        <v>140</v>
      </c>
      <c r="AE309" s="579">
        <v>11</v>
      </c>
      <c r="AF309" s="580">
        <f>H309</f>
        <v>46198</v>
      </c>
      <c r="AG309" s="579">
        <f>A309</f>
        <v>1804</v>
      </c>
      <c r="AH309" s="579"/>
      <c r="AJ309" s="565"/>
    </row>
    <row r="310" spans="1:36" s="564" customFormat="1" x14ac:dyDescent="0.15">
      <c r="A310" s="566">
        <v>1805</v>
      </c>
      <c r="B310" s="566">
        <v>1159</v>
      </c>
      <c r="C310" s="567"/>
      <c r="D310" s="566">
        <v>1212</v>
      </c>
      <c r="E310" s="567"/>
      <c r="F310" s="568" t="s">
        <v>140</v>
      </c>
      <c r="G310" s="569">
        <v>45803</v>
      </c>
      <c r="H310" s="569">
        <v>46198</v>
      </c>
      <c r="I310" s="569"/>
      <c r="J310" s="581"/>
      <c r="K310" s="571">
        <v>46197</v>
      </c>
      <c r="L310" s="572">
        <v>46191</v>
      </c>
      <c r="M310" s="573">
        <v>46198</v>
      </c>
      <c r="N310" s="570"/>
      <c r="O310" s="574" t="s">
        <v>1028</v>
      </c>
      <c r="P310" s="574" t="s">
        <v>1028</v>
      </c>
      <c r="Q310" s="574" t="s">
        <v>1028</v>
      </c>
      <c r="R310" s="574" t="s">
        <v>1028</v>
      </c>
      <c r="S310" s="574" t="s">
        <v>1028</v>
      </c>
      <c r="T310" s="574" t="s">
        <v>1028</v>
      </c>
      <c r="U310" s="574" t="s">
        <v>1028</v>
      </c>
      <c r="V310" s="574" t="s">
        <v>1028</v>
      </c>
      <c r="W310" s="575" t="s">
        <v>1028</v>
      </c>
      <c r="X310" s="576" t="s">
        <v>1028</v>
      </c>
      <c r="Y310" s="577"/>
      <c r="Z310" s="578" t="s">
        <v>1028</v>
      </c>
      <c r="AA310" s="579" t="s">
        <v>1358</v>
      </c>
      <c r="AB310" s="579" t="s">
        <v>414</v>
      </c>
      <c r="AC310" s="579"/>
      <c r="AD310" s="579" t="s">
        <v>140</v>
      </c>
      <c r="AE310" s="579">
        <v>11</v>
      </c>
      <c r="AF310" s="580">
        <f>H310</f>
        <v>46198</v>
      </c>
      <c r="AG310" s="579">
        <f>A310</f>
        <v>1805</v>
      </c>
      <c r="AH310" s="579"/>
      <c r="AJ310" s="565"/>
    </row>
    <row r="311" spans="1:36" s="564" customFormat="1" x14ac:dyDescent="0.15">
      <c r="A311" s="566">
        <v>1806</v>
      </c>
      <c r="B311" s="566">
        <v>1160</v>
      </c>
      <c r="C311" s="567"/>
      <c r="D311" s="566">
        <v>1213</v>
      </c>
      <c r="E311" s="567"/>
      <c r="F311" s="568" t="s">
        <v>140</v>
      </c>
      <c r="G311" s="569">
        <v>45803</v>
      </c>
      <c r="H311" s="569">
        <v>46198</v>
      </c>
      <c r="I311" s="569"/>
      <c r="J311" s="581"/>
      <c r="K311" s="571">
        <v>46197</v>
      </c>
      <c r="L311" s="572">
        <v>46191</v>
      </c>
      <c r="M311" s="573">
        <v>46198</v>
      </c>
      <c r="N311" s="570"/>
      <c r="O311" s="574" t="s">
        <v>1028</v>
      </c>
      <c r="P311" s="574" t="s">
        <v>1028</v>
      </c>
      <c r="Q311" s="574" t="s">
        <v>1028</v>
      </c>
      <c r="R311" s="574" t="s">
        <v>1028</v>
      </c>
      <c r="S311" s="574" t="s">
        <v>1028</v>
      </c>
      <c r="T311" s="574" t="s">
        <v>1028</v>
      </c>
      <c r="U311" s="574" t="s">
        <v>1028</v>
      </c>
      <c r="V311" s="574" t="s">
        <v>1028</v>
      </c>
      <c r="W311" s="575" t="s">
        <v>1028</v>
      </c>
      <c r="X311" s="576" t="s">
        <v>1028</v>
      </c>
      <c r="Y311" s="577"/>
      <c r="Z311" s="578" t="s">
        <v>1028</v>
      </c>
      <c r="AA311" s="579" t="s">
        <v>1359</v>
      </c>
      <c r="AB311" s="579" t="s">
        <v>414</v>
      </c>
      <c r="AC311" s="579"/>
      <c r="AD311" s="579" t="s">
        <v>140</v>
      </c>
      <c r="AE311" s="579">
        <v>11</v>
      </c>
      <c r="AF311" s="580">
        <f>H311</f>
        <v>46198</v>
      </c>
      <c r="AG311" s="579">
        <f>A311</f>
        <v>1806</v>
      </c>
      <c r="AH311" s="579"/>
      <c r="AJ311" s="565"/>
    </row>
    <row r="312" spans="1:36" s="564" customFormat="1" x14ac:dyDescent="0.15">
      <c r="A312" s="566">
        <v>1807</v>
      </c>
      <c r="B312" s="566">
        <v>1161</v>
      </c>
      <c r="C312" s="567"/>
      <c r="D312" s="566">
        <v>1214</v>
      </c>
      <c r="E312" s="567"/>
      <c r="F312" s="568" t="s">
        <v>140</v>
      </c>
      <c r="G312" s="569">
        <v>45803</v>
      </c>
      <c r="H312" s="569">
        <v>46198</v>
      </c>
      <c r="I312" s="569"/>
      <c r="J312" s="581"/>
      <c r="K312" s="571">
        <v>46197</v>
      </c>
      <c r="L312" s="572">
        <v>46191</v>
      </c>
      <c r="M312" s="573">
        <v>46198</v>
      </c>
      <c r="N312" s="570"/>
      <c r="O312" s="574" t="s">
        <v>1028</v>
      </c>
      <c r="P312" s="574" t="s">
        <v>1028</v>
      </c>
      <c r="Q312" s="574" t="s">
        <v>1028</v>
      </c>
      <c r="R312" s="574" t="s">
        <v>1028</v>
      </c>
      <c r="S312" s="574" t="s">
        <v>1028</v>
      </c>
      <c r="T312" s="574" t="s">
        <v>1028</v>
      </c>
      <c r="U312" s="574" t="s">
        <v>1028</v>
      </c>
      <c r="V312" s="574" t="s">
        <v>1028</v>
      </c>
      <c r="W312" s="575" t="s">
        <v>1028</v>
      </c>
      <c r="X312" s="576" t="s">
        <v>1028</v>
      </c>
      <c r="Y312" s="577"/>
      <c r="Z312" s="578" t="s">
        <v>1028</v>
      </c>
      <c r="AA312" s="579" t="s">
        <v>1360</v>
      </c>
      <c r="AB312" s="579" t="s">
        <v>414</v>
      </c>
      <c r="AC312" s="579"/>
      <c r="AD312" s="579" t="s">
        <v>140</v>
      </c>
      <c r="AE312" s="579">
        <v>11</v>
      </c>
      <c r="AF312" s="580">
        <f>H312</f>
        <v>46198</v>
      </c>
      <c r="AG312" s="579">
        <f>A312</f>
        <v>1807</v>
      </c>
      <c r="AH312" s="579"/>
      <c r="AJ312" s="565"/>
    </row>
    <row r="313" spans="1:36" s="564" customFormat="1" x14ac:dyDescent="0.15">
      <c r="A313" s="566">
        <v>1808</v>
      </c>
      <c r="B313" s="566">
        <v>1162</v>
      </c>
      <c r="C313" s="567"/>
      <c r="D313" s="566">
        <v>1215</v>
      </c>
      <c r="E313" s="567"/>
      <c r="F313" s="568" t="s">
        <v>140</v>
      </c>
      <c r="G313" s="569">
        <v>45803</v>
      </c>
      <c r="H313" s="569">
        <v>46199</v>
      </c>
      <c r="I313" s="569"/>
      <c r="J313" s="581"/>
      <c r="K313" s="571">
        <v>46198</v>
      </c>
      <c r="L313" s="572">
        <v>46192</v>
      </c>
      <c r="M313" s="573">
        <v>46199</v>
      </c>
      <c r="N313" s="570"/>
      <c r="O313" s="574" t="s">
        <v>1028</v>
      </c>
      <c r="P313" s="574" t="s">
        <v>1028</v>
      </c>
      <c r="Q313" s="574" t="s">
        <v>1028</v>
      </c>
      <c r="R313" s="574" t="s">
        <v>1028</v>
      </c>
      <c r="S313" s="574" t="s">
        <v>1028</v>
      </c>
      <c r="T313" s="574" t="s">
        <v>1028</v>
      </c>
      <c r="U313" s="574" t="s">
        <v>1028</v>
      </c>
      <c r="V313" s="574" t="s">
        <v>1028</v>
      </c>
      <c r="W313" s="575" t="s">
        <v>1028</v>
      </c>
      <c r="X313" s="576" t="s">
        <v>1028</v>
      </c>
      <c r="Y313" s="577"/>
      <c r="Z313" s="578" t="s">
        <v>1028</v>
      </c>
      <c r="AA313" s="579" t="s">
        <v>1361</v>
      </c>
      <c r="AB313" s="579" t="s">
        <v>414</v>
      </c>
      <c r="AC313" s="579"/>
      <c r="AD313" s="579" t="s">
        <v>140</v>
      </c>
      <c r="AE313" s="579">
        <v>11</v>
      </c>
      <c r="AF313" s="580">
        <f>H313</f>
        <v>46199</v>
      </c>
      <c r="AG313" s="579">
        <f>A313</f>
        <v>1808</v>
      </c>
      <c r="AH313" s="579"/>
      <c r="AJ313" s="565"/>
    </row>
    <row r="314" spans="1:36" s="564" customFormat="1" x14ac:dyDescent="0.15">
      <c r="A314" s="566">
        <v>1809</v>
      </c>
      <c r="B314" s="566">
        <v>1163</v>
      </c>
      <c r="C314" s="567"/>
      <c r="D314" s="566">
        <v>1216</v>
      </c>
      <c r="E314" s="567"/>
      <c r="F314" s="568" t="s">
        <v>140</v>
      </c>
      <c r="G314" s="569">
        <v>45803</v>
      </c>
      <c r="H314" s="569">
        <v>46199</v>
      </c>
      <c r="I314" s="569"/>
      <c r="J314" s="581"/>
      <c r="K314" s="571">
        <v>46198</v>
      </c>
      <c r="L314" s="572">
        <v>46192</v>
      </c>
      <c r="M314" s="573">
        <v>46199</v>
      </c>
      <c r="N314" s="570"/>
      <c r="O314" s="574" t="s">
        <v>1028</v>
      </c>
      <c r="P314" s="574" t="s">
        <v>1028</v>
      </c>
      <c r="Q314" s="574" t="s">
        <v>1028</v>
      </c>
      <c r="R314" s="574" t="s">
        <v>1028</v>
      </c>
      <c r="S314" s="574" t="s">
        <v>1028</v>
      </c>
      <c r="T314" s="574" t="s">
        <v>1028</v>
      </c>
      <c r="U314" s="574" t="s">
        <v>1028</v>
      </c>
      <c r="V314" s="574" t="s">
        <v>1028</v>
      </c>
      <c r="W314" s="575" t="s">
        <v>1028</v>
      </c>
      <c r="X314" s="576" t="s">
        <v>1028</v>
      </c>
      <c r="Y314" s="577"/>
      <c r="Z314" s="578" t="s">
        <v>1028</v>
      </c>
      <c r="AA314" s="579" t="s">
        <v>1362</v>
      </c>
      <c r="AB314" s="579" t="s">
        <v>414</v>
      </c>
      <c r="AC314" s="579"/>
      <c r="AD314" s="579" t="s">
        <v>140</v>
      </c>
      <c r="AE314" s="579">
        <v>11</v>
      </c>
      <c r="AF314" s="580">
        <f>H314</f>
        <v>46199</v>
      </c>
      <c r="AG314" s="579">
        <f>A314</f>
        <v>1809</v>
      </c>
      <c r="AH314" s="579"/>
      <c r="AJ314" s="565"/>
    </row>
    <row r="315" spans="1:36" s="564" customFormat="1" x14ac:dyDescent="0.15">
      <c r="A315" s="566">
        <v>1810</v>
      </c>
      <c r="B315" s="566">
        <v>1164</v>
      </c>
      <c r="C315" s="567"/>
      <c r="D315" s="566">
        <v>1217</v>
      </c>
      <c r="E315" s="567"/>
      <c r="F315" s="568" t="s">
        <v>140</v>
      </c>
      <c r="G315" s="569">
        <v>45803</v>
      </c>
      <c r="H315" s="569">
        <v>46199</v>
      </c>
      <c r="I315" s="569"/>
      <c r="J315" s="581"/>
      <c r="K315" s="571">
        <v>46198</v>
      </c>
      <c r="L315" s="572">
        <v>46192</v>
      </c>
      <c r="M315" s="573">
        <v>46199</v>
      </c>
      <c r="N315" s="570"/>
      <c r="O315" s="574" t="s">
        <v>1028</v>
      </c>
      <c r="P315" s="574" t="s">
        <v>1028</v>
      </c>
      <c r="Q315" s="574" t="s">
        <v>1028</v>
      </c>
      <c r="R315" s="574" t="s">
        <v>1028</v>
      </c>
      <c r="S315" s="574" t="s">
        <v>1028</v>
      </c>
      <c r="T315" s="574" t="s">
        <v>1028</v>
      </c>
      <c r="U315" s="574" t="s">
        <v>1028</v>
      </c>
      <c r="V315" s="574" t="s">
        <v>1028</v>
      </c>
      <c r="W315" s="575" t="s">
        <v>1028</v>
      </c>
      <c r="X315" s="576" t="s">
        <v>1028</v>
      </c>
      <c r="Y315" s="577"/>
      <c r="Z315" s="578" t="s">
        <v>1028</v>
      </c>
      <c r="AA315" s="579" t="s">
        <v>1363</v>
      </c>
      <c r="AB315" s="579" t="s">
        <v>414</v>
      </c>
      <c r="AC315" s="579"/>
      <c r="AD315" s="579" t="s">
        <v>140</v>
      </c>
      <c r="AE315" s="579">
        <v>11</v>
      </c>
      <c r="AF315" s="580">
        <f>H315</f>
        <v>46199</v>
      </c>
      <c r="AG315" s="579">
        <f>A315</f>
        <v>1810</v>
      </c>
      <c r="AH315" s="579"/>
      <c r="AJ315" s="565"/>
    </row>
    <row r="316" spans="1:36" s="564" customFormat="1" x14ac:dyDescent="0.15">
      <c r="A316" s="566">
        <v>1811</v>
      </c>
      <c r="B316" s="566">
        <v>1165</v>
      </c>
      <c r="C316" s="567"/>
      <c r="D316" s="566">
        <v>1218</v>
      </c>
      <c r="E316" s="567"/>
      <c r="F316" s="568" t="s">
        <v>140</v>
      </c>
      <c r="G316" s="569">
        <v>45803</v>
      </c>
      <c r="H316" s="569">
        <v>46199</v>
      </c>
      <c r="I316" s="569"/>
      <c r="J316" s="581"/>
      <c r="K316" s="571">
        <v>46198</v>
      </c>
      <c r="L316" s="572">
        <v>46192</v>
      </c>
      <c r="M316" s="573">
        <v>46199</v>
      </c>
      <c r="N316" s="570"/>
      <c r="O316" s="574" t="s">
        <v>1028</v>
      </c>
      <c r="P316" s="574" t="s">
        <v>1028</v>
      </c>
      <c r="Q316" s="574" t="s">
        <v>1028</v>
      </c>
      <c r="R316" s="574" t="s">
        <v>1028</v>
      </c>
      <c r="S316" s="574" t="s">
        <v>1028</v>
      </c>
      <c r="T316" s="574" t="s">
        <v>1028</v>
      </c>
      <c r="U316" s="574" t="s">
        <v>1028</v>
      </c>
      <c r="V316" s="574" t="s">
        <v>1028</v>
      </c>
      <c r="W316" s="575" t="s">
        <v>1028</v>
      </c>
      <c r="X316" s="576" t="s">
        <v>1028</v>
      </c>
      <c r="Y316" s="577"/>
      <c r="Z316" s="578" t="s">
        <v>1028</v>
      </c>
      <c r="AA316" s="579" t="s">
        <v>1364</v>
      </c>
      <c r="AB316" s="579" t="s">
        <v>414</v>
      </c>
      <c r="AC316" s="579"/>
      <c r="AD316" s="579" t="s">
        <v>140</v>
      </c>
      <c r="AE316" s="579">
        <v>11</v>
      </c>
      <c r="AF316" s="580">
        <f>H316</f>
        <v>46199</v>
      </c>
      <c r="AG316" s="579">
        <f>A316</f>
        <v>1811</v>
      </c>
      <c r="AH316" s="579"/>
      <c r="AJ316" s="565"/>
    </row>
    <row r="317" spans="1:36" s="564" customFormat="1" x14ac:dyDescent="0.15">
      <c r="A317" s="566">
        <v>1812</v>
      </c>
      <c r="B317" s="566">
        <v>1166</v>
      </c>
      <c r="C317" s="567"/>
      <c r="D317" s="566">
        <v>1219</v>
      </c>
      <c r="E317" s="567"/>
      <c r="F317" s="568" t="s">
        <v>140</v>
      </c>
      <c r="G317" s="569">
        <v>45803</v>
      </c>
      <c r="H317" s="569">
        <v>46199</v>
      </c>
      <c r="I317" s="569"/>
      <c r="J317" s="581"/>
      <c r="K317" s="571">
        <v>46198</v>
      </c>
      <c r="L317" s="572">
        <v>46192</v>
      </c>
      <c r="M317" s="573">
        <v>46199</v>
      </c>
      <c r="N317" s="570"/>
      <c r="O317" s="574" t="s">
        <v>1028</v>
      </c>
      <c r="P317" s="574" t="s">
        <v>1028</v>
      </c>
      <c r="Q317" s="574" t="s">
        <v>1028</v>
      </c>
      <c r="R317" s="574" t="s">
        <v>1028</v>
      </c>
      <c r="S317" s="574" t="s">
        <v>1028</v>
      </c>
      <c r="T317" s="574" t="s">
        <v>1028</v>
      </c>
      <c r="U317" s="574" t="s">
        <v>1028</v>
      </c>
      <c r="V317" s="574" t="s">
        <v>1028</v>
      </c>
      <c r="W317" s="575" t="s">
        <v>1028</v>
      </c>
      <c r="X317" s="576" t="s">
        <v>1028</v>
      </c>
      <c r="Y317" s="577"/>
      <c r="Z317" s="578" t="s">
        <v>1028</v>
      </c>
      <c r="AA317" s="579" t="s">
        <v>1365</v>
      </c>
      <c r="AB317" s="579" t="s">
        <v>414</v>
      </c>
      <c r="AC317" s="579"/>
      <c r="AD317" s="579" t="s">
        <v>140</v>
      </c>
      <c r="AE317" s="579">
        <v>11</v>
      </c>
      <c r="AF317" s="580">
        <f>H317</f>
        <v>46199</v>
      </c>
      <c r="AG317" s="579">
        <f>A317</f>
        <v>1812</v>
      </c>
      <c r="AH317" s="579"/>
      <c r="AJ317" s="565"/>
    </row>
    <row r="318" spans="1:36" s="564" customFormat="1" x14ac:dyDescent="0.15">
      <c r="A318" s="566">
        <v>1813</v>
      </c>
      <c r="B318" s="566">
        <v>1167</v>
      </c>
      <c r="C318" s="567"/>
      <c r="D318" s="566">
        <v>1220</v>
      </c>
      <c r="E318" s="567"/>
      <c r="F318" s="568" t="s">
        <v>140</v>
      </c>
      <c r="G318" s="569">
        <v>45803</v>
      </c>
      <c r="H318" s="569">
        <v>46199</v>
      </c>
      <c r="I318" s="569"/>
      <c r="J318" s="581"/>
      <c r="K318" s="571">
        <v>46198</v>
      </c>
      <c r="L318" s="572">
        <v>46192</v>
      </c>
      <c r="M318" s="573">
        <v>46199</v>
      </c>
      <c r="N318" s="570"/>
      <c r="O318" s="574" t="s">
        <v>1028</v>
      </c>
      <c r="P318" s="574" t="s">
        <v>1028</v>
      </c>
      <c r="Q318" s="574" t="s">
        <v>1028</v>
      </c>
      <c r="R318" s="574" t="s">
        <v>1028</v>
      </c>
      <c r="S318" s="574" t="s">
        <v>1028</v>
      </c>
      <c r="T318" s="574" t="s">
        <v>1028</v>
      </c>
      <c r="U318" s="574" t="s">
        <v>1028</v>
      </c>
      <c r="V318" s="574" t="s">
        <v>1028</v>
      </c>
      <c r="W318" s="575" t="s">
        <v>1028</v>
      </c>
      <c r="X318" s="576" t="s">
        <v>1028</v>
      </c>
      <c r="Y318" s="577"/>
      <c r="Z318" s="578" t="s">
        <v>1028</v>
      </c>
      <c r="AA318" s="579" t="s">
        <v>1366</v>
      </c>
      <c r="AB318" s="579" t="s">
        <v>414</v>
      </c>
      <c r="AC318" s="579"/>
      <c r="AD318" s="579" t="s">
        <v>140</v>
      </c>
      <c r="AE318" s="579">
        <v>11</v>
      </c>
      <c r="AF318" s="580">
        <f>H318</f>
        <v>46199</v>
      </c>
      <c r="AG318" s="579">
        <f>A318</f>
        <v>1813</v>
      </c>
      <c r="AH318" s="579"/>
      <c r="AJ318" s="565"/>
    </row>
    <row r="319" spans="1:36" s="564" customFormat="1" x14ac:dyDescent="0.15">
      <c r="A319" s="566">
        <v>1814</v>
      </c>
      <c r="B319" s="566">
        <v>1168</v>
      </c>
      <c r="C319" s="567"/>
      <c r="D319" s="566">
        <v>1221</v>
      </c>
      <c r="E319" s="567"/>
      <c r="F319" s="568" t="s">
        <v>140</v>
      </c>
      <c r="G319" s="569">
        <v>45803</v>
      </c>
      <c r="H319" s="569">
        <v>46202</v>
      </c>
      <c r="I319" s="569"/>
      <c r="J319" s="581"/>
      <c r="K319" s="571">
        <v>46199</v>
      </c>
      <c r="L319" s="572">
        <v>46195</v>
      </c>
      <c r="M319" s="573">
        <v>46202</v>
      </c>
      <c r="N319" s="570"/>
      <c r="O319" s="574" t="s">
        <v>1028</v>
      </c>
      <c r="P319" s="574" t="s">
        <v>1028</v>
      </c>
      <c r="Q319" s="574" t="s">
        <v>1028</v>
      </c>
      <c r="R319" s="574" t="s">
        <v>1028</v>
      </c>
      <c r="S319" s="574" t="s">
        <v>1028</v>
      </c>
      <c r="T319" s="574" t="s">
        <v>1028</v>
      </c>
      <c r="U319" s="574" t="s">
        <v>1028</v>
      </c>
      <c r="V319" s="574" t="s">
        <v>1028</v>
      </c>
      <c r="W319" s="575" t="s">
        <v>1028</v>
      </c>
      <c r="X319" s="576" t="s">
        <v>1028</v>
      </c>
      <c r="Y319" s="577"/>
      <c r="Z319" s="578" t="s">
        <v>1028</v>
      </c>
      <c r="AA319" s="579" t="s">
        <v>1367</v>
      </c>
      <c r="AB319" s="579" t="s">
        <v>414</v>
      </c>
      <c r="AC319" s="579"/>
      <c r="AD319" s="579" t="s">
        <v>140</v>
      </c>
      <c r="AE319" s="579">
        <v>11</v>
      </c>
      <c r="AF319" s="580">
        <f>H319</f>
        <v>46202</v>
      </c>
      <c r="AG319" s="579">
        <f>A319</f>
        <v>1814</v>
      </c>
      <c r="AH319" s="579"/>
      <c r="AJ319" s="565"/>
    </row>
    <row r="320" spans="1:36" s="564" customFormat="1" x14ac:dyDescent="0.15">
      <c r="A320" s="566">
        <v>1815</v>
      </c>
      <c r="B320" s="566">
        <v>1169</v>
      </c>
      <c r="C320" s="567"/>
      <c r="D320" s="566">
        <v>1222</v>
      </c>
      <c r="E320" s="567"/>
      <c r="F320" s="568" t="s">
        <v>140</v>
      </c>
      <c r="G320" s="569">
        <v>45803</v>
      </c>
      <c r="H320" s="569">
        <v>46202</v>
      </c>
      <c r="I320" s="569"/>
      <c r="J320" s="581"/>
      <c r="K320" s="571">
        <v>46199</v>
      </c>
      <c r="L320" s="572">
        <v>46195</v>
      </c>
      <c r="M320" s="573">
        <v>46202</v>
      </c>
      <c r="N320" s="570"/>
      <c r="O320" s="574" t="s">
        <v>1028</v>
      </c>
      <c r="P320" s="574" t="s">
        <v>1028</v>
      </c>
      <c r="Q320" s="574" t="s">
        <v>1028</v>
      </c>
      <c r="R320" s="574" t="s">
        <v>1028</v>
      </c>
      <c r="S320" s="574" t="s">
        <v>1028</v>
      </c>
      <c r="T320" s="574" t="s">
        <v>1028</v>
      </c>
      <c r="U320" s="574" t="s">
        <v>1028</v>
      </c>
      <c r="V320" s="574" t="s">
        <v>1028</v>
      </c>
      <c r="W320" s="575" t="s">
        <v>1028</v>
      </c>
      <c r="X320" s="576" t="s">
        <v>1028</v>
      </c>
      <c r="Y320" s="577"/>
      <c r="Z320" s="578" t="s">
        <v>1028</v>
      </c>
      <c r="AA320" s="579" t="s">
        <v>1368</v>
      </c>
      <c r="AB320" s="579" t="s">
        <v>414</v>
      </c>
      <c r="AC320" s="579"/>
      <c r="AD320" s="579" t="s">
        <v>140</v>
      </c>
      <c r="AE320" s="579">
        <v>11</v>
      </c>
      <c r="AF320" s="580">
        <f>H320</f>
        <v>46202</v>
      </c>
      <c r="AG320" s="579">
        <f>A320</f>
        <v>1815</v>
      </c>
      <c r="AH320" s="579"/>
      <c r="AJ320" s="565"/>
    </row>
    <row r="321" spans="1:36" s="564" customFormat="1" x14ac:dyDescent="0.15">
      <c r="A321" s="566">
        <v>1816</v>
      </c>
      <c r="B321" s="566">
        <v>1170</v>
      </c>
      <c r="C321" s="567"/>
      <c r="D321" s="566">
        <v>1223</v>
      </c>
      <c r="E321" s="567"/>
      <c r="F321" s="568" t="s">
        <v>140</v>
      </c>
      <c r="G321" s="569">
        <v>45803</v>
      </c>
      <c r="H321" s="569">
        <v>46202</v>
      </c>
      <c r="I321" s="569"/>
      <c r="J321" s="581"/>
      <c r="K321" s="571">
        <v>46199</v>
      </c>
      <c r="L321" s="572">
        <v>46195</v>
      </c>
      <c r="M321" s="573">
        <v>46202</v>
      </c>
      <c r="N321" s="570"/>
      <c r="O321" s="574" t="s">
        <v>1028</v>
      </c>
      <c r="P321" s="574" t="s">
        <v>1028</v>
      </c>
      <c r="Q321" s="574" t="s">
        <v>1028</v>
      </c>
      <c r="R321" s="574" t="s">
        <v>1028</v>
      </c>
      <c r="S321" s="574" t="s">
        <v>1028</v>
      </c>
      <c r="T321" s="574" t="s">
        <v>1028</v>
      </c>
      <c r="U321" s="574" t="s">
        <v>1028</v>
      </c>
      <c r="V321" s="574" t="s">
        <v>1028</v>
      </c>
      <c r="W321" s="575" t="s">
        <v>1028</v>
      </c>
      <c r="X321" s="576" t="s">
        <v>1028</v>
      </c>
      <c r="Y321" s="577"/>
      <c r="Z321" s="578" t="s">
        <v>1028</v>
      </c>
      <c r="AA321" s="579" t="s">
        <v>1369</v>
      </c>
      <c r="AB321" s="579" t="s">
        <v>414</v>
      </c>
      <c r="AC321" s="579"/>
      <c r="AD321" s="579" t="s">
        <v>140</v>
      </c>
      <c r="AE321" s="579">
        <v>11</v>
      </c>
      <c r="AF321" s="580">
        <f>H321</f>
        <v>46202</v>
      </c>
      <c r="AG321" s="579">
        <f>A321</f>
        <v>1816</v>
      </c>
      <c r="AH321" s="579"/>
      <c r="AJ321" s="565"/>
    </row>
    <row r="322" spans="1:36" s="564" customFormat="1" x14ac:dyDescent="0.15">
      <c r="A322" s="566">
        <v>1817</v>
      </c>
      <c r="B322" s="566">
        <v>1171</v>
      </c>
      <c r="C322" s="567"/>
      <c r="D322" s="566">
        <v>1224</v>
      </c>
      <c r="E322" s="567"/>
      <c r="F322" s="568" t="s">
        <v>140</v>
      </c>
      <c r="G322" s="569">
        <v>45803</v>
      </c>
      <c r="H322" s="569">
        <v>46202</v>
      </c>
      <c r="I322" s="569"/>
      <c r="J322" s="581"/>
      <c r="K322" s="571">
        <v>46199</v>
      </c>
      <c r="L322" s="572">
        <v>46195</v>
      </c>
      <c r="M322" s="573">
        <v>46202</v>
      </c>
      <c r="N322" s="570"/>
      <c r="O322" s="574" t="s">
        <v>1028</v>
      </c>
      <c r="P322" s="574" t="s">
        <v>1028</v>
      </c>
      <c r="Q322" s="574" t="s">
        <v>1028</v>
      </c>
      <c r="R322" s="574" t="s">
        <v>1028</v>
      </c>
      <c r="S322" s="574" t="s">
        <v>1028</v>
      </c>
      <c r="T322" s="574" t="s">
        <v>1028</v>
      </c>
      <c r="U322" s="574" t="s">
        <v>1028</v>
      </c>
      <c r="V322" s="574" t="s">
        <v>1028</v>
      </c>
      <c r="W322" s="575" t="s">
        <v>1028</v>
      </c>
      <c r="X322" s="576" t="s">
        <v>1028</v>
      </c>
      <c r="Y322" s="577"/>
      <c r="Z322" s="578" t="s">
        <v>1028</v>
      </c>
      <c r="AA322" s="579" t="s">
        <v>1370</v>
      </c>
      <c r="AB322" s="579" t="s">
        <v>414</v>
      </c>
      <c r="AC322" s="579"/>
      <c r="AD322" s="579" t="s">
        <v>140</v>
      </c>
      <c r="AE322" s="579">
        <v>11</v>
      </c>
      <c r="AF322" s="580">
        <f>H322</f>
        <v>46202</v>
      </c>
      <c r="AG322" s="579">
        <f>A322</f>
        <v>1817</v>
      </c>
      <c r="AH322" s="579"/>
      <c r="AJ322" s="565"/>
    </row>
    <row r="323" spans="1:36" s="564" customFormat="1" x14ac:dyDescent="0.15">
      <c r="A323" s="566">
        <v>1818</v>
      </c>
      <c r="B323" s="566">
        <v>1172</v>
      </c>
      <c r="C323" s="567"/>
      <c r="D323" s="566">
        <v>1225</v>
      </c>
      <c r="E323" s="567"/>
      <c r="F323" s="568" t="s">
        <v>140</v>
      </c>
      <c r="G323" s="569">
        <v>45803</v>
      </c>
      <c r="H323" s="569">
        <v>46202</v>
      </c>
      <c r="I323" s="569"/>
      <c r="J323" s="581"/>
      <c r="K323" s="571">
        <v>46199</v>
      </c>
      <c r="L323" s="572">
        <v>46195</v>
      </c>
      <c r="M323" s="573">
        <v>46202</v>
      </c>
      <c r="N323" s="570"/>
      <c r="O323" s="574" t="s">
        <v>1028</v>
      </c>
      <c r="P323" s="574" t="s">
        <v>1028</v>
      </c>
      <c r="Q323" s="574" t="s">
        <v>1028</v>
      </c>
      <c r="R323" s="574" t="s">
        <v>1028</v>
      </c>
      <c r="S323" s="574" t="s">
        <v>1028</v>
      </c>
      <c r="T323" s="574" t="s">
        <v>1028</v>
      </c>
      <c r="U323" s="574" t="s">
        <v>1028</v>
      </c>
      <c r="V323" s="574" t="s">
        <v>1028</v>
      </c>
      <c r="W323" s="575" t="s">
        <v>1028</v>
      </c>
      <c r="X323" s="576" t="s">
        <v>1028</v>
      </c>
      <c r="Y323" s="577"/>
      <c r="Z323" s="578" t="s">
        <v>1028</v>
      </c>
      <c r="AA323" s="579" t="s">
        <v>1371</v>
      </c>
      <c r="AB323" s="579" t="s">
        <v>414</v>
      </c>
      <c r="AC323" s="579"/>
      <c r="AD323" s="579" t="s">
        <v>140</v>
      </c>
      <c r="AE323" s="579">
        <v>11</v>
      </c>
      <c r="AF323" s="580">
        <f>H323</f>
        <v>46202</v>
      </c>
      <c r="AG323" s="579">
        <f>A323</f>
        <v>1818</v>
      </c>
      <c r="AH323" s="579"/>
      <c r="AJ323" s="565"/>
    </row>
    <row r="324" spans="1:36" s="564" customFormat="1" x14ac:dyDescent="0.15">
      <c r="A324" s="566">
        <v>1819</v>
      </c>
      <c r="B324" s="566">
        <v>1173</v>
      </c>
      <c r="C324" s="567"/>
      <c r="D324" s="566">
        <v>1226</v>
      </c>
      <c r="E324" s="567"/>
      <c r="F324" s="568" t="s">
        <v>140</v>
      </c>
      <c r="G324" s="569">
        <v>45803</v>
      </c>
      <c r="H324" s="569">
        <v>46203</v>
      </c>
      <c r="I324" s="569"/>
      <c r="J324" s="581"/>
      <c r="K324" s="571">
        <v>46202</v>
      </c>
      <c r="L324" s="572">
        <v>46196</v>
      </c>
      <c r="M324" s="573">
        <v>46203</v>
      </c>
      <c r="N324" s="570"/>
      <c r="O324" s="574" t="s">
        <v>1028</v>
      </c>
      <c r="P324" s="574" t="s">
        <v>1028</v>
      </c>
      <c r="Q324" s="574" t="s">
        <v>1028</v>
      </c>
      <c r="R324" s="574" t="s">
        <v>1028</v>
      </c>
      <c r="S324" s="574" t="s">
        <v>1028</v>
      </c>
      <c r="T324" s="574" t="s">
        <v>1028</v>
      </c>
      <c r="U324" s="574" t="s">
        <v>1028</v>
      </c>
      <c r="V324" s="574" t="s">
        <v>1028</v>
      </c>
      <c r="W324" s="575" t="s">
        <v>1028</v>
      </c>
      <c r="X324" s="576" t="s">
        <v>1028</v>
      </c>
      <c r="Y324" s="577"/>
      <c r="Z324" s="578" t="s">
        <v>1028</v>
      </c>
      <c r="AA324" s="579" t="s">
        <v>1372</v>
      </c>
      <c r="AB324" s="579" t="s">
        <v>414</v>
      </c>
      <c r="AC324" s="579"/>
      <c r="AD324" s="579" t="s">
        <v>140</v>
      </c>
      <c r="AE324" s="579">
        <v>11</v>
      </c>
      <c r="AF324" s="580">
        <f>H324</f>
        <v>46203</v>
      </c>
      <c r="AG324" s="579">
        <f>A324</f>
        <v>1819</v>
      </c>
      <c r="AH324" s="579"/>
      <c r="AJ324" s="565"/>
    </row>
    <row r="325" spans="1:36" s="564" customFormat="1" x14ac:dyDescent="0.15">
      <c r="A325" s="566">
        <v>1820</v>
      </c>
      <c r="B325" s="566">
        <v>1174</v>
      </c>
      <c r="C325" s="567"/>
      <c r="D325" s="566">
        <v>1227</v>
      </c>
      <c r="E325" s="567"/>
      <c r="F325" s="568" t="s">
        <v>140</v>
      </c>
      <c r="G325" s="569">
        <v>45803</v>
      </c>
      <c r="H325" s="569">
        <v>46203</v>
      </c>
      <c r="I325" s="569"/>
      <c r="J325" s="581"/>
      <c r="K325" s="571">
        <v>46202</v>
      </c>
      <c r="L325" s="572">
        <v>46196</v>
      </c>
      <c r="M325" s="573">
        <v>46203</v>
      </c>
      <c r="N325" s="570"/>
      <c r="O325" s="574" t="s">
        <v>1028</v>
      </c>
      <c r="P325" s="574" t="s">
        <v>1028</v>
      </c>
      <c r="Q325" s="574" t="s">
        <v>1028</v>
      </c>
      <c r="R325" s="574" t="s">
        <v>1028</v>
      </c>
      <c r="S325" s="574" t="s">
        <v>1028</v>
      </c>
      <c r="T325" s="574" t="s">
        <v>1028</v>
      </c>
      <c r="U325" s="574" t="s">
        <v>1028</v>
      </c>
      <c r="V325" s="574" t="s">
        <v>1028</v>
      </c>
      <c r="W325" s="575" t="s">
        <v>1028</v>
      </c>
      <c r="X325" s="576" t="s">
        <v>1028</v>
      </c>
      <c r="Y325" s="577"/>
      <c r="Z325" s="578" t="s">
        <v>1028</v>
      </c>
      <c r="AA325" s="579" t="s">
        <v>1373</v>
      </c>
      <c r="AB325" s="579" t="s">
        <v>414</v>
      </c>
      <c r="AC325" s="579"/>
      <c r="AD325" s="579" t="s">
        <v>140</v>
      </c>
      <c r="AE325" s="579">
        <v>11</v>
      </c>
      <c r="AF325" s="580">
        <f>H325</f>
        <v>46203</v>
      </c>
      <c r="AG325" s="579">
        <f>A325</f>
        <v>1820</v>
      </c>
      <c r="AH325" s="579"/>
      <c r="AJ325" s="565"/>
    </row>
    <row r="326" spans="1:36" s="564" customFormat="1" x14ac:dyDescent="0.15">
      <c r="A326" s="566">
        <v>1821</v>
      </c>
      <c r="B326" s="566">
        <v>1175</v>
      </c>
      <c r="C326" s="567"/>
      <c r="D326" s="566">
        <v>1228</v>
      </c>
      <c r="E326" s="567"/>
      <c r="F326" s="568" t="s">
        <v>140</v>
      </c>
      <c r="G326" s="569">
        <v>45803</v>
      </c>
      <c r="H326" s="569">
        <v>46203</v>
      </c>
      <c r="I326" s="569"/>
      <c r="J326" s="581"/>
      <c r="K326" s="571">
        <v>46202</v>
      </c>
      <c r="L326" s="572">
        <v>46196</v>
      </c>
      <c r="M326" s="573">
        <v>46203</v>
      </c>
      <c r="N326" s="570"/>
      <c r="O326" s="574" t="s">
        <v>1028</v>
      </c>
      <c r="P326" s="574" t="s">
        <v>1028</v>
      </c>
      <c r="Q326" s="574" t="s">
        <v>1028</v>
      </c>
      <c r="R326" s="574" t="s">
        <v>1028</v>
      </c>
      <c r="S326" s="574" t="s">
        <v>1028</v>
      </c>
      <c r="T326" s="574" t="s">
        <v>1028</v>
      </c>
      <c r="U326" s="574" t="s">
        <v>1028</v>
      </c>
      <c r="V326" s="574" t="s">
        <v>1028</v>
      </c>
      <c r="W326" s="575" t="s">
        <v>1028</v>
      </c>
      <c r="X326" s="576" t="s">
        <v>1028</v>
      </c>
      <c r="Y326" s="577"/>
      <c r="Z326" s="578" t="s">
        <v>1028</v>
      </c>
      <c r="AA326" s="579" t="s">
        <v>1374</v>
      </c>
      <c r="AB326" s="579" t="s">
        <v>414</v>
      </c>
      <c r="AC326" s="579"/>
      <c r="AD326" s="579" t="s">
        <v>140</v>
      </c>
      <c r="AE326" s="579">
        <v>11</v>
      </c>
      <c r="AF326" s="580">
        <f>H326</f>
        <v>46203</v>
      </c>
      <c r="AG326" s="579">
        <f>A326</f>
        <v>1821</v>
      </c>
      <c r="AH326" s="579"/>
      <c r="AJ326" s="565"/>
    </row>
    <row r="327" spans="1:36" s="564" customFormat="1" x14ac:dyDescent="0.15">
      <c r="A327" s="566">
        <v>1822</v>
      </c>
      <c r="B327" s="566">
        <v>1176</v>
      </c>
      <c r="C327" s="567"/>
      <c r="D327" s="566">
        <v>1229</v>
      </c>
      <c r="E327" s="567"/>
      <c r="F327" s="568" t="s">
        <v>140</v>
      </c>
      <c r="G327" s="569">
        <v>45803</v>
      </c>
      <c r="H327" s="569">
        <v>46203</v>
      </c>
      <c r="I327" s="569"/>
      <c r="J327" s="581"/>
      <c r="K327" s="571">
        <v>46202</v>
      </c>
      <c r="L327" s="572">
        <v>46196</v>
      </c>
      <c r="M327" s="573">
        <v>46203</v>
      </c>
      <c r="N327" s="570"/>
      <c r="O327" s="574" t="s">
        <v>1028</v>
      </c>
      <c r="P327" s="574" t="s">
        <v>1028</v>
      </c>
      <c r="Q327" s="574" t="s">
        <v>1028</v>
      </c>
      <c r="R327" s="574" t="s">
        <v>1028</v>
      </c>
      <c r="S327" s="574" t="s">
        <v>1028</v>
      </c>
      <c r="T327" s="574" t="s">
        <v>1028</v>
      </c>
      <c r="U327" s="574" t="s">
        <v>1028</v>
      </c>
      <c r="V327" s="574" t="s">
        <v>1028</v>
      </c>
      <c r="W327" s="575" t="s">
        <v>1028</v>
      </c>
      <c r="X327" s="576" t="s">
        <v>1028</v>
      </c>
      <c r="Y327" s="577"/>
      <c r="Z327" s="578" t="s">
        <v>1028</v>
      </c>
      <c r="AA327" s="579" t="s">
        <v>1375</v>
      </c>
      <c r="AB327" s="579" t="s">
        <v>414</v>
      </c>
      <c r="AC327" s="579"/>
      <c r="AD327" s="579" t="s">
        <v>140</v>
      </c>
      <c r="AE327" s="579">
        <v>11</v>
      </c>
      <c r="AF327" s="580">
        <f>H327</f>
        <v>46203</v>
      </c>
      <c r="AG327" s="579">
        <f>A327</f>
        <v>1822</v>
      </c>
      <c r="AH327" s="579"/>
      <c r="AJ327" s="565"/>
    </row>
    <row r="328" spans="1:36" s="564" customFormat="1" x14ac:dyDescent="0.15">
      <c r="A328" s="566">
        <v>1823</v>
      </c>
      <c r="B328" s="566">
        <v>1177</v>
      </c>
      <c r="C328" s="567"/>
      <c r="D328" s="566">
        <v>1230</v>
      </c>
      <c r="E328" s="567"/>
      <c r="F328" s="568" t="s">
        <v>140</v>
      </c>
      <c r="G328" s="569">
        <v>45803</v>
      </c>
      <c r="H328" s="569">
        <v>46203</v>
      </c>
      <c r="I328" s="569"/>
      <c r="J328" s="581"/>
      <c r="K328" s="571">
        <v>46202</v>
      </c>
      <c r="L328" s="572">
        <v>46196</v>
      </c>
      <c r="M328" s="573">
        <v>46203</v>
      </c>
      <c r="N328" s="570"/>
      <c r="O328" s="574" t="s">
        <v>1028</v>
      </c>
      <c r="P328" s="574" t="s">
        <v>1028</v>
      </c>
      <c r="Q328" s="574" t="s">
        <v>1028</v>
      </c>
      <c r="R328" s="574" t="s">
        <v>1028</v>
      </c>
      <c r="S328" s="574" t="s">
        <v>1028</v>
      </c>
      <c r="T328" s="574" t="s">
        <v>1028</v>
      </c>
      <c r="U328" s="574" t="s">
        <v>1028</v>
      </c>
      <c r="V328" s="574" t="s">
        <v>1028</v>
      </c>
      <c r="W328" s="575" t="s">
        <v>1028</v>
      </c>
      <c r="X328" s="576" t="s">
        <v>1028</v>
      </c>
      <c r="Y328" s="577"/>
      <c r="Z328" s="578" t="s">
        <v>1028</v>
      </c>
      <c r="AA328" s="579" t="s">
        <v>1376</v>
      </c>
      <c r="AB328" s="579" t="s">
        <v>414</v>
      </c>
      <c r="AC328" s="579"/>
      <c r="AD328" s="579" t="s">
        <v>140</v>
      </c>
      <c r="AE328" s="579">
        <v>11</v>
      </c>
      <c r="AF328" s="580">
        <f>H328</f>
        <v>46203</v>
      </c>
      <c r="AG328" s="579">
        <f>A328</f>
        <v>1823</v>
      </c>
      <c r="AH328" s="579"/>
      <c r="AJ328" s="565"/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0307集計</vt:lpstr>
      <vt:lpstr>Sheet7</vt:lpstr>
      <vt:lpstr>日程表</vt:lpstr>
      <vt:lpstr>V8集計</vt:lpstr>
      <vt:lpstr>V8</vt:lpstr>
      <vt:lpstr>V9集計</vt:lpstr>
      <vt:lpstr>V9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大槻 隆雄</cp:lastModifiedBy>
  <dcterms:created xsi:type="dcterms:W3CDTF">2006-07-06T06:13:26Z</dcterms:created>
  <dcterms:modified xsi:type="dcterms:W3CDTF">2026-03-07T06:44:39Z</dcterms:modified>
  <cp:category/>
</cp:coreProperties>
</file>